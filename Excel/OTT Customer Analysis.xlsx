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10e53130278a952/Desktop/OTT/"/>
    </mc:Choice>
  </mc:AlternateContent>
  <xr:revisionPtr revIDLastSave="1540" documentId="8_{2A5FE3D3-9D76-4810-8944-74036C67815F}" xr6:coauthVersionLast="47" xr6:coauthVersionMax="47" xr10:uidLastSave="{2F26A7AC-0A3A-4A9B-8728-7D1C5EFC2AF0}"/>
  <bookViews>
    <workbookView xWindow="-108" yWindow="-108" windowWidth="23256" windowHeight="12456" activeTab="5" xr2:uid="{25E7C667-7634-4167-AA3A-D0083FA8EA77}"/>
  </bookViews>
  <sheets>
    <sheet name="raw_data" sheetId="1" r:id="rId1"/>
    <sheet name="cleaned_data" sheetId="2" r:id="rId2"/>
    <sheet name="lookup" sheetId="3" r:id="rId3"/>
    <sheet name="Pivot" sheetId="5" r:id="rId4"/>
    <sheet name="kpi" sheetId="9" r:id="rId5"/>
    <sheet name="Dashboard" sheetId="7" r:id="rId6"/>
  </sheets>
  <definedNames>
    <definedName name="_xlnm._FilterDatabase" localSheetId="1" hidden="1">cleaned_data!$A$1:$J$1</definedName>
    <definedName name="NativeTimeline_SignupDate">#N/A</definedName>
    <definedName name="Slicer_AgeGroup">#N/A</definedName>
    <definedName name="Slicer_Gender">#N/A</definedName>
    <definedName name="Slicer_Platform">#N/A</definedName>
    <definedName name="Slicer_Subscription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 i="9" l="1"/>
  <c r="H14" i="9"/>
  <c r="F14" i="9"/>
  <c r="G14" i="9"/>
  <c r="E14" i="9"/>
  <c r="D14" i="9"/>
  <c r="N22" i="3"/>
  <c r="M22" i="3"/>
  <c r="N7" i="3"/>
  <c r="M7" i="3"/>
  <c r="M3" i="3" a="1"/>
  <c r="M3" i="3" s="1"/>
  <c r="P1001" i="2"/>
  <c r="P1000" i="2"/>
  <c r="P999" i="2"/>
  <c r="P998" i="2"/>
  <c r="P997" i="2"/>
  <c r="P996" i="2"/>
  <c r="P995" i="2"/>
  <c r="P994" i="2"/>
  <c r="P993" i="2"/>
  <c r="P992" i="2"/>
  <c r="P991" i="2"/>
  <c r="P990" i="2"/>
  <c r="P989" i="2"/>
  <c r="P988" i="2"/>
  <c r="P987" i="2"/>
  <c r="P986" i="2"/>
  <c r="P985" i="2"/>
  <c r="P984" i="2"/>
  <c r="P983" i="2"/>
  <c r="P982" i="2"/>
  <c r="P981" i="2"/>
  <c r="P980" i="2"/>
  <c r="P979" i="2"/>
  <c r="P978"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11" i="2"/>
  <c r="M12" i="2"/>
  <c r="M13" i="2"/>
  <c r="M14" i="2"/>
  <c r="M15" i="2"/>
  <c r="M16" i="2"/>
  <c r="M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<sst xmlns="http://schemas.openxmlformats.org/spreadsheetml/2006/main" count="28144" uniqueCount="1060">
  <si>
    <t>CustomerID</t>
  </si>
  <si>
    <t>Platform</t>
  </si>
  <si>
    <t>Age</t>
  </si>
  <si>
    <t>AgeGroup</t>
  </si>
  <si>
    <t>Gender</t>
  </si>
  <si>
    <t>Location</t>
  </si>
  <si>
    <t>AccountAge_Months</t>
  </si>
  <si>
    <t>SignupDate</t>
  </si>
  <si>
    <t>PreferredLanguage</t>
  </si>
  <si>
    <t>SubscriptionType</t>
  </si>
  <si>
    <t>CUST00001</t>
  </si>
  <si>
    <t>JioHotstar</t>
  </si>
  <si>
    <t>35-44</t>
  </si>
  <si>
    <t>Male</t>
  </si>
  <si>
    <t>Kolkata</t>
  </si>
  <si>
    <t>Telugu</t>
  </si>
  <si>
    <t>Basic</t>
  </si>
  <si>
    <t>CUST00002</t>
  </si>
  <si>
    <t>25-34</t>
  </si>
  <si>
    <t>Female</t>
  </si>
  <si>
    <t>Chennai</t>
  </si>
  <si>
    <t>Bengali</t>
  </si>
  <si>
    <t>Premium</t>
  </si>
  <si>
    <t>CUST00003</t>
  </si>
  <si>
    <t>Amazon Prime</t>
  </si>
  <si>
    <t>Mumbai</t>
  </si>
  <si>
    <t>Malayalam</t>
  </si>
  <si>
    <t>Standard</t>
  </si>
  <si>
    <t>CUST00004</t>
  </si>
  <si>
    <t>English</t>
  </si>
  <si>
    <t>CUST00005</t>
  </si>
  <si>
    <t>Netflix</t>
  </si>
  <si>
    <t>18-24</t>
  </si>
  <si>
    <t>Jaipur</t>
  </si>
  <si>
    <t>Marathi</t>
  </si>
  <si>
    <t>CUST00006</t>
  </si>
  <si>
    <t>Ahmedabad</t>
  </si>
  <si>
    <t>CUST00007</t>
  </si>
  <si>
    <t>Delhi</t>
  </si>
  <si>
    <t>Tamil</t>
  </si>
  <si>
    <t>CUST00008</t>
  </si>
  <si>
    <t>CUST00009</t>
  </si>
  <si>
    <t>SonyLiv</t>
  </si>
  <si>
    <t>CUST00010</t>
  </si>
  <si>
    <t>CUST00011</t>
  </si>
  <si>
    <t>CUST00012</t>
  </si>
  <si>
    <t>45-54</t>
  </si>
  <si>
    <t>Hindi</t>
  </si>
  <si>
    <t>CUST00013</t>
  </si>
  <si>
    <t>Kannada</t>
  </si>
  <si>
    <t>CUST00014</t>
  </si>
  <si>
    <t>CUST00015</t>
  </si>
  <si>
    <t>CUST00016</t>
  </si>
  <si>
    <t>CUST00017</t>
  </si>
  <si>
    <t>Bangalore</t>
  </si>
  <si>
    <t>CUST00018</t>
  </si>
  <si>
    <t>Hyderabad</t>
  </si>
  <si>
    <t>CUST00019</t>
  </si>
  <si>
    <t>CUST00020</t>
  </si>
  <si>
    <t>CUST00021</t>
  </si>
  <si>
    <t>CUST00022</t>
  </si>
  <si>
    <t>ZEE5</t>
  </si>
  <si>
    <t>Gujarati</t>
  </si>
  <si>
    <t>CUST00023</t>
  </si>
  <si>
    <t>Pune</t>
  </si>
  <si>
    <t>Family</t>
  </si>
  <si>
    <t>CUST00024</t>
  </si>
  <si>
    <t>CUST00025</t>
  </si>
  <si>
    <t>CUST00026</t>
  </si>
  <si>
    <t>CUST00027</t>
  </si>
  <si>
    <t>CUST00028</t>
  </si>
  <si>
    <t>CUST00029</t>
  </si>
  <si>
    <t>CUST00030</t>
  </si>
  <si>
    <t>CUST00031</t>
  </si>
  <si>
    <t>CUST00032</t>
  </si>
  <si>
    <t>CUST00033</t>
  </si>
  <si>
    <t>CUST00034</t>
  </si>
  <si>
    <t>CUST00035</t>
  </si>
  <si>
    <t>CUST00036</t>
  </si>
  <si>
    <t>CUST00037</t>
  </si>
  <si>
    <t>CUST00038</t>
  </si>
  <si>
    <t>CUST00039</t>
  </si>
  <si>
    <t>CUST00040</t>
  </si>
  <si>
    <t>CUST00041</t>
  </si>
  <si>
    <t>CUST00042</t>
  </si>
  <si>
    <t>CUST00043</t>
  </si>
  <si>
    <t>CUST00044</t>
  </si>
  <si>
    <t>CUST00045</t>
  </si>
  <si>
    <t>Lucknow</t>
  </si>
  <si>
    <t>CUST00046</t>
  </si>
  <si>
    <t>CUST00047</t>
  </si>
  <si>
    <t>CUST00048</t>
  </si>
  <si>
    <t>CUST00049</t>
  </si>
  <si>
    <t>CUST00050</t>
  </si>
  <si>
    <t>CUST00051</t>
  </si>
  <si>
    <t>CUST00052</t>
  </si>
  <si>
    <t>CUST00053</t>
  </si>
  <si>
    <t>CUST00054</t>
  </si>
  <si>
    <t>CUST00055</t>
  </si>
  <si>
    <t>CUST00056</t>
  </si>
  <si>
    <t>CUST00057</t>
  </si>
  <si>
    <t>CUST00058</t>
  </si>
  <si>
    <t>CUST00059</t>
  </si>
  <si>
    <t>CUST00060</t>
  </si>
  <si>
    <t>CUST00061</t>
  </si>
  <si>
    <t>Non-Binary</t>
  </si>
  <si>
    <t>CUST00062</t>
  </si>
  <si>
    <t>CUST00063</t>
  </si>
  <si>
    <t>CUST00064</t>
  </si>
  <si>
    <t>CUST00065</t>
  </si>
  <si>
    <t>CUST00066</t>
  </si>
  <si>
    <t>CUST00067</t>
  </si>
  <si>
    <t>CUST00068</t>
  </si>
  <si>
    <t>CUST00069</t>
  </si>
  <si>
    <t>CUST00070</t>
  </si>
  <si>
    <t>CUST00071</t>
  </si>
  <si>
    <t>CUST00072</t>
  </si>
  <si>
    <t>CUST00073</t>
  </si>
  <si>
    <t>CUST00074</t>
  </si>
  <si>
    <t>CUST00075</t>
  </si>
  <si>
    <t>CUST00076</t>
  </si>
  <si>
    <t>CUST00077</t>
  </si>
  <si>
    <t>CUST00078</t>
  </si>
  <si>
    <t>CUST00079</t>
  </si>
  <si>
    <t>CUST00080</t>
  </si>
  <si>
    <t>CUST00081</t>
  </si>
  <si>
    <t>CUST00082</t>
  </si>
  <si>
    <t>CUST00083</t>
  </si>
  <si>
    <t>CUST00084</t>
  </si>
  <si>
    <t>CUST00085</t>
  </si>
  <si>
    <t>CUST00086</t>
  </si>
  <si>
    <t>CUST00087</t>
  </si>
  <si>
    <t>CUST00088</t>
  </si>
  <si>
    <t>CUST00089</t>
  </si>
  <si>
    <t>CUST00090</t>
  </si>
  <si>
    <t>CUST00091</t>
  </si>
  <si>
    <t>CUST00092</t>
  </si>
  <si>
    <t>CUST00093</t>
  </si>
  <si>
    <t>CUST00094</t>
  </si>
  <si>
    <t>CUST00095</t>
  </si>
  <si>
    <t>CUST00096</t>
  </si>
  <si>
    <t>CUST00097</t>
  </si>
  <si>
    <t>CUST00098</t>
  </si>
  <si>
    <t>CUST00099</t>
  </si>
  <si>
    <t>CUST00100</t>
  </si>
  <si>
    <t>CUST00101</t>
  </si>
  <si>
    <t>CUST00102</t>
  </si>
  <si>
    <t>CUST00103</t>
  </si>
  <si>
    <t>CUST00104</t>
  </si>
  <si>
    <t>CUST00105</t>
  </si>
  <si>
    <t>CUST00106</t>
  </si>
  <si>
    <t>CUST00107</t>
  </si>
  <si>
    <t>CUST00108</t>
  </si>
  <si>
    <t>CUST00109</t>
  </si>
  <si>
    <t>CUST00110</t>
  </si>
  <si>
    <t>CUST00111</t>
  </si>
  <si>
    <t>CUST00112</t>
  </si>
  <si>
    <t>CUST00113</t>
  </si>
  <si>
    <t>CUST00114</t>
  </si>
  <si>
    <t>CUST00115</t>
  </si>
  <si>
    <t>CUST00116</t>
  </si>
  <si>
    <t>CUST00117</t>
  </si>
  <si>
    <t>CUST00118</t>
  </si>
  <si>
    <t>CUST00119</t>
  </si>
  <si>
    <t>CUST00120</t>
  </si>
  <si>
    <t>CUST00121</t>
  </si>
  <si>
    <t>CUST00122</t>
  </si>
  <si>
    <t>CUST00123</t>
  </si>
  <si>
    <t>CUST00124</t>
  </si>
  <si>
    <t>CUST00125</t>
  </si>
  <si>
    <t>CUST00126</t>
  </si>
  <si>
    <t>CUST00127</t>
  </si>
  <si>
    <t>CUST00128</t>
  </si>
  <si>
    <t>CUST00129</t>
  </si>
  <si>
    <t>CUST00130</t>
  </si>
  <si>
    <t>CUST00131</t>
  </si>
  <si>
    <t>CUST00132</t>
  </si>
  <si>
    <t>CUST00133</t>
  </si>
  <si>
    <t>CUST00134</t>
  </si>
  <si>
    <t>CUST00135</t>
  </si>
  <si>
    <t>CUST00136</t>
  </si>
  <si>
    <t>CUST00137</t>
  </si>
  <si>
    <t>CUST00138</t>
  </si>
  <si>
    <t>CUST00139</t>
  </si>
  <si>
    <t>CUST00140</t>
  </si>
  <si>
    <t>CUST00141</t>
  </si>
  <si>
    <t>CUST00142</t>
  </si>
  <si>
    <t>CUST00143</t>
  </si>
  <si>
    <t>CUST00144</t>
  </si>
  <si>
    <t>CUST00145</t>
  </si>
  <si>
    <t>CUST00146</t>
  </si>
  <si>
    <t>CUST00147</t>
  </si>
  <si>
    <t>CUST00148</t>
  </si>
  <si>
    <t>CUST00149</t>
  </si>
  <si>
    <t>CUST00150</t>
  </si>
  <si>
    <t>CUST00151</t>
  </si>
  <si>
    <t>CUST00152</t>
  </si>
  <si>
    <t>CUST00153</t>
  </si>
  <si>
    <t>CUST00154</t>
  </si>
  <si>
    <t>CUST00155</t>
  </si>
  <si>
    <t>CUST00156</t>
  </si>
  <si>
    <t>55+</t>
  </si>
  <si>
    <t>CUST00157</t>
  </si>
  <si>
    <t>CUST00158</t>
  </si>
  <si>
    <t>CUST00159</t>
  </si>
  <si>
    <t>CUST00160</t>
  </si>
  <si>
    <t>CUST00161</t>
  </si>
  <si>
    <t>CUST00162</t>
  </si>
  <si>
    <t>CUST00163</t>
  </si>
  <si>
    <t>CUST00164</t>
  </si>
  <si>
    <t>CUST00165</t>
  </si>
  <si>
    <t>CUST00166</t>
  </si>
  <si>
    <t>CUST00167</t>
  </si>
  <si>
    <t>CUST00168</t>
  </si>
  <si>
    <t>CUST00169</t>
  </si>
  <si>
    <t>CUST00170</t>
  </si>
  <si>
    <t>CUST00171</t>
  </si>
  <si>
    <t>CUST00172</t>
  </si>
  <si>
    <t>CUST00173</t>
  </si>
  <si>
    <t>CUST00174</t>
  </si>
  <si>
    <t>CUST00175</t>
  </si>
  <si>
    <t>CUST00176</t>
  </si>
  <si>
    <t>CUST00177</t>
  </si>
  <si>
    <t>CUST00178</t>
  </si>
  <si>
    <t>CUST00179</t>
  </si>
  <si>
    <t>CUST00180</t>
  </si>
  <si>
    <t>CUST00181</t>
  </si>
  <si>
    <t>CUST00182</t>
  </si>
  <si>
    <t>CUST00183</t>
  </si>
  <si>
    <t>CUST00184</t>
  </si>
  <si>
    <t>CUST00185</t>
  </si>
  <si>
    <t>CUST00186</t>
  </si>
  <si>
    <t>CUST00187</t>
  </si>
  <si>
    <t>CUST00188</t>
  </si>
  <si>
    <t>CUST00189</t>
  </si>
  <si>
    <t>CUST00190</t>
  </si>
  <si>
    <t>CUST00191</t>
  </si>
  <si>
    <t>CUST00192</t>
  </si>
  <si>
    <t>CUST00193</t>
  </si>
  <si>
    <t>CUST00194</t>
  </si>
  <si>
    <t>CUST00195</t>
  </si>
  <si>
    <t>CUST00196</t>
  </si>
  <si>
    <t>CUST00197</t>
  </si>
  <si>
    <t>CUST00198</t>
  </si>
  <si>
    <t>CUST00199</t>
  </si>
  <si>
    <t>CUST00200</t>
  </si>
  <si>
    <t>CUST00201</t>
  </si>
  <si>
    <t>CUST00202</t>
  </si>
  <si>
    <t>CUST00203</t>
  </si>
  <si>
    <t>CUST00204</t>
  </si>
  <si>
    <t>CUST00205</t>
  </si>
  <si>
    <t>CUST00206</t>
  </si>
  <si>
    <t>CUST00207</t>
  </si>
  <si>
    <t>CUST00208</t>
  </si>
  <si>
    <t>CUST00209</t>
  </si>
  <si>
    <t>CUST00210</t>
  </si>
  <si>
    <t>CUST00211</t>
  </si>
  <si>
    <t>CUST00212</t>
  </si>
  <si>
    <t>CUST00213</t>
  </si>
  <si>
    <t>CUST00214</t>
  </si>
  <si>
    <t>CUST00215</t>
  </si>
  <si>
    <t>CUST00216</t>
  </si>
  <si>
    <t>CUST00217</t>
  </si>
  <si>
    <t>CUST00218</t>
  </si>
  <si>
    <t>CUST00219</t>
  </si>
  <si>
    <t>CUST00220</t>
  </si>
  <si>
    <t>CUST00221</t>
  </si>
  <si>
    <t>CUST00222</t>
  </si>
  <si>
    <t>CUST00223</t>
  </si>
  <si>
    <t>CUST00224</t>
  </si>
  <si>
    <t>CUST00225</t>
  </si>
  <si>
    <t>CUST00226</t>
  </si>
  <si>
    <t>CUST00227</t>
  </si>
  <si>
    <t>CUST00228</t>
  </si>
  <si>
    <t>CUST00229</t>
  </si>
  <si>
    <t>CUST00230</t>
  </si>
  <si>
    <t>CUST00231</t>
  </si>
  <si>
    <t>CUST00232</t>
  </si>
  <si>
    <t>CUST00233</t>
  </si>
  <si>
    <t>CUST00234</t>
  </si>
  <si>
    <t>CUST00235</t>
  </si>
  <si>
    <t>CUST00236</t>
  </si>
  <si>
    <t>CUST00237</t>
  </si>
  <si>
    <t>CUST00238</t>
  </si>
  <si>
    <t>CUST00239</t>
  </si>
  <si>
    <t>CUST00240</t>
  </si>
  <si>
    <t>CUST00241</t>
  </si>
  <si>
    <t>CUST00242</t>
  </si>
  <si>
    <t>CUST00243</t>
  </si>
  <si>
    <t>CUST00244</t>
  </si>
  <si>
    <t>CUST00245</t>
  </si>
  <si>
    <t>CUST00246</t>
  </si>
  <si>
    <t>CUST00247</t>
  </si>
  <si>
    <t>CUST00248</t>
  </si>
  <si>
    <t>CUST00249</t>
  </si>
  <si>
    <t>CUST00250</t>
  </si>
  <si>
    <t>CUST00251</t>
  </si>
  <si>
    <t>CUST00252</t>
  </si>
  <si>
    <t>CUST00253</t>
  </si>
  <si>
    <t>CUST00254</t>
  </si>
  <si>
    <t>CUST00255</t>
  </si>
  <si>
    <t>CUST00256</t>
  </si>
  <si>
    <t>CUST00257</t>
  </si>
  <si>
    <t>CUST00258</t>
  </si>
  <si>
    <t>CUST00259</t>
  </si>
  <si>
    <t>CUST00260</t>
  </si>
  <si>
    <t>CUST00261</t>
  </si>
  <si>
    <t>CUST00262</t>
  </si>
  <si>
    <t>CUST00263</t>
  </si>
  <si>
    <t>CUST00264</t>
  </si>
  <si>
    <t>CUST00265</t>
  </si>
  <si>
    <t>CUST00266</t>
  </si>
  <si>
    <t>CUST00267</t>
  </si>
  <si>
    <t>CUST00268</t>
  </si>
  <si>
    <t>CUST00269</t>
  </si>
  <si>
    <t>CUST00270</t>
  </si>
  <si>
    <t>CUST00271</t>
  </si>
  <si>
    <t>CUST00272</t>
  </si>
  <si>
    <t>CUST00273</t>
  </si>
  <si>
    <t>CUST00274</t>
  </si>
  <si>
    <t>CUST00275</t>
  </si>
  <si>
    <t>CUST00276</t>
  </si>
  <si>
    <t>CUST00277</t>
  </si>
  <si>
    <t>CUST00278</t>
  </si>
  <si>
    <t>CUST00279</t>
  </si>
  <si>
    <t>CUST00280</t>
  </si>
  <si>
    <t>CUST00281</t>
  </si>
  <si>
    <t>CUST00282</t>
  </si>
  <si>
    <t>CUST00283</t>
  </si>
  <si>
    <t>CUST00284</t>
  </si>
  <si>
    <t>CUST00285</t>
  </si>
  <si>
    <t>CUST00286</t>
  </si>
  <si>
    <t>CUST00287</t>
  </si>
  <si>
    <t>CUST00288</t>
  </si>
  <si>
    <t>CUST00289</t>
  </si>
  <si>
    <t>CUST00290</t>
  </si>
  <si>
    <t>CUST00291</t>
  </si>
  <si>
    <t>CUST00292</t>
  </si>
  <si>
    <t>CUST00293</t>
  </si>
  <si>
    <t>CUST00294</t>
  </si>
  <si>
    <t>CUST00295</t>
  </si>
  <si>
    <t>CUST00296</t>
  </si>
  <si>
    <t>CUST00297</t>
  </si>
  <si>
    <t>CUST00298</t>
  </si>
  <si>
    <t>CUST00299</t>
  </si>
  <si>
    <t>CUST00300</t>
  </si>
  <si>
    <t>CUST00301</t>
  </si>
  <si>
    <t>CUST00302</t>
  </si>
  <si>
    <t>CUST00303</t>
  </si>
  <si>
    <t>CUST00304</t>
  </si>
  <si>
    <t>CUST00305</t>
  </si>
  <si>
    <t>CUST00306</t>
  </si>
  <si>
    <t>CUST00307</t>
  </si>
  <si>
    <t>CUST00308</t>
  </si>
  <si>
    <t>CUST00309</t>
  </si>
  <si>
    <t>CUST00310</t>
  </si>
  <si>
    <t>CUST00311</t>
  </si>
  <si>
    <t>CUST00312</t>
  </si>
  <si>
    <t>CUST00313</t>
  </si>
  <si>
    <t>CUST00314</t>
  </si>
  <si>
    <t>CUST00315</t>
  </si>
  <si>
    <t>CUST00316</t>
  </si>
  <si>
    <t>CUST00317</t>
  </si>
  <si>
    <t>CUST00318</t>
  </si>
  <si>
    <t>CUST00319</t>
  </si>
  <si>
    <t>CUST00320</t>
  </si>
  <si>
    <t>CUST00321</t>
  </si>
  <si>
    <t>CUST00322</t>
  </si>
  <si>
    <t>CUST00323</t>
  </si>
  <si>
    <t>CUST00324</t>
  </si>
  <si>
    <t>CUST00325</t>
  </si>
  <si>
    <t>CUST00326</t>
  </si>
  <si>
    <t>CUST00327</t>
  </si>
  <si>
    <t>CUST00328</t>
  </si>
  <si>
    <t>CUST00329</t>
  </si>
  <si>
    <t>CUST00330</t>
  </si>
  <si>
    <t>CUST00331</t>
  </si>
  <si>
    <t>CUST00332</t>
  </si>
  <si>
    <t>CUST00333</t>
  </si>
  <si>
    <t>CUST00334</t>
  </si>
  <si>
    <t>CUST00335</t>
  </si>
  <si>
    <t>CUST00336</t>
  </si>
  <si>
    <t>CUST00337</t>
  </si>
  <si>
    <t>CUST00338</t>
  </si>
  <si>
    <t>CUST00339</t>
  </si>
  <si>
    <t>CUST00340</t>
  </si>
  <si>
    <t>CUST00341</t>
  </si>
  <si>
    <t>CUST00342</t>
  </si>
  <si>
    <t>CUST00343</t>
  </si>
  <si>
    <t>CUST00344</t>
  </si>
  <si>
    <t>CUST00345</t>
  </si>
  <si>
    <t>CUST00346</t>
  </si>
  <si>
    <t>CUST00347</t>
  </si>
  <si>
    <t>CUST00348</t>
  </si>
  <si>
    <t>CUST00349</t>
  </si>
  <si>
    <t>CUST00350</t>
  </si>
  <si>
    <t>CUST00351</t>
  </si>
  <si>
    <t>CUST00352</t>
  </si>
  <si>
    <t>CUST00353</t>
  </si>
  <si>
    <t>CUST00354</t>
  </si>
  <si>
    <t>CUST00355</t>
  </si>
  <si>
    <t>CUST00356</t>
  </si>
  <si>
    <t>CUST00357</t>
  </si>
  <si>
    <t>CUST00358</t>
  </si>
  <si>
    <t>CUST00359</t>
  </si>
  <si>
    <t>CUST00360</t>
  </si>
  <si>
    <t>CUST00361</t>
  </si>
  <si>
    <t>CUST00362</t>
  </si>
  <si>
    <t>CUST00363</t>
  </si>
  <si>
    <t>CUST00364</t>
  </si>
  <si>
    <t>CUST00365</t>
  </si>
  <si>
    <t>CUST00366</t>
  </si>
  <si>
    <t>CUST00367</t>
  </si>
  <si>
    <t>CUST00368</t>
  </si>
  <si>
    <t>CUST00369</t>
  </si>
  <si>
    <t>CUST00370</t>
  </si>
  <si>
    <t>CUST00371</t>
  </si>
  <si>
    <t>CUST00372</t>
  </si>
  <si>
    <t>CUST00373</t>
  </si>
  <si>
    <t>CUST00374</t>
  </si>
  <si>
    <t>CUST00375</t>
  </si>
  <si>
    <t>CUST00376</t>
  </si>
  <si>
    <t>CUST00377</t>
  </si>
  <si>
    <t>CUST00378</t>
  </si>
  <si>
    <t>CUST00379</t>
  </si>
  <si>
    <t>CUST00380</t>
  </si>
  <si>
    <t>CUST00381</t>
  </si>
  <si>
    <t>CUST00382</t>
  </si>
  <si>
    <t>CUST00383</t>
  </si>
  <si>
    <t>CUST00384</t>
  </si>
  <si>
    <t>CUST00385</t>
  </si>
  <si>
    <t>CUST00386</t>
  </si>
  <si>
    <t>CUST00387</t>
  </si>
  <si>
    <t>CUST00388</t>
  </si>
  <si>
    <t>CUST00389</t>
  </si>
  <si>
    <t>CUST00390</t>
  </si>
  <si>
    <t>CUST00391</t>
  </si>
  <si>
    <t>CUST00392</t>
  </si>
  <si>
    <t>CUST00393</t>
  </si>
  <si>
    <t>CUST00394</t>
  </si>
  <si>
    <t>CUST00395</t>
  </si>
  <si>
    <t>CUST00396</t>
  </si>
  <si>
    <t>CUST00397</t>
  </si>
  <si>
    <t>CUST00398</t>
  </si>
  <si>
    <t>CUST00399</t>
  </si>
  <si>
    <t>CUST00400</t>
  </si>
  <si>
    <t>CUST00401</t>
  </si>
  <si>
    <t>CUST00402</t>
  </si>
  <si>
    <t>CUST00403</t>
  </si>
  <si>
    <t>CUST00404</t>
  </si>
  <si>
    <t>CUST00405</t>
  </si>
  <si>
    <t>CUST00406</t>
  </si>
  <si>
    <t>CUST00407</t>
  </si>
  <si>
    <t>CUST00408</t>
  </si>
  <si>
    <t>CUST00409</t>
  </si>
  <si>
    <t>CUST00410</t>
  </si>
  <si>
    <t>CUST00411</t>
  </si>
  <si>
    <t>CUST00412</t>
  </si>
  <si>
    <t>CUST00413</t>
  </si>
  <si>
    <t>CUST00414</t>
  </si>
  <si>
    <t>CUST00415</t>
  </si>
  <si>
    <t>CUST00416</t>
  </si>
  <si>
    <t>CUST00417</t>
  </si>
  <si>
    <t>CUST00418</t>
  </si>
  <si>
    <t>CUST00419</t>
  </si>
  <si>
    <t>CUST00420</t>
  </si>
  <si>
    <t>CUST00421</t>
  </si>
  <si>
    <t>CUST00422</t>
  </si>
  <si>
    <t>CUST00423</t>
  </si>
  <si>
    <t>CUST00424</t>
  </si>
  <si>
    <t>CUST00425</t>
  </si>
  <si>
    <t>CUST00426</t>
  </si>
  <si>
    <t>CUST00427</t>
  </si>
  <si>
    <t>CUST00428</t>
  </si>
  <si>
    <t>CUST00429</t>
  </si>
  <si>
    <t>CUST00430</t>
  </si>
  <si>
    <t>CUST00431</t>
  </si>
  <si>
    <t>CUST00432</t>
  </si>
  <si>
    <t>CUST00433</t>
  </si>
  <si>
    <t>CUST00434</t>
  </si>
  <si>
    <t>CUST00435</t>
  </si>
  <si>
    <t>CUST00436</t>
  </si>
  <si>
    <t>CUST00437</t>
  </si>
  <si>
    <t>CUST00438</t>
  </si>
  <si>
    <t>CUST00439</t>
  </si>
  <si>
    <t>CUST00440</t>
  </si>
  <si>
    <t>CUST00441</t>
  </si>
  <si>
    <t>CUST00442</t>
  </si>
  <si>
    <t>CUST00443</t>
  </si>
  <si>
    <t>CUST00444</t>
  </si>
  <si>
    <t>CUST00445</t>
  </si>
  <si>
    <t>CUST00446</t>
  </si>
  <si>
    <t>CUST00447</t>
  </si>
  <si>
    <t>CUST00448</t>
  </si>
  <si>
    <t>CUST00449</t>
  </si>
  <si>
    <t>CUST00450</t>
  </si>
  <si>
    <t>CUST00451</t>
  </si>
  <si>
    <t>CUST00452</t>
  </si>
  <si>
    <t>CUST00453</t>
  </si>
  <si>
    <t>CUST00454</t>
  </si>
  <si>
    <t>CUST00455</t>
  </si>
  <si>
    <t>CUST00456</t>
  </si>
  <si>
    <t>CUST00457</t>
  </si>
  <si>
    <t>CUST00458</t>
  </si>
  <si>
    <t>CUST00459</t>
  </si>
  <si>
    <t>CUST00460</t>
  </si>
  <si>
    <t>CUST00461</t>
  </si>
  <si>
    <t>CUST00462</t>
  </si>
  <si>
    <t>CUST00463</t>
  </si>
  <si>
    <t>CUST00464</t>
  </si>
  <si>
    <t>CUST00465</t>
  </si>
  <si>
    <t>CUST00466</t>
  </si>
  <si>
    <t>CUST00467</t>
  </si>
  <si>
    <t>CUST00468</t>
  </si>
  <si>
    <t>CUST00469</t>
  </si>
  <si>
    <t>CUST00470</t>
  </si>
  <si>
    <t>CUST00471</t>
  </si>
  <si>
    <t>CUST00472</t>
  </si>
  <si>
    <t>CUST00473</t>
  </si>
  <si>
    <t>CUST00474</t>
  </si>
  <si>
    <t>CUST00475</t>
  </si>
  <si>
    <t>CUST00476</t>
  </si>
  <si>
    <t>CUST00477</t>
  </si>
  <si>
    <t>CUST00478</t>
  </si>
  <si>
    <t>CUST00479</t>
  </si>
  <si>
    <t>CUST00480</t>
  </si>
  <si>
    <t>CUST00481</t>
  </si>
  <si>
    <t>CUST00482</t>
  </si>
  <si>
    <t>CUST00483</t>
  </si>
  <si>
    <t>CUST00484</t>
  </si>
  <si>
    <t>CUST00485</t>
  </si>
  <si>
    <t>CUST00486</t>
  </si>
  <si>
    <t>CUST00487</t>
  </si>
  <si>
    <t>CUST00488</t>
  </si>
  <si>
    <t>CUST00489</t>
  </si>
  <si>
    <t>CUST00490</t>
  </si>
  <si>
    <t>CUST00491</t>
  </si>
  <si>
    <t>CUST00492</t>
  </si>
  <si>
    <t>CUST00493</t>
  </si>
  <si>
    <t>CUST00494</t>
  </si>
  <si>
    <t>CUST00495</t>
  </si>
  <si>
    <t>CUST00496</t>
  </si>
  <si>
    <t>CUST00497</t>
  </si>
  <si>
    <t>CUST00498</t>
  </si>
  <si>
    <t>CUST00499</t>
  </si>
  <si>
    <t>CUST00500</t>
  </si>
  <si>
    <t>CUST00501</t>
  </si>
  <si>
    <t>CUST00502</t>
  </si>
  <si>
    <t>CUST00503</t>
  </si>
  <si>
    <t>CUST00504</t>
  </si>
  <si>
    <t>CUST00505</t>
  </si>
  <si>
    <t>CUST00506</t>
  </si>
  <si>
    <t>CUST00507</t>
  </si>
  <si>
    <t>CUST00508</t>
  </si>
  <si>
    <t>CUST00509</t>
  </si>
  <si>
    <t>CUST00510</t>
  </si>
  <si>
    <t>CUST00511</t>
  </si>
  <si>
    <t>CUST00512</t>
  </si>
  <si>
    <t>CUST00513</t>
  </si>
  <si>
    <t>CUST00514</t>
  </si>
  <si>
    <t>CUST00515</t>
  </si>
  <si>
    <t>CUST00516</t>
  </si>
  <si>
    <t>CUST00517</t>
  </si>
  <si>
    <t>CUST00518</t>
  </si>
  <si>
    <t>CUST00519</t>
  </si>
  <si>
    <t>CUST00520</t>
  </si>
  <si>
    <t>CUST00521</t>
  </si>
  <si>
    <t>CUST00522</t>
  </si>
  <si>
    <t>CUST00523</t>
  </si>
  <si>
    <t>CUST00524</t>
  </si>
  <si>
    <t>CUST00525</t>
  </si>
  <si>
    <t>CUST00526</t>
  </si>
  <si>
    <t>CUST00527</t>
  </si>
  <si>
    <t>CUST00528</t>
  </si>
  <si>
    <t>CUST00529</t>
  </si>
  <si>
    <t>CUST00530</t>
  </si>
  <si>
    <t>CUST00531</t>
  </si>
  <si>
    <t>CUST00532</t>
  </si>
  <si>
    <t>CUST00533</t>
  </si>
  <si>
    <t>CUST00534</t>
  </si>
  <si>
    <t>CUST00535</t>
  </si>
  <si>
    <t>CUST00536</t>
  </si>
  <si>
    <t>CUST00537</t>
  </si>
  <si>
    <t>CUST00538</t>
  </si>
  <si>
    <t>CUST00539</t>
  </si>
  <si>
    <t>CUST00540</t>
  </si>
  <si>
    <t>CUST00541</t>
  </si>
  <si>
    <t>CUST00542</t>
  </si>
  <si>
    <t>CUST00543</t>
  </si>
  <si>
    <t>CUST00544</t>
  </si>
  <si>
    <t>CUST00545</t>
  </si>
  <si>
    <t>CUST00546</t>
  </si>
  <si>
    <t>CUST00547</t>
  </si>
  <si>
    <t>CUST00548</t>
  </si>
  <si>
    <t>CUST00549</t>
  </si>
  <si>
    <t>CUST00550</t>
  </si>
  <si>
    <t>CUST00551</t>
  </si>
  <si>
    <t>CUST00552</t>
  </si>
  <si>
    <t>CUST00553</t>
  </si>
  <si>
    <t>CUST00554</t>
  </si>
  <si>
    <t>CUST00555</t>
  </si>
  <si>
    <t>CUST00556</t>
  </si>
  <si>
    <t>CUST00557</t>
  </si>
  <si>
    <t>CUST00558</t>
  </si>
  <si>
    <t>CUST00559</t>
  </si>
  <si>
    <t>CUST00560</t>
  </si>
  <si>
    <t>CUST00561</t>
  </si>
  <si>
    <t>CUST00562</t>
  </si>
  <si>
    <t>CUST00563</t>
  </si>
  <si>
    <t>CUST00564</t>
  </si>
  <si>
    <t>CUST00565</t>
  </si>
  <si>
    <t>CUST00566</t>
  </si>
  <si>
    <t>CUST00567</t>
  </si>
  <si>
    <t>CUST00568</t>
  </si>
  <si>
    <t>CUST00569</t>
  </si>
  <si>
    <t>CUST00570</t>
  </si>
  <si>
    <t>CUST00571</t>
  </si>
  <si>
    <t>CUST00572</t>
  </si>
  <si>
    <t>CUST00573</t>
  </si>
  <si>
    <t>CUST00574</t>
  </si>
  <si>
    <t>CUST00575</t>
  </si>
  <si>
    <t>CUST00576</t>
  </si>
  <si>
    <t>CUST00577</t>
  </si>
  <si>
    <t>CUST00578</t>
  </si>
  <si>
    <t>CUST00579</t>
  </si>
  <si>
    <t>CUST00580</t>
  </si>
  <si>
    <t>CUST00581</t>
  </si>
  <si>
    <t>CUST00582</t>
  </si>
  <si>
    <t>CUST00583</t>
  </si>
  <si>
    <t>CUST00584</t>
  </si>
  <si>
    <t>CUST00585</t>
  </si>
  <si>
    <t>CUST00586</t>
  </si>
  <si>
    <t>CUST00587</t>
  </si>
  <si>
    <t>CUST00588</t>
  </si>
  <si>
    <t>CUST00589</t>
  </si>
  <si>
    <t>CUST00590</t>
  </si>
  <si>
    <t>CUST00591</t>
  </si>
  <si>
    <t>CUST00592</t>
  </si>
  <si>
    <t>CUST00593</t>
  </si>
  <si>
    <t>CUST00594</t>
  </si>
  <si>
    <t>CUST00595</t>
  </si>
  <si>
    <t>CUST00596</t>
  </si>
  <si>
    <t>CUST00597</t>
  </si>
  <si>
    <t>CUST00598</t>
  </si>
  <si>
    <t>CUST00599</t>
  </si>
  <si>
    <t>CUST00600</t>
  </si>
  <si>
    <t>CUST00601</t>
  </si>
  <si>
    <t>CUST00602</t>
  </si>
  <si>
    <t>CUST00603</t>
  </si>
  <si>
    <t>CUST00604</t>
  </si>
  <si>
    <t>CUST00605</t>
  </si>
  <si>
    <t>CUST00606</t>
  </si>
  <si>
    <t>CUST00607</t>
  </si>
  <si>
    <t>CUST00608</t>
  </si>
  <si>
    <t>CUST00609</t>
  </si>
  <si>
    <t>CUST00610</t>
  </si>
  <si>
    <t>CUST00611</t>
  </si>
  <si>
    <t>CUST00612</t>
  </si>
  <si>
    <t>CUST00613</t>
  </si>
  <si>
    <t>CUST00614</t>
  </si>
  <si>
    <t>CUST00615</t>
  </si>
  <si>
    <t>CUST00616</t>
  </si>
  <si>
    <t>CUST00617</t>
  </si>
  <si>
    <t>CUST00618</t>
  </si>
  <si>
    <t>CUST00619</t>
  </si>
  <si>
    <t>CUST00620</t>
  </si>
  <si>
    <t>CUST00621</t>
  </si>
  <si>
    <t>CUST00622</t>
  </si>
  <si>
    <t>CUST00623</t>
  </si>
  <si>
    <t>CUST00624</t>
  </si>
  <si>
    <t>CUST00625</t>
  </si>
  <si>
    <t>CUST00626</t>
  </si>
  <si>
    <t>CUST00627</t>
  </si>
  <si>
    <t>CUST00628</t>
  </si>
  <si>
    <t>CUST00629</t>
  </si>
  <si>
    <t>CUST00630</t>
  </si>
  <si>
    <t>CUST00631</t>
  </si>
  <si>
    <t>CUST00632</t>
  </si>
  <si>
    <t>CUST00633</t>
  </si>
  <si>
    <t>CUST00634</t>
  </si>
  <si>
    <t>CUST00635</t>
  </si>
  <si>
    <t>CUST00636</t>
  </si>
  <si>
    <t>CUST00637</t>
  </si>
  <si>
    <t>CUST00638</t>
  </si>
  <si>
    <t>CUST00639</t>
  </si>
  <si>
    <t>CUST00640</t>
  </si>
  <si>
    <t>CUST00641</t>
  </si>
  <si>
    <t>CUST00642</t>
  </si>
  <si>
    <t>CUST00643</t>
  </si>
  <si>
    <t>CUST00644</t>
  </si>
  <si>
    <t>CUST00645</t>
  </si>
  <si>
    <t>CUST00646</t>
  </si>
  <si>
    <t>CUST00647</t>
  </si>
  <si>
    <t>CUST00648</t>
  </si>
  <si>
    <t>CUST00649</t>
  </si>
  <si>
    <t>CUST00650</t>
  </si>
  <si>
    <t>CUST00651</t>
  </si>
  <si>
    <t>CUST00652</t>
  </si>
  <si>
    <t>CUST00653</t>
  </si>
  <si>
    <t>CUST00654</t>
  </si>
  <si>
    <t>CUST00655</t>
  </si>
  <si>
    <t>CUST00656</t>
  </si>
  <si>
    <t>CUST00657</t>
  </si>
  <si>
    <t>CUST00658</t>
  </si>
  <si>
    <t>CUST00659</t>
  </si>
  <si>
    <t>CUST00660</t>
  </si>
  <si>
    <t>CUST00661</t>
  </si>
  <si>
    <t>CUST00662</t>
  </si>
  <si>
    <t>CUST00663</t>
  </si>
  <si>
    <t>CUST00664</t>
  </si>
  <si>
    <t>CUST00665</t>
  </si>
  <si>
    <t>CUST00666</t>
  </si>
  <si>
    <t>CUST00667</t>
  </si>
  <si>
    <t>CUST00668</t>
  </si>
  <si>
    <t>CUST00669</t>
  </si>
  <si>
    <t>CUST00670</t>
  </si>
  <si>
    <t>CUST00671</t>
  </si>
  <si>
    <t>CUST00672</t>
  </si>
  <si>
    <t>CUST00673</t>
  </si>
  <si>
    <t>CUST00674</t>
  </si>
  <si>
    <t>CUST00675</t>
  </si>
  <si>
    <t>CUST00676</t>
  </si>
  <si>
    <t>CUST00677</t>
  </si>
  <si>
    <t>CUST00678</t>
  </si>
  <si>
    <t>CUST00679</t>
  </si>
  <si>
    <t>CUST00680</t>
  </si>
  <si>
    <t>CUST00681</t>
  </si>
  <si>
    <t>CUST00682</t>
  </si>
  <si>
    <t>CUST00683</t>
  </si>
  <si>
    <t>CUST00684</t>
  </si>
  <si>
    <t>CUST00685</t>
  </si>
  <si>
    <t>CUST00686</t>
  </si>
  <si>
    <t>CUST00687</t>
  </si>
  <si>
    <t>CUST00688</t>
  </si>
  <si>
    <t>CUST00689</t>
  </si>
  <si>
    <t>CUST00690</t>
  </si>
  <si>
    <t>CUST00691</t>
  </si>
  <si>
    <t>CUST00692</t>
  </si>
  <si>
    <t>CUST00693</t>
  </si>
  <si>
    <t>CUST00694</t>
  </si>
  <si>
    <t>CUST00695</t>
  </si>
  <si>
    <t>CUST00696</t>
  </si>
  <si>
    <t>CUST00697</t>
  </si>
  <si>
    <t>CUST00698</t>
  </si>
  <si>
    <t>CUST00699</t>
  </si>
  <si>
    <t>CUST00700</t>
  </si>
  <si>
    <t>CUST00701</t>
  </si>
  <si>
    <t>CUST00702</t>
  </si>
  <si>
    <t>CUST00703</t>
  </si>
  <si>
    <t>CUST00704</t>
  </si>
  <si>
    <t>CUST00705</t>
  </si>
  <si>
    <t>CUST00706</t>
  </si>
  <si>
    <t>CUST00707</t>
  </si>
  <si>
    <t>CUST00708</t>
  </si>
  <si>
    <t>CUST00709</t>
  </si>
  <si>
    <t>CUST00710</t>
  </si>
  <si>
    <t>CUST00711</t>
  </si>
  <si>
    <t>CUST00712</t>
  </si>
  <si>
    <t>CUST00713</t>
  </si>
  <si>
    <t>CUST00714</t>
  </si>
  <si>
    <t>CUST00715</t>
  </si>
  <si>
    <t>CUST00716</t>
  </si>
  <si>
    <t>CUST00717</t>
  </si>
  <si>
    <t>CUST00718</t>
  </si>
  <si>
    <t>CUST00719</t>
  </si>
  <si>
    <t>CUST00720</t>
  </si>
  <si>
    <t>CUST00721</t>
  </si>
  <si>
    <t>CUST00722</t>
  </si>
  <si>
    <t>CUST00723</t>
  </si>
  <si>
    <t>CUST00724</t>
  </si>
  <si>
    <t>CUST00725</t>
  </si>
  <si>
    <t>CUST00726</t>
  </si>
  <si>
    <t>CUST00727</t>
  </si>
  <si>
    <t>CUST00728</t>
  </si>
  <si>
    <t>CUST00729</t>
  </si>
  <si>
    <t>CUST00730</t>
  </si>
  <si>
    <t>CUST00731</t>
  </si>
  <si>
    <t>CUST00732</t>
  </si>
  <si>
    <t>CUST00733</t>
  </si>
  <si>
    <t>CUST00734</t>
  </si>
  <si>
    <t>CUST00735</t>
  </si>
  <si>
    <t>CUST00736</t>
  </si>
  <si>
    <t>CUST00737</t>
  </si>
  <si>
    <t>CUST00738</t>
  </si>
  <si>
    <t>CUST00739</t>
  </si>
  <si>
    <t>CUST00740</t>
  </si>
  <si>
    <t>CUST00741</t>
  </si>
  <si>
    <t>CUST00742</t>
  </si>
  <si>
    <t>CUST00743</t>
  </si>
  <si>
    <t>CUST00744</t>
  </si>
  <si>
    <t>CUST00745</t>
  </si>
  <si>
    <t>CUST00746</t>
  </si>
  <si>
    <t>CUST00747</t>
  </si>
  <si>
    <t>CUST00748</t>
  </si>
  <si>
    <t>CUST00749</t>
  </si>
  <si>
    <t>CUST00750</t>
  </si>
  <si>
    <t>CUST00751</t>
  </si>
  <si>
    <t>CUST00752</t>
  </si>
  <si>
    <t>CUST00753</t>
  </si>
  <si>
    <t>CUST00754</t>
  </si>
  <si>
    <t>CUST00755</t>
  </si>
  <si>
    <t>CUST00756</t>
  </si>
  <si>
    <t>CUST00757</t>
  </si>
  <si>
    <t>CUST00758</t>
  </si>
  <si>
    <t>CUST00759</t>
  </si>
  <si>
    <t>CUST00760</t>
  </si>
  <si>
    <t>CUST00761</t>
  </si>
  <si>
    <t>CUST00762</t>
  </si>
  <si>
    <t>CUST00763</t>
  </si>
  <si>
    <t>CUST00764</t>
  </si>
  <si>
    <t>CUST00765</t>
  </si>
  <si>
    <t>CUST00766</t>
  </si>
  <si>
    <t>CUST00767</t>
  </si>
  <si>
    <t>CUST00768</t>
  </si>
  <si>
    <t>CUST00769</t>
  </si>
  <si>
    <t>CUST00770</t>
  </si>
  <si>
    <t>CUST00771</t>
  </si>
  <si>
    <t>CUST00772</t>
  </si>
  <si>
    <t>CUST00773</t>
  </si>
  <si>
    <t>CUST00774</t>
  </si>
  <si>
    <t>CUST00775</t>
  </si>
  <si>
    <t>CUST00776</t>
  </si>
  <si>
    <t>CUST00777</t>
  </si>
  <si>
    <t>CUST00778</t>
  </si>
  <si>
    <t>CUST00779</t>
  </si>
  <si>
    <t>CUST00780</t>
  </si>
  <si>
    <t>CUST00781</t>
  </si>
  <si>
    <t>CUST00782</t>
  </si>
  <si>
    <t>CUST00783</t>
  </si>
  <si>
    <t>CUST00784</t>
  </si>
  <si>
    <t>CUST00785</t>
  </si>
  <si>
    <t>CUST00786</t>
  </si>
  <si>
    <t>CUST00787</t>
  </si>
  <si>
    <t>CUST00788</t>
  </si>
  <si>
    <t>CUST00789</t>
  </si>
  <si>
    <t>CUST00790</t>
  </si>
  <si>
    <t>CUST00791</t>
  </si>
  <si>
    <t>CUST00792</t>
  </si>
  <si>
    <t>CUST00793</t>
  </si>
  <si>
    <t>CUST00794</t>
  </si>
  <si>
    <t>CUST00795</t>
  </si>
  <si>
    <t>CUST00796</t>
  </si>
  <si>
    <t>CUST00797</t>
  </si>
  <si>
    <t>CUST00798</t>
  </si>
  <si>
    <t>CUST00799</t>
  </si>
  <si>
    <t>CUST00800</t>
  </si>
  <si>
    <t>CUST00801</t>
  </si>
  <si>
    <t>CUST00802</t>
  </si>
  <si>
    <t>CUST00803</t>
  </si>
  <si>
    <t>CUST00804</t>
  </si>
  <si>
    <t>CUST00805</t>
  </si>
  <si>
    <t>CUST00806</t>
  </si>
  <si>
    <t>CUST00807</t>
  </si>
  <si>
    <t>CUST00808</t>
  </si>
  <si>
    <t>CUST00809</t>
  </si>
  <si>
    <t>CUST00810</t>
  </si>
  <si>
    <t>CUST00811</t>
  </si>
  <si>
    <t>CUST00812</t>
  </si>
  <si>
    <t>CUST00813</t>
  </si>
  <si>
    <t>CUST00814</t>
  </si>
  <si>
    <t>CUST00815</t>
  </si>
  <si>
    <t>CUST00816</t>
  </si>
  <si>
    <t>CUST00817</t>
  </si>
  <si>
    <t>CUST00818</t>
  </si>
  <si>
    <t>CUST00819</t>
  </si>
  <si>
    <t>CUST00820</t>
  </si>
  <si>
    <t>CUST00821</t>
  </si>
  <si>
    <t>CUST00822</t>
  </si>
  <si>
    <t>CUST00823</t>
  </si>
  <si>
    <t>CUST00824</t>
  </si>
  <si>
    <t>CUST00825</t>
  </si>
  <si>
    <t>CUST00826</t>
  </si>
  <si>
    <t>CUST00827</t>
  </si>
  <si>
    <t>CUST00828</t>
  </si>
  <si>
    <t>CUST00829</t>
  </si>
  <si>
    <t>CUST00830</t>
  </si>
  <si>
    <t>CUST00831</t>
  </si>
  <si>
    <t>CUST00832</t>
  </si>
  <si>
    <t>CUST00833</t>
  </si>
  <si>
    <t>CUST00834</t>
  </si>
  <si>
    <t>CUST00835</t>
  </si>
  <si>
    <t>CUST00836</t>
  </si>
  <si>
    <t>CUST00837</t>
  </si>
  <si>
    <t>CUST00838</t>
  </si>
  <si>
    <t>CUST00839</t>
  </si>
  <si>
    <t>CUST00840</t>
  </si>
  <si>
    <t>CUST00841</t>
  </si>
  <si>
    <t>CUST00842</t>
  </si>
  <si>
    <t>CUST00843</t>
  </si>
  <si>
    <t>CUST00844</t>
  </si>
  <si>
    <t>CUST00845</t>
  </si>
  <si>
    <t>CUST00846</t>
  </si>
  <si>
    <t>CUST00847</t>
  </si>
  <si>
    <t>CUST00848</t>
  </si>
  <si>
    <t>CUST00849</t>
  </si>
  <si>
    <t>CUST00850</t>
  </si>
  <si>
    <t>CUST00851</t>
  </si>
  <si>
    <t>CUST00852</t>
  </si>
  <si>
    <t>CUST00853</t>
  </si>
  <si>
    <t>CUST00854</t>
  </si>
  <si>
    <t>CUST00855</t>
  </si>
  <si>
    <t>CUST00856</t>
  </si>
  <si>
    <t>CUST00857</t>
  </si>
  <si>
    <t>CUST00858</t>
  </si>
  <si>
    <t>CUST00859</t>
  </si>
  <si>
    <t>CUST00860</t>
  </si>
  <si>
    <t>CUST00861</t>
  </si>
  <si>
    <t>CUST00862</t>
  </si>
  <si>
    <t>CUST00863</t>
  </si>
  <si>
    <t>CUST00864</t>
  </si>
  <si>
    <t>CUST00865</t>
  </si>
  <si>
    <t>CUST00866</t>
  </si>
  <si>
    <t>CUST00867</t>
  </si>
  <si>
    <t>CUST00868</t>
  </si>
  <si>
    <t>CUST00869</t>
  </si>
  <si>
    <t>CUST00870</t>
  </si>
  <si>
    <t>CUST00871</t>
  </si>
  <si>
    <t>CUST00872</t>
  </si>
  <si>
    <t>CUST00873</t>
  </si>
  <si>
    <t>CUST00874</t>
  </si>
  <si>
    <t>CUST00875</t>
  </si>
  <si>
    <t>CUST00876</t>
  </si>
  <si>
    <t>CUST00877</t>
  </si>
  <si>
    <t>CUST00878</t>
  </si>
  <si>
    <t>CUST00879</t>
  </si>
  <si>
    <t>CUST00880</t>
  </si>
  <si>
    <t>CUST00881</t>
  </si>
  <si>
    <t>CUST00882</t>
  </si>
  <si>
    <t>CUST00883</t>
  </si>
  <si>
    <t>CUST00884</t>
  </si>
  <si>
    <t>CUST00885</t>
  </si>
  <si>
    <t>CUST00886</t>
  </si>
  <si>
    <t>CUST00887</t>
  </si>
  <si>
    <t>CUST00888</t>
  </si>
  <si>
    <t>CUST00889</t>
  </si>
  <si>
    <t>CUST00890</t>
  </si>
  <si>
    <t>CUST00891</t>
  </si>
  <si>
    <t>CUST00892</t>
  </si>
  <si>
    <t>CUST00893</t>
  </si>
  <si>
    <t>CUST00894</t>
  </si>
  <si>
    <t>CUST00895</t>
  </si>
  <si>
    <t>CUST00896</t>
  </si>
  <si>
    <t>CUST00897</t>
  </si>
  <si>
    <t>CUST00898</t>
  </si>
  <si>
    <t>CUST00899</t>
  </si>
  <si>
    <t>CUST00900</t>
  </si>
  <si>
    <t>CUST00901</t>
  </si>
  <si>
    <t>CUST00902</t>
  </si>
  <si>
    <t>CUST00903</t>
  </si>
  <si>
    <t>CUST00904</t>
  </si>
  <si>
    <t>CUST00905</t>
  </si>
  <si>
    <t>CUST00906</t>
  </si>
  <si>
    <t>CUST00907</t>
  </si>
  <si>
    <t>CUST00908</t>
  </si>
  <si>
    <t>CUST00909</t>
  </si>
  <si>
    <t>CUST00910</t>
  </si>
  <si>
    <t>CUST00911</t>
  </si>
  <si>
    <t>CUST00912</t>
  </si>
  <si>
    <t>CUST00913</t>
  </si>
  <si>
    <t>CUST00914</t>
  </si>
  <si>
    <t>CUST00915</t>
  </si>
  <si>
    <t>CUST00916</t>
  </si>
  <si>
    <t>CUST00917</t>
  </si>
  <si>
    <t>CUST00918</t>
  </si>
  <si>
    <t>CUST00919</t>
  </si>
  <si>
    <t>CUST00920</t>
  </si>
  <si>
    <t>CUST00921</t>
  </si>
  <si>
    <t>CUST00922</t>
  </si>
  <si>
    <t>CUST00923</t>
  </si>
  <si>
    <t>CUST00924</t>
  </si>
  <si>
    <t>CUST00925</t>
  </si>
  <si>
    <t>CUST00926</t>
  </si>
  <si>
    <t>CUST00927</t>
  </si>
  <si>
    <t>CUST00928</t>
  </si>
  <si>
    <t>CUST00929</t>
  </si>
  <si>
    <t>CUST00930</t>
  </si>
  <si>
    <t>CUST00931</t>
  </si>
  <si>
    <t>CUST00932</t>
  </si>
  <si>
    <t>CUST00933</t>
  </si>
  <si>
    <t>CUST00934</t>
  </si>
  <si>
    <t>CUST00935</t>
  </si>
  <si>
    <t>CUST00936</t>
  </si>
  <si>
    <t>CUST00937</t>
  </si>
  <si>
    <t>CUST00938</t>
  </si>
  <si>
    <t>CUST00939</t>
  </si>
  <si>
    <t>CUST00940</t>
  </si>
  <si>
    <t>CUST00941</t>
  </si>
  <si>
    <t>CUST00942</t>
  </si>
  <si>
    <t>CUST00943</t>
  </si>
  <si>
    <t>CUST00944</t>
  </si>
  <si>
    <t>CUST00945</t>
  </si>
  <si>
    <t>CUST00946</t>
  </si>
  <si>
    <t>CUST00947</t>
  </si>
  <si>
    <t>CUST00948</t>
  </si>
  <si>
    <t>CUST00949</t>
  </si>
  <si>
    <t>CUST00950</t>
  </si>
  <si>
    <t>CUST00951</t>
  </si>
  <si>
    <t>CUST00952</t>
  </si>
  <si>
    <t>CUST00953</t>
  </si>
  <si>
    <t>CUST00954</t>
  </si>
  <si>
    <t>CUST00955</t>
  </si>
  <si>
    <t>CUST00956</t>
  </si>
  <si>
    <t>CUST00957</t>
  </si>
  <si>
    <t>CUST00958</t>
  </si>
  <si>
    <t>CUST00959</t>
  </si>
  <si>
    <t>CUST00960</t>
  </si>
  <si>
    <t>CUST00961</t>
  </si>
  <si>
    <t>CUST00962</t>
  </si>
  <si>
    <t>CUST00963</t>
  </si>
  <si>
    <t>CUST00964</t>
  </si>
  <si>
    <t>CUST00965</t>
  </si>
  <si>
    <t>CUST00966</t>
  </si>
  <si>
    <t>CUST00967</t>
  </si>
  <si>
    <t>CUST00968</t>
  </si>
  <si>
    <t>CUST00969</t>
  </si>
  <si>
    <t>CUST00970</t>
  </si>
  <si>
    <t>CUST00971</t>
  </si>
  <si>
    <t>CUST00972</t>
  </si>
  <si>
    <t>CUST00973</t>
  </si>
  <si>
    <t>CUST00974</t>
  </si>
  <si>
    <t>CUST00975</t>
  </si>
  <si>
    <t>CUST00976</t>
  </si>
  <si>
    <t>CUST00977</t>
  </si>
  <si>
    <t>CUST00978</t>
  </si>
  <si>
    <t>CUST00979</t>
  </si>
  <si>
    <t>CUST00980</t>
  </si>
  <si>
    <t>CUST00981</t>
  </si>
  <si>
    <t>CUST00982</t>
  </si>
  <si>
    <t>CUST00983</t>
  </si>
  <si>
    <t>CUST00984</t>
  </si>
  <si>
    <t>CUST00985</t>
  </si>
  <si>
    <t>CUST00986</t>
  </si>
  <si>
    <t>CUST00987</t>
  </si>
  <si>
    <t>CUST00988</t>
  </si>
  <si>
    <t>CUST00989</t>
  </si>
  <si>
    <t>CUST00990</t>
  </si>
  <si>
    <t>CUST00991</t>
  </si>
  <si>
    <t>CUST00992</t>
  </si>
  <si>
    <t>CUST00993</t>
  </si>
  <si>
    <t>CUST00994</t>
  </si>
  <si>
    <t>CUST00995</t>
  </si>
  <si>
    <t>CUST00996</t>
  </si>
  <si>
    <t>CUST00997</t>
  </si>
  <si>
    <t>CUST00998</t>
  </si>
  <si>
    <t>CUST00999</t>
  </si>
  <si>
    <t>CUST01000</t>
  </si>
  <si>
    <t>XLOOKUP</t>
  </si>
  <si>
    <t>VLOOKUP</t>
  </si>
  <si>
    <t>HLOOKUP</t>
  </si>
  <si>
    <t>Row Labels</t>
  </si>
  <si>
    <t>Grand Total</t>
  </si>
  <si>
    <t>Count of CustomerID</t>
  </si>
  <si>
    <t>Average of AccountAge_Months</t>
  </si>
  <si>
    <t>Column Labels</t>
  </si>
  <si>
    <t>CUSTOMERS DISTRIBUTION  BY PLATFORM</t>
  </si>
  <si>
    <t>Total Customers</t>
  </si>
  <si>
    <t>Average Account Age</t>
  </si>
  <si>
    <t>Top OTT Platform</t>
  </si>
  <si>
    <t>Top Subscription Plan</t>
  </si>
  <si>
    <t>customer_count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</si>
</sst>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49" fontId="0" fillId="0" borderId="0" xfId="0" applyNumberFormat="1"/>
    <xf numFmtId="1" fontId="0" fillId="0" borderId="0" xfId="0" applyNumberFormat="1"/>
    <xf numFmtId="164" fontId="0" fillId="0" borderId="0" xfId="0" applyNumberFormat="1"/>
    <xf numFmtId="0" fontId="0" fillId="0" borderId="10" xfId="0" applyBorder="1"/>
    <xf numFmtId="49" fontId="0" fillId="0" borderId="10" xfId="0" applyNumberFormat="1" applyBorder="1"/>
    <xf numFmtId="1" fontId="0" fillId="0" borderId="10" xfId="0" applyNumberFormat="1" applyBorder="1"/>
    <xf numFmtId="164" fontId="0" fillId="0" borderId="10" xfId="0" applyNumberFormat="1" applyBorder="1"/>
    <xf numFmtId="0" fontId="14" fillId="33" borderId="0" xfId="0" applyFont="1" applyFill="1"/>
    <xf numFmtId="49" fontId="16" fillId="34" borderId="10" xfId="0" applyNumberFormat="1" applyFont="1" applyFill="1" applyBorder="1" applyAlignment="1">
      <alignment horizontal="center" vertical="center"/>
    </xf>
    <xf numFmtId="1" fontId="16" fillId="34" borderId="10" xfId="0" applyNumberFormat="1" applyFont="1" applyFill="1" applyBorder="1" applyAlignment="1">
      <alignment horizontal="center" vertical="center"/>
    </xf>
    <xf numFmtId="0" fontId="16" fillId="34" borderId="10" xfId="0" applyFont="1" applyFill="1" applyBorder="1" applyAlignment="1">
      <alignment horizontal="center" vertical="center"/>
    </xf>
    <xf numFmtId="164" fontId="16" fillId="34" borderId="10" xfId="0" applyNumberFormat="1" applyFont="1" applyFill="1" applyBorder="1" applyAlignment="1">
      <alignment horizontal="center" vertical="center"/>
    </xf>
    <xf numFmtId="49" fontId="16" fillId="34" borderId="10" xfId="0" applyNumberFormat="1" applyFont="1" applyFill="1" applyBorder="1" applyAlignment="1">
      <alignment horizontal="left" vertical="center"/>
    </xf>
    <xf numFmtId="0" fontId="0" fillId="0" borderId="0" xfId="0" pivotButton="1"/>
    <xf numFmtId="0" fontId="0" fillId="0" borderId="0" xfId="0" applyAlignment="1">
      <alignment horizontal="left"/>
    </xf>
    <xf numFmtId="0" fontId="18" fillId="33" borderId="0" xfId="0" applyFont="1" applyFill="1"/>
    <xf numFmtId="0" fontId="0" fillId="33"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color rgb="FF9C0006"/>
      </font>
      <fill>
        <patternFill>
          <bgColor rgb="FFFFC7CE"/>
        </patternFill>
      </fill>
    </dxf>
    <dxf>
      <numFmt numFmtId="30" formatCode="@"/>
    </dxf>
    <dxf>
      <numFmt numFmtId="30" formatCode="@"/>
    </dxf>
    <dxf>
      <numFmt numFmtId="164" formatCode="yyyy/mm/dd"/>
    </dxf>
    <dxf>
      <numFmt numFmtId="0" formatCode="General"/>
    </dxf>
    <dxf>
      <numFmt numFmtId="30" formatCode="@"/>
    </dxf>
    <dxf>
      <numFmt numFmtId="30" formatCode="@"/>
    </dxf>
    <dxf>
      <numFmt numFmtId="1" formatCode="0"/>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Customer Distribution by OTT Platform</a:t>
            </a:r>
            <a:endParaRPr lang="en-IN"/>
          </a:p>
        </c:rich>
      </c:tx>
      <c:layout>
        <c:manualLayout>
          <c:xMode val="edge"/>
          <c:yMode val="edge"/>
          <c:x val="0.13845122484689415"/>
          <c:y val="3.46620450606585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Pivot!$B$3</c:f>
              <c:strCache>
                <c:ptCount val="1"/>
                <c:pt idx="0">
                  <c:v>Total</c:v>
                </c:pt>
              </c:strCache>
            </c:strRef>
          </c:tx>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C9-4FC7-A7EF-ABB8BF5DA22E}"/>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C9-4FC7-A7EF-ABB8BF5DA22E}"/>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C9-4FC7-A7EF-ABB8BF5DA22E}"/>
              </c:ext>
            </c:extLst>
          </c:dPt>
          <c:dPt>
            <c:idx val="3"/>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C9-4FC7-A7EF-ABB8BF5DA22E}"/>
              </c:ext>
            </c:extLst>
          </c:dPt>
          <c:dPt>
            <c:idx val="4"/>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C9-4FC7-A7EF-ABB8BF5DA2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Pivot!$A$4:$A$9</c:f>
              <c:strCache>
                <c:ptCount val="5"/>
                <c:pt idx="0">
                  <c:v>Amazon Prime</c:v>
                </c:pt>
                <c:pt idx="1">
                  <c:v>JioHotstar</c:v>
                </c:pt>
                <c:pt idx="2">
                  <c:v>Netflix</c:v>
                </c:pt>
                <c:pt idx="3">
                  <c:v>SonyLiv</c:v>
                </c:pt>
                <c:pt idx="4">
                  <c:v>ZEE5</c:v>
                </c:pt>
              </c:strCache>
            </c:strRef>
          </c:cat>
          <c:val>
            <c:numRef>
              <c:f>Pivot!$B$4:$B$9</c:f>
              <c:numCache>
                <c:formatCode>General</c:formatCode>
                <c:ptCount val="5"/>
                <c:pt idx="0">
                  <c:v>252</c:v>
                </c:pt>
                <c:pt idx="1">
                  <c:v>237</c:v>
                </c:pt>
                <c:pt idx="2">
                  <c:v>267</c:v>
                </c:pt>
                <c:pt idx="3">
                  <c:v>131</c:v>
                </c:pt>
                <c:pt idx="4">
                  <c:v>113</c:v>
                </c:pt>
              </c:numCache>
            </c:numRef>
          </c:val>
          <c:extLst>
            <c:ext xmlns:c16="http://schemas.microsoft.com/office/drawing/2014/chart" uri="{C3380CC4-5D6E-409C-BE32-E72D297353CC}">
              <c16:uniqueId val="{00000000-5C0E-4C0C-A52B-58B23C892A3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t>Customer Distribution by Age Group</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18-24</c:v>
                </c:pt>
                <c:pt idx="1">
                  <c:v>25-34</c:v>
                </c:pt>
                <c:pt idx="2">
                  <c:v>35-44</c:v>
                </c:pt>
                <c:pt idx="3">
                  <c:v>45-54</c:v>
                </c:pt>
                <c:pt idx="4">
                  <c:v>55+</c:v>
                </c:pt>
              </c:strCache>
            </c:strRef>
          </c:cat>
          <c:val>
            <c:numRef>
              <c:f>Pivot!$B$22:$B$27</c:f>
              <c:numCache>
                <c:formatCode>General</c:formatCode>
                <c:ptCount val="5"/>
                <c:pt idx="0">
                  <c:v>250</c:v>
                </c:pt>
                <c:pt idx="1">
                  <c:v>390</c:v>
                </c:pt>
                <c:pt idx="2">
                  <c:v>278</c:v>
                </c:pt>
                <c:pt idx="3">
                  <c:v>79</c:v>
                </c:pt>
                <c:pt idx="4">
                  <c:v>3</c:v>
                </c:pt>
              </c:numCache>
            </c:numRef>
          </c:val>
          <c:extLst>
            <c:ext xmlns:c16="http://schemas.microsoft.com/office/drawing/2014/chart" uri="{C3380CC4-5D6E-409C-BE32-E72D297353CC}">
              <c16:uniqueId val="{00000000-BCDA-4024-812C-53291151FB3B}"/>
            </c:ext>
          </c:extLst>
        </c:ser>
        <c:dLbls>
          <c:showLegendKey val="0"/>
          <c:showVal val="0"/>
          <c:showCatName val="0"/>
          <c:showSerName val="0"/>
          <c:showPercent val="0"/>
          <c:showBubbleSize val="0"/>
        </c:dLbls>
        <c:gapWidth val="150"/>
        <c:axId val="1798414175"/>
        <c:axId val="1208906063"/>
      </c:barChart>
      <c:valAx>
        <c:axId val="1208906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14175"/>
        <c:crosses val="autoZero"/>
        <c:crossBetween val="between"/>
      </c:valAx>
      <c:catAx>
        <c:axId val="17984141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060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Platform-wise Subscription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Pivot!$B$33:$B$34</c:f>
              <c:strCache>
                <c:ptCount val="1"/>
                <c:pt idx="0">
                  <c:v>Basic</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Amazon Prime</c:v>
                </c:pt>
                <c:pt idx="1">
                  <c:v>JioHotstar</c:v>
                </c:pt>
                <c:pt idx="2">
                  <c:v>Netflix</c:v>
                </c:pt>
                <c:pt idx="3">
                  <c:v>SonyLiv</c:v>
                </c:pt>
                <c:pt idx="4">
                  <c:v>ZEE5</c:v>
                </c:pt>
              </c:strCache>
            </c:strRef>
          </c:cat>
          <c:val>
            <c:numRef>
              <c:f>Pivot!$B$35:$B$40</c:f>
              <c:numCache>
                <c:formatCode>General</c:formatCode>
                <c:ptCount val="5"/>
                <c:pt idx="0">
                  <c:v>79</c:v>
                </c:pt>
                <c:pt idx="1">
                  <c:v>69</c:v>
                </c:pt>
                <c:pt idx="2">
                  <c:v>74</c:v>
                </c:pt>
                <c:pt idx="3">
                  <c:v>41</c:v>
                </c:pt>
                <c:pt idx="4">
                  <c:v>32</c:v>
                </c:pt>
              </c:numCache>
            </c:numRef>
          </c:val>
          <c:extLst>
            <c:ext xmlns:c16="http://schemas.microsoft.com/office/drawing/2014/chart" uri="{C3380CC4-5D6E-409C-BE32-E72D297353CC}">
              <c16:uniqueId val="{00000006-D37A-4204-97EF-95B87F7BBAE4}"/>
            </c:ext>
          </c:extLst>
        </c:ser>
        <c:ser>
          <c:idx val="1"/>
          <c:order val="1"/>
          <c:tx>
            <c:strRef>
              <c:f>Pivot!$C$33:$C$34</c:f>
              <c:strCache>
                <c:ptCount val="1"/>
                <c:pt idx="0">
                  <c:v>Family</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Amazon Prime</c:v>
                </c:pt>
                <c:pt idx="1">
                  <c:v>JioHotstar</c:v>
                </c:pt>
                <c:pt idx="2">
                  <c:v>Netflix</c:v>
                </c:pt>
                <c:pt idx="3">
                  <c:v>SonyLiv</c:v>
                </c:pt>
                <c:pt idx="4">
                  <c:v>ZEE5</c:v>
                </c:pt>
              </c:strCache>
            </c:strRef>
          </c:cat>
          <c:val>
            <c:numRef>
              <c:f>Pivot!$C$35:$C$40</c:f>
              <c:numCache>
                <c:formatCode>General</c:formatCode>
                <c:ptCount val="5"/>
                <c:pt idx="0">
                  <c:v>22</c:v>
                </c:pt>
                <c:pt idx="1">
                  <c:v>19</c:v>
                </c:pt>
                <c:pt idx="2">
                  <c:v>30</c:v>
                </c:pt>
                <c:pt idx="3">
                  <c:v>14</c:v>
                </c:pt>
                <c:pt idx="4">
                  <c:v>12</c:v>
                </c:pt>
              </c:numCache>
            </c:numRef>
          </c:val>
          <c:extLst>
            <c:ext xmlns:c16="http://schemas.microsoft.com/office/drawing/2014/chart" uri="{C3380CC4-5D6E-409C-BE32-E72D297353CC}">
              <c16:uniqueId val="{00000007-D37A-4204-97EF-95B87F7BBAE4}"/>
            </c:ext>
          </c:extLst>
        </c:ser>
        <c:ser>
          <c:idx val="2"/>
          <c:order val="2"/>
          <c:tx>
            <c:strRef>
              <c:f>Pivot!$D$33:$D$34</c:f>
              <c:strCache>
                <c:ptCount val="1"/>
                <c:pt idx="0">
                  <c:v>Premium</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Amazon Prime</c:v>
                </c:pt>
                <c:pt idx="1">
                  <c:v>JioHotstar</c:v>
                </c:pt>
                <c:pt idx="2">
                  <c:v>Netflix</c:v>
                </c:pt>
                <c:pt idx="3">
                  <c:v>SonyLiv</c:v>
                </c:pt>
                <c:pt idx="4">
                  <c:v>ZEE5</c:v>
                </c:pt>
              </c:strCache>
            </c:strRef>
          </c:cat>
          <c:val>
            <c:numRef>
              <c:f>Pivot!$D$35:$D$40</c:f>
              <c:numCache>
                <c:formatCode>General</c:formatCode>
                <c:ptCount val="5"/>
                <c:pt idx="0">
                  <c:v>60</c:v>
                </c:pt>
                <c:pt idx="1">
                  <c:v>71</c:v>
                </c:pt>
                <c:pt idx="2">
                  <c:v>68</c:v>
                </c:pt>
                <c:pt idx="3">
                  <c:v>32</c:v>
                </c:pt>
                <c:pt idx="4">
                  <c:v>24</c:v>
                </c:pt>
              </c:numCache>
            </c:numRef>
          </c:val>
          <c:extLst>
            <c:ext xmlns:c16="http://schemas.microsoft.com/office/drawing/2014/chart" uri="{C3380CC4-5D6E-409C-BE32-E72D297353CC}">
              <c16:uniqueId val="{00000008-D37A-4204-97EF-95B87F7BBAE4}"/>
            </c:ext>
          </c:extLst>
        </c:ser>
        <c:ser>
          <c:idx val="3"/>
          <c:order val="3"/>
          <c:tx>
            <c:strRef>
              <c:f>Pivot!$E$33:$E$34</c:f>
              <c:strCache>
                <c:ptCount val="1"/>
                <c:pt idx="0">
                  <c:v>Standard</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Amazon Prime</c:v>
                </c:pt>
                <c:pt idx="1">
                  <c:v>JioHotstar</c:v>
                </c:pt>
                <c:pt idx="2">
                  <c:v>Netflix</c:v>
                </c:pt>
                <c:pt idx="3">
                  <c:v>SonyLiv</c:v>
                </c:pt>
                <c:pt idx="4">
                  <c:v>ZEE5</c:v>
                </c:pt>
              </c:strCache>
            </c:strRef>
          </c:cat>
          <c:val>
            <c:numRef>
              <c:f>Pivot!$E$35:$E$40</c:f>
              <c:numCache>
                <c:formatCode>General</c:formatCode>
                <c:ptCount val="5"/>
                <c:pt idx="0">
                  <c:v>91</c:v>
                </c:pt>
                <c:pt idx="1">
                  <c:v>78</c:v>
                </c:pt>
                <c:pt idx="2">
                  <c:v>95</c:v>
                </c:pt>
                <c:pt idx="3">
                  <c:v>44</c:v>
                </c:pt>
                <c:pt idx="4">
                  <c:v>45</c:v>
                </c:pt>
              </c:numCache>
            </c:numRef>
          </c:val>
          <c:extLst>
            <c:ext xmlns:c16="http://schemas.microsoft.com/office/drawing/2014/chart" uri="{C3380CC4-5D6E-409C-BE32-E72D297353CC}">
              <c16:uniqueId val="{00000009-D37A-4204-97EF-95B87F7BBAE4}"/>
            </c:ext>
          </c:extLst>
        </c:ser>
        <c:dLbls>
          <c:showLegendKey val="0"/>
          <c:showVal val="1"/>
          <c:showCatName val="0"/>
          <c:showSerName val="0"/>
          <c:showPercent val="0"/>
          <c:showBubbleSize val="0"/>
        </c:dLbls>
        <c:axId val="1906989487"/>
        <c:axId val="1208946383"/>
      </c:areaChart>
      <c:catAx>
        <c:axId val="1906989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46383"/>
        <c:crosses val="autoZero"/>
        <c:auto val="1"/>
        <c:lblAlgn val="ctr"/>
        <c:lblOffset val="100"/>
        <c:noMultiLvlLbl val="0"/>
      </c:catAx>
      <c:valAx>
        <c:axId val="120894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894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Customer Analysis.xlsx]Pivot!PivotTable5</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Platform-wise Average Account Tenure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ln>
              <a:effectLst/>
            </c:spPr>
            <c:trendlineType val="linear"/>
            <c:dispRSqr val="0"/>
            <c:dispEq val="0"/>
          </c:trendline>
          <c:cat>
            <c:strRef>
              <c:f>Pivot!$A$51:$A$56</c:f>
              <c:strCache>
                <c:ptCount val="5"/>
                <c:pt idx="0">
                  <c:v>Amazon Prime</c:v>
                </c:pt>
                <c:pt idx="1">
                  <c:v>JioHotstar</c:v>
                </c:pt>
                <c:pt idx="2">
                  <c:v>Netflix</c:v>
                </c:pt>
                <c:pt idx="3">
                  <c:v>SonyLiv</c:v>
                </c:pt>
                <c:pt idx="4">
                  <c:v>ZEE5</c:v>
                </c:pt>
              </c:strCache>
            </c:strRef>
          </c:cat>
          <c:val>
            <c:numRef>
              <c:f>Pivot!$B$51:$B$56</c:f>
              <c:numCache>
                <c:formatCode>General</c:formatCode>
                <c:ptCount val="5"/>
                <c:pt idx="0">
                  <c:v>31.670634920634921</c:v>
                </c:pt>
                <c:pt idx="1">
                  <c:v>32.025316455696199</c:v>
                </c:pt>
                <c:pt idx="2">
                  <c:v>30.464419475655429</c:v>
                </c:pt>
                <c:pt idx="3">
                  <c:v>30.31297709923664</c:v>
                </c:pt>
                <c:pt idx="4">
                  <c:v>29.63716814159292</c:v>
                </c:pt>
              </c:numCache>
            </c:numRef>
          </c:val>
          <c:extLst>
            <c:ext xmlns:c16="http://schemas.microsoft.com/office/drawing/2014/chart" uri="{C3380CC4-5D6E-409C-BE32-E72D297353CC}">
              <c16:uniqueId val="{00000000-1067-4F35-A8B4-FE0DF2599186}"/>
            </c:ext>
          </c:extLst>
        </c:ser>
        <c:dLbls>
          <c:dLblPos val="outEnd"/>
          <c:showLegendKey val="0"/>
          <c:showVal val="1"/>
          <c:showCatName val="0"/>
          <c:showSerName val="0"/>
          <c:showPercent val="0"/>
          <c:showBubbleSize val="0"/>
        </c:dLbls>
        <c:gapWidth val="100"/>
        <c:overlap val="-24"/>
        <c:axId val="134877983"/>
        <c:axId val="1821330639"/>
      </c:barChart>
      <c:catAx>
        <c:axId val="134877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330639"/>
        <c:crosses val="autoZero"/>
        <c:auto val="1"/>
        <c:lblAlgn val="ctr"/>
        <c:lblOffset val="100"/>
        <c:noMultiLvlLbl val="0"/>
      </c:catAx>
      <c:valAx>
        <c:axId val="182133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7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Analysis.xlsx]Pivot!PivotTable6</c:name>
    <c:fmtId val="2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Customer Distribution by Location</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Pivot!$B$68</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Pivot!$A$69:$A$79</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Pivot!$B$69:$B$79</c:f>
              <c:numCache>
                <c:formatCode>General</c:formatCode>
                <c:ptCount val="10"/>
                <c:pt idx="0">
                  <c:v>109</c:v>
                </c:pt>
                <c:pt idx="1">
                  <c:v>114</c:v>
                </c:pt>
                <c:pt idx="2">
                  <c:v>100</c:v>
                </c:pt>
                <c:pt idx="3">
                  <c:v>113</c:v>
                </c:pt>
                <c:pt idx="4">
                  <c:v>92</c:v>
                </c:pt>
                <c:pt idx="5">
                  <c:v>83</c:v>
                </c:pt>
                <c:pt idx="6">
                  <c:v>92</c:v>
                </c:pt>
                <c:pt idx="7">
                  <c:v>107</c:v>
                </c:pt>
                <c:pt idx="8">
                  <c:v>91</c:v>
                </c:pt>
                <c:pt idx="9">
                  <c:v>99</c:v>
                </c:pt>
              </c:numCache>
            </c:numRef>
          </c:val>
          <c:smooth val="0"/>
          <c:extLst>
            <c:ext xmlns:c16="http://schemas.microsoft.com/office/drawing/2014/chart" uri="{C3380CC4-5D6E-409C-BE32-E72D297353CC}">
              <c16:uniqueId val="{00000000-F17E-4941-AD16-D43CF788A695}"/>
            </c:ext>
          </c:extLst>
        </c:ser>
        <c:dLbls>
          <c:dLblPos val="t"/>
          <c:showLegendKey val="0"/>
          <c:showVal val="1"/>
          <c:showCatName val="0"/>
          <c:showSerName val="0"/>
          <c:showPercent val="0"/>
          <c:showBubbleSize val="0"/>
        </c:dLbls>
        <c:marker val="1"/>
        <c:smooth val="0"/>
        <c:axId val="137028895"/>
        <c:axId val="1884983279"/>
      </c:lineChart>
      <c:catAx>
        <c:axId val="13702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83279"/>
        <c:crosses val="autoZero"/>
        <c:auto val="1"/>
        <c:lblAlgn val="ctr"/>
        <c:lblOffset val="100"/>
        <c:noMultiLvlLbl val="0"/>
      </c:catAx>
      <c:valAx>
        <c:axId val="188498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2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Analysis.xlsx]Pivot!PivotTable7</c:name>
    <c:fmtId val="3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Gender Distribution by Platform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12963622984491E-2"/>
              <c:y val="1.4786584182624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Pivot!$B$85</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4D-459F-ACC9-817BB2436DA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4D-459F-ACC9-817BB2436DAB}"/>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54E-439F-882C-0F31086287D7}"/>
              </c:ext>
            </c:extLst>
          </c:dPt>
          <c:dLbls>
            <c:dLbl>
              <c:idx val="2"/>
              <c:layout>
                <c:manualLayout>
                  <c:x val="1.6712963622984491E-2"/>
                  <c:y val="1.47865841826240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54E-439F-882C-0F31086287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Pivot!$A$86:$A$89</c:f>
              <c:strCache>
                <c:ptCount val="3"/>
                <c:pt idx="0">
                  <c:v>Female</c:v>
                </c:pt>
                <c:pt idx="1">
                  <c:v>Male</c:v>
                </c:pt>
                <c:pt idx="2">
                  <c:v>Non-Binary</c:v>
                </c:pt>
              </c:strCache>
            </c:strRef>
          </c:cat>
          <c:val>
            <c:numRef>
              <c:f>Pivot!$B$86:$B$89</c:f>
              <c:numCache>
                <c:formatCode>General</c:formatCode>
                <c:ptCount val="3"/>
                <c:pt idx="0">
                  <c:v>461</c:v>
                </c:pt>
                <c:pt idx="1">
                  <c:v>511</c:v>
                </c:pt>
                <c:pt idx="2">
                  <c:v>28</c:v>
                </c:pt>
              </c:numCache>
            </c:numRef>
          </c:val>
          <c:extLst>
            <c:ext xmlns:c16="http://schemas.microsoft.com/office/drawing/2014/chart" uri="{C3380CC4-5D6E-409C-BE32-E72D297353CC}">
              <c16:uniqueId val="{00000000-A54E-439F-882C-0F31086287D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Analysis.xlsx]Pivot!PivotTable1</c:name>
    <c:fmtId val="1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Customer Distribution by OTT Platform</a:t>
            </a:r>
          </a:p>
        </c:rich>
      </c:tx>
      <c:layout>
        <c:manualLayout>
          <c:xMode val="edge"/>
          <c:yMode val="edge"/>
          <c:x val="0.11144257710527575"/>
          <c:y val="3.95966205019514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Pivot!$B$3</c:f>
              <c:strCache>
                <c:ptCount val="1"/>
                <c:pt idx="0">
                  <c:v>Total</c:v>
                </c:pt>
              </c:strCache>
            </c:strRef>
          </c:tx>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24-44BA-A18F-C921C13C616F}"/>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24-44BA-A18F-C921C13C616F}"/>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E24-44BA-A18F-C921C13C616F}"/>
              </c:ext>
            </c:extLst>
          </c:dPt>
          <c:dPt>
            <c:idx val="3"/>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E24-44BA-A18F-C921C13C616F}"/>
              </c:ext>
            </c:extLst>
          </c:dPt>
          <c:dPt>
            <c:idx val="4"/>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E24-44BA-A18F-C921C13C616F}"/>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Pivot!$A$4:$A$9</c:f>
              <c:strCache>
                <c:ptCount val="5"/>
                <c:pt idx="0">
                  <c:v>Amazon Prime</c:v>
                </c:pt>
                <c:pt idx="1">
                  <c:v>JioHotstar</c:v>
                </c:pt>
                <c:pt idx="2">
                  <c:v>Netflix</c:v>
                </c:pt>
                <c:pt idx="3">
                  <c:v>SonyLiv</c:v>
                </c:pt>
                <c:pt idx="4">
                  <c:v>ZEE5</c:v>
                </c:pt>
              </c:strCache>
            </c:strRef>
          </c:cat>
          <c:val>
            <c:numRef>
              <c:f>Pivot!$B$4:$B$9</c:f>
              <c:numCache>
                <c:formatCode>General</c:formatCode>
                <c:ptCount val="5"/>
                <c:pt idx="0">
                  <c:v>252</c:v>
                </c:pt>
                <c:pt idx="1">
                  <c:v>237</c:v>
                </c:pt>
                <c:pt idx="2">
                  <c:v>267</c:v>
                </c:pt>
                <c:pt idx="3">
                  <c:v>131</c:v>
                </c:pt>
                <c:pt idx="4">
                  <c:v>113</c:v>
                </c:pt>
              </c:numCache>
            </c:numRef>
          </c:val>
          <c:extLst>
            <c:ext xmlns:c16="http://schemas.microsoft.com/office/drawing/2014/chart" uri="{C3380CC4-5D6E-409C-BE32-E72D297353CC}">
              <c16:uniqueId val="{0000000A-0E24-44BA-A18F-C921C13C616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bg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Analysis.xlsx]Pivot!PivotTable2</c:name>
    <c:fmtId val="20"/>
  </c:pivotSource>
  <c:chart>
    <c:title>
      <c:tx>
        <c:rich>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r>
              <a:rPr lang="en-IN" sz="1600" b="1" i="0" u="none" strike="noStrike" kern="1200" baseline="0">
                <a:solidFill>
                  <a:schemeClr val="tx1"/>
                </a:solidFill>
                <a:latin typeface="+mn-lt"/>
                <a:ea typeface="+mn-ea"/>
                <a:cs typeface="+mn-cs"/>
              </a:rPr>
              <a:t>Customer Distribution by Age Group</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18-24</c:v>
                </c:pt>
                <c:pt idx="1">
                  <c:v>25-34</c:v>
                </c:pt>
                <c:pt idx="2">
                  <c:v>35-44</c:v>
                </c:pt>
                <c:pt idx="3">
                  <c:v>45-54</c:v>
                </c:pt>
                <c:pt idx="4">
                  <c:v>55+</c:v>
                </c:pt>
              </c:strCache>
            </c:strRef>
          </c:cat>
          <c:val>
            <c:numRef>
              <c:f>Pivot!$B$22:$B$27</c:f>
              <c:numCache>
                <c:formatCode>General</c:formatCode>
                <c:ptCount val="5"/>
                <c:pt idx="0">
                  <c:v>250</c:v>
                </c:pt>
                <c:pt idx="1">
                  <c:v>390</c:v>
                </c:pt>
                <c:pt idx="2">
                  <c:v>278</c:v>
                </c:pt>
                <c:pt idx="3">
                  <c:v>79</c:v>
                </c:pt>
                <c:pt idx="4">
                  <c:v>3</c:v>
                </c:pt>
              </c:numCache>
            </c:numRef>
          </c:val>
          <c:extLst>
            <c:ext xmlns:c16="http://schemas.microsoft.com/office/drawing/2014/chart" uri="{C3380CC4-5D6E-409C-BE32-E72D297353CC}">
              <c16:uniqueId val="{00000000-9BD2-488D-96A2-8F089A89B1F8}"/>
            </c:ext>
          </c:extLst>
        </c:ser>
        <c:dLbls>
          <c:showLegendKey val="0"/>
          <c:showVal val="0"/>
          <c:showCatName val="0"/>
          <c:showSerName val="0"/>
          <c:showPercent val="0"/>
          <c:showBubbleSize val="0"/>
        </c:dLbls>
        <c:gapWidth val="150"/>
        <c:axId val="1798414175"/>
        <c:axId val="1208906063"/>
      </c:barChart>
      <c:valAx>
        <c:axId val="1208906063"/>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14175"/>
        <c:crosses val="autoZero"/>
        <c:crossBetween val="between"/>
      </c:valAx>
      <c:catAx>
        <c:axId val="17984141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060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Analysis.xlsx]Pivot!PivotTable3</c:name>
    <c:fmtId val="25"/>
  </c:pivotSource>
  <c:chart>
    <c:title>
      <c:tx>
        <c:rich>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r>
              <a:rPr lang="en-IN" sz="1600" b="1" i="0" u="none" strike="noStrike" kern="1200" baseline="0">
                <a:solidFill>
                  <a:schemeClr val="tx1"/>
                </a:solidFill>
                <a:latin typeface="+mn-lt"/>
                <a:ea typeface="+mn-ea"/>
                <a:cs typeface="+mn-cs"/>
              </a:rPr>
              <a:t>Platform-wise Subscription Distribution</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Pivot!$B$33:$B$34</c:f>
              <c:strCache>
                <c:ptCount val="1"/>
                <c:pt idx="0">
                  <c:v>Basic</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Amazon Prime</c:v>
                </c:pt>
                <c:pt idx="1">
                  <c:v>JioHotstar</c:v>
                </c:pt>
                <c:pt idx="2">
                  <c:v>Netflix</c:v>
                </c:pt>
                <c:pt idx="3">
                  <c:v>SonyLiv</c:v>
                </c:pt>
                <c:pt idx="4">
                  <c:v>ZEE5</c:v>
                </c:pt>
              </c:strCache>
            </c:strRef>
          </c:cat>
          <c:val>
            <c:numRef>
              <c:f>Pivot!$B$35:$B$40</c:f>
              <c:numCache>
                <c:formatCode>General</c:formatCode>
                <c:ptCount val="5"/>
                <c:pt idx="0">
                  <c:v>79</c:v>
                </c:pt>
                <c:pt idx="1">
                  <c:v>69</c:v>
                </c:pt>
                <c:pt idx="2">
                  <c:v>74</c:v>
                </c:pt>
                <c:pt idx="3">
                  <c:v>41</c:v>
                </c:pt>
                <c:pt idx="4">
                  <c:v>32</c:v>
                </c:pt>
              </c:numCache>
            </c:numRef>
          </c:val>
          <c:extLst>
            <c:ext xmlns:c16="http://schemas.microsoft.com/office/drawing/2014/chart" uri="{C3380CC4-5D6E-409C-BE32-E72D297353CC}">
              <c16:uniqueId val="{00000000-B66B-4223-90AA-43902CBABC25}"/>
            </c:ext>
          </c:extLst>
        </c:ser>
        <c:ser>
          <c:idx val="1"/>
          <c:order val="1"/>
          <c:tx>
            <c:strRef>
              <c:f>Pivot!$C$33:$C$34</c:f>
              <c:strCache>
                <c:ptCount val="1"/>
                <c:pt idx="0">
                  <c:v>Family</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Amazon Prime</c:v>
                </c:pt>
                <c:pt idx="1">
                  <c:v>JioHotstar</c:v>
                </c:pt>
                <c:pt idx="2">
                  <c:v>Netflix</c:v>
                </c:pt>
                <c:pt idx="3">
                  <c:v>SonyLiv</c:v>
                </c:pt>
                <c:pt idx="4">
                  <c:v>ZEE5</c:v>
                </c:pt>
              </c:strCache>
            </c:strRef>
          </c:cat>
          <c:val>
            <c:numRef>
              <c:f>Pivot!$C$35:$C$40</c:f>
              <c:numCache>
                <c:formatCode>General</c:formatCode>
                <c:ptCount val="5"/>
                <c:pt idx="0">
                  <c:v>22</c:v>
                </c:pt>
                <c:pt idx="1">
                  <c:v>19</c:v>
                </c:pt>
                <c:pt idx="2">
                  <c:v>30</c:v>
                </c:pt>
                <c:pt idx="3">
                  <c:v>14</c:v>
                </c:pt>
                <c:pt idx="4">
                  <c:v>12</c:v>
                </c:pt>
              </c:numCache>
            </c:numRef>
          </c:val>
          <c:extLst>
            <c:ext xmlns:c16="http://schemas.microsoft.com/office/drawing/2014/chart" uri="{C3380CC4-5D6E-409C-BE32-E72D297353CC}">
              <c16:uniqueId val="{00000001-B66B-4223-90AA-43902CBABC25}"/>
            </c:ext>
          </c:extLst>
        </c:ser>
        <c:ser>
          <c:idx val="2"/>
          <c:order val="2"/>
          <c:tx>
            <c:strRef>
              <c:f>Pivot!$D$33:$D$34</c:f>
              <c:strCache>
                <c:ptCount val="1"/>
                <c:pt idx="0">
                  <c:v>Premium</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Amazon Prime</c:v>
                </c:pt>
                <c:pt idx="1">
                  <c:v>JioHotstar</c:v>
                </c:pt>
                <c:pt idx="2">
                  <c:v>Netflix</c:v>
                </c:pt>
                <c:pt idx="3">
                  <c:v>SonyLiv</c:v>
                </c:pt>
                <c:pt idx="4">
                  <c:v>ZEE5</c:v>
                </c:pt>
              </c:strCache>
            </c:strRef>
          </c:cat>
          <c:val>
            <c:numRef>
              <c:f>Pivot!$D$35:$D$40</c:f>
              <c:numCache>
                <c:formatCode>General</c:formatCode>
                <c:ptCount val="5"/>
                <c:pt idx="0">
                  <c:v>60</c:v>
                </c:pt>
                <c:pt idx="1">
                  <c:v>71</c:v>
                </c:pt>
                <c:pt idx="2">
                  <c:v>68</c:v>
                </c:pt>
                <c:pt idx="3">
                  <c:v>32</c:v>
                </c:pt>
                <c:pt idx="4">
                  <c:v>24</c:v>
                </c:pt>
              </c:numCache>
            </c:numRef>
          </c:val>
          <c:extLst>
            <c:ext xmlns:c16="http://schemas.microsoft.com/office/drawing/2014/chart" uri="{C3380CC4-5D6E-409C-BE32-E72D297353CC}">
              <c16:uniqueId val="{00000002-B66B-4223-90AA-43902CBABC25}"/>
            </c:ext>
          </c:extLst>
        </c:ser>
        <c:ser>
          <c:idx val="3"/>
          <c:order val="3"/>
          <c:tx>
            <c:strRef>
              <c:f>Pivot!$E$33:$E$34</c:f>
              <c:strCache>
                <c:ptCount val="1"/>
                <c:pt idx="0">
                  <c:v>Standard</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Amazon Prime</c:v>
                </c:pt>
                <c:pt idx="1">
                  <c:v>JioHotstar</c:v>
                </c:pt>
                <c:pt idx="2">
                  <c:v>Netflix</c:v>
                </c:pt>
                <c:pt idx="3">
                  <c:v>SonyLiv</c:v>
                </c:pt>
                <c:pt idx="4">
                  <c:v>ZEE5</c:v>
                </c:pt>
              </c:strCache>
            </c:strRef>
          </c:cat>
          <c:val>
            <c:numRef>
              <c:f>Pivot!$E$35:$E$40</c:f>
              <c:numCache>
                <c:formatCode>General</c:formatCode>
                <c:ptCount val="5"/>
                <c:pt idx="0">
                  <c:v>91</c:v>
                </c:pt>
                <c:pt idx="1">
                  <c:v>78</c:v>
                </c:pt>
                <c:pt idx="2">
                  <c:v>95</c:v>
                </c:pt>
                <c:pt idx="3">
                  <c:v>44</c:v>
                </c:pt>
                <c:pt idx="4">
                  <c:v>45</c:v>
                </c:pt>
              </c:numCache>
            </c:numRef>
          </c:val>
          <c:extLst>
            <c:ext xmlns:c16="http://schemas.microsoft.com/office/drawing/2014/chart" uri="{C3380CC4-5D6E-409C-BE32-E72D297353CC}">
              <c16:uniqueId val="{00000003-B66B-4223-90AA-43902CBABC25}"/>
            </c:ext>
          </c:extLst>
        </c:ser>
        <c:dLbls>
          <c:showLegendKey val="0"/>
          <c:showVal val="1"/>
          <c:showCatName val="0"/>
          <c:showSerName val="0"/>
          <c:showPercent val="0"/>
          <c:showBubbleSize val="0"/>
        </c:dLbls>
        <c:axId val="1906989487"/>
        <c:axId val="1208946383"/>
      </c:areaChart>
      <c:catAx>
        <c:axId val="1906989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46383"/>
        <c:crosses val="autoZero"/>
        <c:auto val="1"/>
        <c:lblAlgn val="ctr"/>
        <c:lblOffset val="100"/>
        <c:noMultiLvlLbl val="0"/>
      </c:catAx>
      <c:valAx>
        <c:axId val="120894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894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Customer Analysis.xlsx]Pivot!PivotTable5</c:name>
    <c:fmtId val="27"/>
  </c:pivotSource>
  <c:chart>
    <c:title>
      <c:tx>
        <c:rich>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r>
              <a:rPr lang="en-IN" sz="1600" b="1" i="0" u="none" strike="noStrike" kern="1200" baseline="0">
                <a:solidFill>
                  <a:schemeClr val="tx1"/>
                </a:solidFill>
                <a:latin typeface="+mn-lt"/>
                <a:ea typeface="+mn-ea"/>
                <a:cs typeface="+mn-cs"/>
              </a:rPr>
              <a:t>Platform-wise Average Account Tenure</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ln>
              <a:effectLst/>
            </c:spPr>
            <c:trendlineType val="linear"/>
            <c:dispRSqr val="0"/>
            <c:dispEq val="0"/>
          </c:trendline>
          <c:cat>
            <c:strRef>
              <c:f>Pivot!$A$51:$A$56</c:f>
              <c:strCache>
                <c:ptCount val="5"/>
                <c:pt idx="0">
                  <c:v>Amazon Prime</c:v>
                </c:pt>
                <c:pt idx="1">
                  <c:v>JioHotstar</c:v>
                </c:pt>
                <c:pt idx="2">
                  <c:v>Netflix</c:v>
                </c:pt>
                <c:pt idx="3">
                  <c:v>SonyLiv</c:v>
                </c:pt>
                <c:pt idx="4">
                  <c:v>ZEE5</c:v>
                </c:pt>
              </c:strCache>
            </c:strRef>
          </c:cat>
          <c:val>
            <c:numRef>
              <c:f>Pivot!$B$51:$B$56</c:f>
              <c:numCache>
                <c:formatCode>General</c:formatCode>
                <c:ptCount val="5"/>
                <c:pt idx="0">
                  <c:v>31.670634920634921</c:v>
                </c:pt>
                <c:pt idx="1">
                  <c:v>32.025316455696199</c:v>
                </c:pt>
                <c:pt idx="2">
                  <c:v>30.464419475655429</c:v>
                </c:pt>
                <c:pt idx="3">
                  <c:v>30.31297709923664</c:v>
                </c:pt>
                <c:pt idx="4">
                  <c:v>29.63716814159292</c:v>
                </c:pt>
              </c:numCache>
            </c:numRef>
          </c:val>
          <c:extLst>
            <c:ext xmlns:c16="http://schemas.microsoft.com/office/drawing/2014/chart" uri="{C3380CC4-5D6E-409C-BE32-E72D297353CC}">
              <c16:uniqueId val="{00000001-2C90-41B0-A567-1DFB12E5C8F8}"/>
            </c:ext>
          </c:extLst>
        </c:ser>
        <c:dLbls>
          <c:dLblPos val="outEnd"/>
          <c:showLegendKey val="0"/>
          <c:showVal val="1"/>
          <c:showCatName val="0"/>
          <c:showSerName val="0"/>
          <c:showPercent val="0"/>
          <c:showBubbleSize val="0"/>
        </c:dLbls>
        <c:gapWidth val="100"/>
        <c:overlap val="-24"/>
        <c:axId val="134877983"/>
        <c:axId val="1821330639"/>
      </c:barChart>
      <c:catAx>
        <c:axId val="134877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330639"/>
        <c:crosses val="autoZero"/>
        <c:auto val="1"/>
        <c:lblAlgn val="ctr"/>
        <c:lblOffset val="100"/>
        <c:noMultiLvlLbl val="0"/>
      </c:catAx>
      <c:valAx>
        <c:axId val="182133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7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Analysis.xlsx]Pivot!PivotTable6</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solidFill>
                  <a:schemeClr val="tx1"/>
                </a:solidFill>
                <a:latin typeface="+mn-lt"/>
                <a:ea typeface="+mn-ea"/>
                <a:cs typeface="+mn-cs"/>
              </a:defRPr>
            </a:pPr>
            <a:r>
              <a:rPr lang="en-IN" sz="1600" b="1" i="0" u="none" strike="noStrike" kern="1200" baseline="0">
                <a:solidFill>
                  <a:schemeClr val="tx1"/>
                </a:solidFill>
                <a:latin typeface="+mn-lt"/>
                <a:ea typeface="+mn-ea"/>
                <a:cs typeface="+mn-cs"/>
              </a:rPr>
              <a:t>Customer Distribution by Location</a:t>
            </a:r>
          </a:p>
          <a:p>
            <a:pPr marL="0" marR="0" lvl="0" indent="0" algn="ctr" defTabSz="914400" rtl="0" eaLnBrk="1" fontAlgn="auto" latinLnBrk="0" hangingPunct="1">
              <a:lnSpc>
                <a:spcPct val="100000"/>
              </a:lnSpc>
              <a:spcBef>
                <a:spcPts val="0"/>
              </a:spcBef>
              <a:spcAft>
                <a:spcPts val="0"/>
              </a:spcAft>
              <a:buClrTx/>
              <a:buSzTx/>
              <a:buFontTx/>
              <a:buNone/>
              <a:tabLst/>
              <a:defRPr lang="en-IN" sz="1600" b="1">
                <a:solidFill>
                  <a:schemeClr val="tx1"/>
                </a:solidFill>
              </a:defRPr>
            </a:pPr>
            <a:endParaRPr lang="en-IN" sz="1600" b="1" i="0" u="none" strike="noStrike" kern="1200" baseline="0">
              <a:solidFill>
                <a:schemeClr val="tx1"/>
              </a:solidFill>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Pivot!$B$68</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Pivot!$A$69:$A$79</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Pivot!$B$69:$B$79</c:f>
              <c:numCache>
                <c:formatCode>General</c:formatCode>
                <c:ptCount val="10"/>
                <c:pt idx="0">
                  <c:v>109</c:v>
                </c:pt>
                <c:pt idx="1">
                  <c:v>114</c:v>
                </c:pt>
                <c:pt idx="2">
                  <c:v>100</c:v>
                </c:pt>
                <c:pt idx="3">
                  <c:v>113</c:v>
                </c:pt>
                <c:pt idx="4">
                  <c:v>92</c:v>
                </c:pt>
                <c:pt idx="5">
                  <c:v>83</c:v>
                </c:pt>
                <c:pt idx="6">
                  <c:v>92</c:v>
                </c:pt>
                <c:pt idx="7">
                  <c:v>107</c:v>
                </c:pt>
                <c:pt idx="8">
                  <c:v>91</c:v>
                </c:pt>
                <c:pt idx="9">
                  <c:v>99</c:v>
                </c:pt>
              </c:numCache>
            </c:numRef>
          </c:val>
          <c:smooth val="0"/>
          <c:extLst>
            <c:ext xmlns:c16="http://schemas.microsoft.com/office/drawing/2014/chart" uri="{C3380CC4-5D6E-409C-BE32-E72D297353CC}">
              <c16:uniqueId val="{00000001-D6CD-4420-84D9-D9566F5ECBC0}"/>
            </c:ext>
          </c:extLst>
        </c:ser>
        <c:dLbls>
          <c:dLblPos val="t"/>
          <c:showLegendKey val="0"/>
          <c:showVal val="1"/>
          <c:showCatName val="0"/>
          <c:showSerName val="0"/>
          <c:showPercent val="0"/>
          <c:showBubbleSize val="0"/>
        </c:dLbls>
        <c:marker val="1"/>
        <c:smooth val="0"/>
        <c:axId val="137028895"/>
        <c:axId val="1884983279"/>
      </c:lineChart>
      <c:catAx>
        <c:axId val="13702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83279"/>
        <c:crosses val="autoZero"/>
        <c:auto val="1"/>
        <c:lblAlgn val="ctr"/>
        <c:lblOffset val="100"/>
        <c:noMultiLvlLbl val="0"/>
      </c:catAx>
      <c:valAx>
        <c:axId val="188498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2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[OTT Customer Analysis.xlsx]Pivot!PivotTable7</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Customer Distribution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12963622984491E-2"/>
              <c:y val="1.4786584182624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12963622984491E-2"/>
              <c:y val="1.4786584182624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12963622984491E-2"/>
              <c:y val="1.4786584182624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Pivot!$B$85</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27-434E-BFC3-58DF54E6DB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27-434E-BFC3-58DF54E6DBC1}"/>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227-434E-BFC3-58DF54E6DBC1}"/>
              </c:ext>
            </c:extLst>
          </c:dPt>
          <c:dLbls>
            <c:dLbl>
              <c:idx val="2"/>
              <c:layout>
                <c:manualLayout>
                  <c:x val="1.6712963622984491E-2"/>
                  <c:y val="1.47865841826240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27-434E-BFC3-58DF54E6DBC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Pivot!$A$86:$A$89</c:f>
              <c:strCache>
                <c:ptCount val="3"/>
                <c:pt idx="0">
                  <c:v>Female</c:v>
                </c:pt>
                <c:pt idx="1">
                  <c:v>Male</c:v>
                </c:pt>
                <c:pt idx="2">
                  <c:v>Non-Binary</c:v>
                </c:pt>
              </c:strCache>
            </c:strRef>
          </c:cat>
          <c:val>
            <c:numRef>
              <c:f>Pivot!$B$86:$B$89</c:f>
              <c:numCache>
                <c:formatCode>General</c:formatCode>
                <c:ptCount val="3"/>
                <c:pt idx="0">
                  <c:v>461</c:v>
                </c:pt>
                <c:pt idx="1">
                  <c:v>511</c:v>
                </c:pt>
                <c:pt idx="2">
                  <c:v>28</c:v>
                </c:pt>
              </c:numCache>
            </c:numRef>
          </c:val>
          <c:extLst>
            <c:ext xmlns:c16="http://schemas.microsoft.com/office/drawing/2014/chart" uri="{C3380CC4-5D6E-409C-BE32-E72D297353CC}">
              <c16:uniqueId val="{00000006-D227-434E-BFC3-58DF54E6DBC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175260</xdr:colOff>
      <xdr:row>0</xdr:row>
      <xdr:rowOff>160020</xdr:rowOff>
    </xdr:from>
    <xdr:to>
      <xdr:col>15</xdr:col>
      <xdr:colOff>93579</xdr:colOff>
      <xdr:row>15</xdr:row>
      <xdr:rowOff>26670</xdr:rowOff>
    </xdr:to>
    <xdr:graphicFrame macro="">
      <xdr:nvGraphicFramePr>
        <xdr:cNvPr id="2" name="Chart 1">
          <a:extLst>
            <a:ext uri="{FF2B5EF4-FFF2-40B4-BE49-F238E27FC236}">
              <a16:creationId xmlns:a16="http://schemas.microsoft.com/office/drawing/2014/main" id="{D62F0D74-E8D7-1BBD-D65E-A7927A132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358139</xdr:colOff>
      <xdr:row>15</xdr:row>
      <xdr:rowOff>53474</xdr:rowOff>
    </xdr:from>
    <xdr:to>
      <xdr:col>16</xdr:col>
      <xdr:colOff>828842</xdr:colOff>
      <xdr:row>29</xdr:row>
      <xdr:rowOff>87630</xdr:rowOff>
    </xdr:to>
    <xdr:graphicFrame macro="">
      <xdr:nvGraphicFramePr>
        <xdr:cNvPr id="3" name="Chart 2">
          <a:extLst>
            <a:ext uri="{FF2B5EF4-FFF2-40B4-BE49-F238E27FC236}">
              <a16:creationId xmlns:a16="http://schemas.microsoft.com/office/drawing/2014/main" id="{99BDD4FC-FF7F-9A46-E1ED-E35923DA6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699972</xdr:colOff>
      <xdr:row>31</xdr:row>
      <xdr:rowOff>120248</xdr:rowOff>
    </xdr:from>
    <xdr:to>
      <xdr:col>17</xdr:col>
      <xdr:colOff>481264</xdr:colOff>
      <xdr:row>46</xdr:row>
      <xdr:rowOff>120248</xdr:rowOff>
    </xdr:to>
    <xdr:graphicFrame macro="">
      <xdr:nvGraphicFramePr>
        <xdr:cNvPr id="9" name="Chart 8">
          <a:extLst>
            <a:ext uri="{FF2B5EF4-FFF2-40B4-BE49-F238E27FC236}">
              <a16:creationId xmlns:a16="http://schemas.microsoft.com/office/drawing/2014/main" id="{532B884D-F167-EE55-AAC7-5E5B2EFFE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319617</xdr:colOff>
      <xdr:row>47</xdr:row>
      <xdr:rowOff>119240</xdr:rowOff>
    </xdr:from>
    <xdr:to>
      <xdr:col>12</xdr:col>
      <xdr:colOff>72673</xdr:colOff>
      <xdr:row>62</xdr:row>
      <xdr:rowOff>110773</xdr:rowOff>
    </xdr:to>
    <xdr:graphicFrame macro="">
      <xdr:nvGraphicFramePr>
        <xdr:cNvPr id="10" name="Chart 9">
          <a:extLst>
            <a:ext uri="{FF2B5EF4-FFF2-40B4-BE49-F238E27FC236}">
              <a16:creationId xmlns:a16="http://schemas.microsoft.com/office/drawing/2014/main" id="{D85867DD-E158-3BE2-23B9-21878F8E1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435759</xdr:colOff>
      <xdr:row>66</xdr:row>
      <xdr:rowOff>139031</xdr:rowOff>
    </xdr:from>
    <xdr:to>
      <xdr:col>11</xdr:col>
      <xdr:colOff>333825</xdr:colOff>
      <xdr:row>81</xdr:row>
      <xdr:rowOff>74862</xdr:rowOff>
    </xdr:to>
    <xdr:graphicFrame macro="">
      <xdr:nvGraphicFramePr>
        <xdr:cNvPr id="11" name="Chart 10">
          <a:extLst>
            <a:ext uri="{FF2B5EF4-FFF2-40B4-BE49-F238E27FC236}">
              <a16:creationId xmlns:a16="http://schemas.microsoft.com/office/drawing/2014/main" id="{6B1C5113-3BE2-CEEA-38D4-D27E5ADC1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210019</xdr:colOff>
      <xdr:row>83</xdr:row>
      <xdr:rowOff>31423</xdr:rowOff>
    </xdr:from>
    <xdr:to>
      <xdr:col>11</xdr:col>
      <xdr:colOff>676550</xdr:colOff>
      <xdr:row>97</xdr:row>
      <xdr:rowOff>78557</xdr:rowOff>
    </xdr:to>
    <xdr:graphicFrame macro="">
      <xdr:nvGraphicFramePr>
        <xdr:cNvPr id="12" name="Chart 11">
          <a:extLst>
            <a:ext uri="{FF2B5EF4-FFF2-40B4-BE49-F238E27FC236}">
              <a16:creationId xmlns:a16="http://schemas.microsoft.com/office/drawing/2014/main" id="{E6005198-2367-4365-4F1F-4431A43A4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1219200</xdr:colOff>
      <xdr:row>1</xdr:row>
      <xdr:rowOff>91441</xdr:rowOff>
    </xdr:from>
    <xdr:to>
      <xdr:col>4</xdr:col>
      <xdr:colOff>792480</xdr:colOff>
      <xdr:row>11</xdr:row>
      <xdr:rowOff>38101</xdr:rowOff>
    </xdr:to>
    <mc:AlternateContent xmlns:mc="http://schemas.openxmlformats.org/markup-compatibility/2006" xmlns:a14="http://schemas.microsoft.com/office/drawing/2010/main">
      <mc:Choice Requires="a14">
        <xdr:graphicFrame macro="">
          <xdr:nvGraphicFramePr>
            <xdr:cNvPr id="8" name="Platform">
              <a:extLst>
                <a:ext uri="{FF2B5EF4-FFF2-40B4-BE49-F238E27FC236}">
                  <a16:creationId xmlns:a16="http://schemas.microsoft.com/office/drawing/2014/main" id="{AA1FEE05-478F-A76C-01E9-9271C9CED75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3383280" y="274321"/>
              <a:ext cx="18288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0</xdr:row>
      <xdr:rowOff>137161</xdr:rowOff>
    </xdr:from>
    <xdr:to>
      <xdr:col>11</xdr:col>
      <xdr:colOff>22860</xdr:colOff>
      <xdr:row>10</xdr:row>
      <xdr:rowOff>137161</xdr:rowOff>
    </xdr:to>
    <mc:AlternateContent xmlns:mc="http://schemas.openxmlformats.org/markup-compatibility/2006" xmlns:a14="http://schemas.microsoft.com/office/drawing/2010/main">
      <mc:Choice Requires="a14">
        <xdr:graphicFrame macro="">
          <xdr:nvGraphicFramePr>
            <xdr:cNvPr id="10" name="AgeGroup">
              <a:extLst>
                <a:ext uri="{FF2B5EF4-FFF2-40B4-BE49-F238E27FC236}">
                  <a16:creationId xmlns:a16="http://schemas.microsoft.com/office/drawing/2014/main" id="{C0BBD3D0-2DB9-2DE8-3C19-8EE255E0A181}"/>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0073640" y="137161"/>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472440</xdr:colOff>
      <xdr:row>0</xdr:row>
      <xdr:rowOff>114301</xdr:rowOff>
    </xdr:from>
    <xdr:to>
      <xdr:col>7</xdr:col>
      <xdr:colOff>167640</xdr:colOff>
      <xdr:row>7</xdr:row>
      <xdr:rowOff>114301</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0F08B01D-DED6-477C-F9FF-60DD66AF4E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49340" y="11430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220980</xdr:colOff>
      <xdr:row>1</xdr:row>
      <xdr:rowOff>7621</xdr:rowOff>
    </xdr:from>
    <xdr:to>
      <xdr:col>8</xdr:col>
      <xdr:colOff>777240</xdr:colOff>
      <xdr:row>9</xdr:row>
      <xdr:rowOff>83821</xdr:rowOff>
    </xdr:to>
    <mc:AlternateContent xmlns:mc="http://schemas.openxmlformats.org/markup-compatibility/2006" xmlns:a14="http://schemas.microsoft.com/office/drawing/2010/main">
      <mc:Choice Requires="a14">
        <xdr:graphicFrame macro="">
          <xdr:nvGraphicFramePr>
            <xdr:cNvPr id="12" name="SubscriptionType">
              <a:extLst>
                <a:ext uri="{FF2B5EF4-FFF2-40B4-BE49-F238E27FC236}">
                  <a16:creationId xmlns:a16="http://schemas.microsoft.com/office/drawing/2014/main" id="{4E4824B0-E6EE-17C2-2C0B-ADDE3AF7C581}"/>
                </a:ext>
              </a:extLst>
            </xdr:cNvPr>
            <xdr:cNvGraphicFramePr/>
          </xdr:nvGraphicFramePr>
          <xdr:xfrm>
            <a:off x="0" y="0"/>
            <a:ext cx="0" cy="0"/>
          </xdr:xfrm>
          <a:graphic>
            <a:graphicData uri="http://schemas.microsoft.com/office/drawing/2010/slicer">
              <sle:slicer xmlns:sle="http://schemas.microsoft.com/office/drawing/2010/slicer" name="SubscriptionType"/>
            </a:graphicData>
          </a:graphic>
        </xdr:graphicFrame>
      </mc:Choice>
      <mc:Fallback xmlns="">
        <xdr:sp macro="" textlink="">
          <xdr:nvSpPr>
            <xdr:cNvPr id="0" name=""/>
            <xdr:cNvSpPr>
              <a:spLocks noTextEdit="1"/>
            </xdr:cNvSpPr>
          </xdr:nvSpPr>
          <xdr:spPr>
            <a:xfrm>
              <a:off x="8031480" y="190501"/>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868680</xdr:colOff>
      <xdr:row>16</xdr:row>
      <xdr:rowOff>30480</xdr:rowOff>
    </xdr:from>
    <xdr:to>
      <xdr:col>8</xdr:col>
      <xdr:colOff>259080</xdr:colOff>
      <xdr:row>23</xdr:row>
      <xdr:rowOff>121920</xdr:rowOff>
    </xdr:to>
    <mc:AlternateContent xmlns:mc="http://schemas.openxmlformats.org/markup-compatibility/2006" xmlns:tsle="http://schemas.microsoft.com/office/drawing/2012/timeslicer">
      <mc:Choice Requires="tsle">
        <xdr:graphicFrame macro="">
          <xdr:nvGraphicFramePr>
            <xdr:cNvPr id="13" name="SignupDate">
              <a:extLst>
                <a:ext uri="{FF2B5EF4-FFF2-40B4-BE49-F238E27FC236}">
                  <a16:creationId xmlns:a16="http://schemas.microsoft.com/office/drawing/2014/main" id="{088D044A-DF33-D56D-68D0-6211EAAFB7B5}"/>
                </a:ext>
              </a:extLst>
            </xdr:cNvPr>
            <xdr:cNvGraphicFramePr>
              <a:graphicFrameLocks noChangeAspect="1"/>
            </xdr:cNvGraphicFramePr>
          </xdr:nvGraphicFramePr>
          <xdr:xfrm>
            <a:off x="0" y="0"/>
            <a:ext cx="0" cy="0"/>
          </xdr:xfrm>
          <a:graphic>
            <a:graphicData uri="http://schemas.microsoft.com/office/drawing/2012/timeslicer">
              <tsle:timeslicer name="SignupDate"/>
            </a:graphicData>
          </a:graphic>
        </xdr:graphicFrame>
      </mc:Choice>
      <mc:Fallback xmlns="">
        <xdr:sp macro="" textlink="">
          <xdr:nvSpPr>
            <xdr:cNvPr id="0" name=""/>
            <xdr:cNvSpPr>
              <a:spLocks noTextEdit="1"/>
            </xdr:cNvSpPr>
          </xdr:nvSpPr>
          <xdr:spPr>
            <a:xfrm>
              <a:off x="4297680" y="2956560"/>
              <a:ext cx="50444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46649</xdr:colOff>
      <xdr:row>0</xdr:row>
      <xdr:rowOff>32197</xdr:rowOff>
    </xdr:from>
    <xdr:to>
      <xdr:col>33</xdr:col>
      <xdr:colOff>163285</xdr:colOff>
      <xdr:row>59</xdr:row>
      <xdr:rowOff>28223</xdr:rowOff>
    </xdr:to>
    <xdr:sp macro="" textlink="">
      <xdr:nvSpPr>
        <xdr:cNvPr id="4" name="Rectangle 3">
          <a:extLst>
            <a:ext uri="{FF2B5EF4-FFF2-40B4-BE49-F238E27FC236}">
              <a16:creationId xmlns:a16="http://schemas.microsoft.com/office/drawing/2014/main" id="{E09B18A5-1102-6CE7-7B6E-9EB324B431BE}"/>
            </a:ext>
          </a:extLst>
        </xdr:cNvPr>
        <xdr:cNvSpPr/>
      </xdr:nvSpPr>
      <xdr:spPr>
        <a:xfrm>
          <a:off x="46649" y="32197"/>
          <a:ext cx="20140303" cy="10819248"/>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212651</xdr:colOff>
      <xdr:row>13</xdr:row>
      <xdr:rowOff>32894</xdr:rowOff>
    </xdr:from>
    <xdr:to>
      <xdr:col>23</xdr:col>
      <xdr:colOff>122003</xdr:colOff>
      <xdr:row>26</xdr:row>
      <xdr:rowOff>171450</xdr:rowOff>
    </xdr:to>
    <xdr:graphicFrame macro="">
      <xdr:nvGraphicFramePr>
        <xdr:cNvPr id="5" name="Chart 4">
          <a:extLst>
            <a:ext uri="{FF2B5EF4-FFF2-40B4-BE49-F238E27FC236}">
              <a16:creationId xmlns:a16="http://schemas.microsoft.com/office/drawing/2014/main" id="{7D1B69BC-978C-4086-8058-4B1CF2C79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453800</xdr:colOff>
      <xdr:row>13</xdr:row>
      <xdr:rowOff>17721</xdr:rowOff>
    </xdr:from>
    <xdr:to>
      <xdr:col>15</xdr:col>
      <xdr:colOff>354419</xdr:colOff>
      <xdr:row>26</xdr:row>
      <xdr:rowOff>171450</xdr:rowOff>
    </xdr:to>
    <xdr:graphicFrame macro="">
      <xdr:nvGraphicFramePr>
        <xdr:cNvPr id="6" name="Chart 5">
          <a:extLst>
            <a:ext uri="{FF2B5EF4-FFF2-40B4-BE49-F238E27FC236}">
              <a16:creationId xmlns:a16="http://schemas.microsoft.com/office/drawing/2014/main" id="{FB90EEB7-BB41-45BA-B2DD-7FC4DF5DD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190501</xdr:colOff>
      <xdr:row>41</xdr:row>
      <xdr:rowOff>57150</xdr:rowOff>
    </xdr:from>
    <xdr:to>
      <xdr:col>23</xdr:col>
      <xdr:colOff>140405</xdr:colOff>
      <xdr:row>56</xdr:row>
      <xdr:rowOff>95250</xdr:rowOff>
    </xdr:to>
    <xdr:graphicFrame macro="">
      <xdr:nvGraphicFramePr>
        <xdr:cNvPr id="7" name="Chart 6">
          <a:extLst>
            <a:ext uri="{FF2B5EF4-FFF2-40B4-BE49-F238E27FC236}">
              <a16:creationId xmlns:a16="http://schemas.microsoft.com/office/drawing/2014/main" id="{1B310D16-EFAE-450B-934B-056CC5E8B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456560</xdr:colOff>
      <xdr:row>13</xdr:row>
      <xdr:rowOff>32958</xdr:rowOff>
    </xdr:from>
    <xdr:to>
      <xdr:col>32</xdr:col>
      <xdr:colOff>19049</xdr:colOff>
      <xdr:row>35</xdr:row>
      <xdr:rowOff>38100</xdr:rowOff>
    </xdr:to>
    <xdr:graphicFrame macro="">
      <xdr:nvGraphicFramePr>
        <xdr:cNvPr id="8" name="Chart 7">
          <a:extLst>
            <a:ext uri="{FF2B5EF4-FFF2-40B4-BE49-F238E27FC236}">
              <a16:creationId xmlns:a16="http://schemas.microsoft.com/office/drawing/2014/main" id="{8E65DFB2-C514-4FAD-AC70-D0E6B68CD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480510</xdr:colOff>
      <xdr:row>28</xdr:row>
      <xdr:rowOff>57150</xdr:rowOff>
    </xdr:from>
    <xdr:to>
      <xdr:col>23</xdr:col>
      <xdr:colOff>104282</xdr:colOff>
      <xdr:row>40</xdr:row>
      <xdr:rowOff>0</xdr:rowOff>
    </xdr:to>
    <xdr:graphicFrame macro="">
      <xdr:nvGraphicFramePr>
        <xdr:cNvPr id="9" name="Chart 8">
          <a:extLst>
            <a:ext uri="{FF2B5EF4-FFF2-40B4-BE49-F238E27FC236}">
              <a16:creationId xmlns:a16="http://schemas.microsoft.com/office/drawing/2014/main" id="{1BA4FF2C-6B46-46E9-A0C7-C1D96BFB7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505408</xdr:colOff>
      <xdr:row>37</xdr:row>
      <xdr:rowOff>38100</xdr:rowOff>
    </xdr:from>
    <xdr:to>
      <xdr:col>32</xdr:col>
      <xdr:colOff>152400</xdr:colOff>
      <xdr:row>56</xdr:row>
      <xdr:rowOff>97711</xdr:rowOff>
    </xdr:to>
    <xdr:graphicFrame macro="">
      <xdr:nvGraphicFramePr>
        <xdr:cNvPr id="10" name="Chart 9">
          <a:extLst>
            <a:ext uri="{FF2B5EF4-FFF2-40B4-BE49-F238E27FC236}">
              <a16:creationId xmlns:a16="http://schemas.microsoft.com/office/drawing/2014/main" id="{0A854107-298F-46EE-8793-E85DDFDCB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55203</xdr:colOff>
      <xdr:row>1</xdr:row>
      <xdr:rowOff>176328</xdr:rowOff>
    </xdr:from>
    <xdr:to>
      <xdr:col>31</xdr:col>
      <xdr:colOff>579059</xdr:colOff>
      <xdr:row>12</xdr:row>
      <xdr:rowOff>18024</xdr:rowOff>
    </xdr:to>
    <xdr:sp macro="" textlink="">
      <xdr:nvSpPr>
        <xdr:cNvPr id="11" name="Rectangle: Rounded Corners 10">
          <a:extLst>
            <a:ext uri="{FF2B5EF4-FFF2-40B4-BE49-F238E27FC236}">
              <a16:creationId xmlns:a16="http://schemas.microsoft.com/office/drawing/2014/main" id="{2DFDE8AA-06FD-6F3D-6AF1-572EAB7165C5}"/>
            </a:ext>
          </a:extLst>
        </xdr:cNvPr>
        <xdr:cNvSpPr/>
      </xdr:nvSpPr>
      <xdr:spPr>
        <a:xfrm>
          <a:off x="661981" y="359772"/>
          <a:ext cx="18727189" cy="185958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3600" b="1">
              <a:solidFill>
                <a:schemeClr val="accent1">
                  <a:lumMod val="50000"/>
                </a:schemeClr>
              </a:solidFill>
              <a:latin typeface="Algerian" panose="04020705040A02060702" pitchFamily="82" charset="0"/>
            </a:rPr>
            <a:t>OTT Customer Analysis</a:t>
          </a:r>
        </a:p>
      </xdr:txBody>
    </xdr:sp>
    <xdr:clientData/>
  </xdr:twoCellAnchor>
  <xdr:twoCellAnchor>
    <xdr:from>
      <xdr:col>35</xdr:col>
      <xdr:colOff>435428</xdr:colOff>
      <xdr:row>16</xdr:row>
      <xdr:rowOff>127000</xdr:rowOff>
    </xdr:from>
    <xdr:to>
      <xdr:col>38</xdr:col>
      <xdr:colOff>417285</xdr:colOff>
      <xdr:row>17</xdr:row>
      <xdr:rowOff>154981</xdr:rowOff>
    </xdr:to>
    <xdr:sp macro="" textlink="">
      <xdr:nvSpPr>
        <xdr:cNvPr id="14" name="TextBox 13">
          <a:extLst>
            <a:ext uri="{FF2B5EF4-FFF2-40B4-BE49-F238E27FC236}">
              <a16:creationId xmlns:a16="http://schemas.microsoft.com/office/drawing/2014/main" id="{A3B38127-DF06-6851-0011-30AC1FCFEE2D}"/>
            </a:ext>
          </a:extLst>
        </xdr:cNvPr>
        <xdr:cNvSpPr txBox="1"/>
      </xdr:nvSpPr>
      <xdr:spPr>
        <a:xfrm>
          <a:off x="22025428" y="3029857"/>
          <a:ext cx="1832428" cy="209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b="1"/>
        </a:p>
      </xdr:txBody>
    </xdr:sp>
    <xdr:clientData/>
  </xdr:twoCellAnchor>
  <xdr:twoCellAnchor>
    <xdr:from>
      <xdr:col>40</xdr:col>
      <xdr:colOff>54428</xdr:colOff>
      <xdr:row>45</xdr:row>
      <xdr:rowOff>54428</xdr:rowOff>
    </xdr:from>
    <xdr:to>
      <xdr:col>40</xdr:col>
      <xdr:colOff>562428</xdr:colOff>
      <xdr:row>46</xdr:row>
      <xdr:rowOff>72572</xdr:rowOff>
    </xdr:to>
    <xdr:sp macro="" textlink="">
      <xdr:nvSpPr>
        <xdr:cNvPr id="5121" name="Text Box 1">
          <a:extLst>
            <a:ext uri="{FF2B5EF4-FFF2-40B4-BE49-F238E27FC236}">
              <a16:creationId xmlns:a16="http://schemas.microsoft.com/office/drawing/2014/main" id="{427A4A0C-60AF-F18D-995B-79A8CC38244C}"/>
            </a:ext>
          </a:extLst>
        </xdr:cNvPr>
        <xdr:cNvSpPr txBox="1">
          <a:spLocks noChangeArrowheads="1"/>
        </xdr:cNvSpPr>
      </xdr:nvSpPr>
      <xdr:spPr bwMode="auto">
        <a:xfrm flipH="1" flipV="1">
          <a:off x="24728714" y="8218714"/>
          <a:ext cx="508000" cy="199572"/>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37</xdr:col>
      <xdr:colOff>127000</xdr:colOff>
      <xdr:row>42</xdr:row>
      <xdr:rowOff>0</xdr:rowOff>
    </xdr:from>
    <xdr:to>
      <xdr:col>39</xdr:col>
      <xdr:colOff>453571</xdr:colOff>
      <xdr:row>46</xdr:row>
      <xdr:rowOff>163286</xdr:rowOff>
    </xdr:to>
    <xdr:sp macro="" textlink="">
      <xdr:nvSpPr>
        <xdr:cNvPr id="5122" name="Text Box 2">
          <a:extLst>
            <a:ext uri="{FF2B5EF4-FFF2-40B4-BE49-F238E27FC236}">
              <a16:creationId xmlns:a16="http://schemas.microsoft.com/office/drawing/2014/main" id="{D061FB0E-AF8A-6A4C-BE5A-367478A6DE53}"/>
            </a:ext>
          </a:extLst>
        </xdr:cNvPr>
        <xdr:cNvSpPr txBox="1">
          <a:spLocks noChangeArrowheads="1"/>
        </xdr:cNvSpPr>
      </xdr:nvSpPr>
      <xdr:spPr bwMode="auto">
        <a:xfrm>
          <a:off x="22950714" y="7620000"/>
          <a:ext cx="1560286" cy="8890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35</xdr:col>
      <xdr:colOff>54428</xdr:colOff>
      <xdr:row>39</xdr:row>
      <xdr:rowOff>137160</xdr:rowOff>
    </xdr:from>
    <xdr:to>
      <xdr:col>37</xdr:col>
      <xdr:colOff>471715</xdr:colOff>
      <xdr:row>41</xdr:row>
      <xdr:rowOff>54429</xdr:rowOff>
    </xdr:to>
    <xdr:sp macro="" textlink="">
      <xdr:nvSpPr>
        <xdr:cNvPr id="5123" name="Text Box 3">
          <a:extLst>
            <a:ext uri="{FF2B5EF4-FFF2-40B4-BE49-F238E27FC236}">
              <a16:creationId xmlns:a16="http://schemas.microsoft.com/office/drawing/2014/main" id="{36B57539-C930-D84E-5836-25B7A1E12702}"/>
            </a:ext>
          </a:extLst>
        </xdr:cNvPr>
        <xdr:cNvSpPr txBox="1">
          <a:spLocks noChangeArrowheads="1"/>
        </xdr:cNvSpPr>
      </xdr:nvSpPr>
      <xdr:spPr bwMode="auto">
        <a:xfrm flipH="1" flipV="1">
          <a:off x="21644428" y="7212874"/>
          <a:ext cx="1651001" cy="280126"/>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37</xdr:col>
      <xdr:colOff>235855</xdr:colOff>
      <xdr:row>35</xdr:row>
      <xdr:rowOff>54429</xdr:rowOff>
    </xdr:from>
    <xdr:to>
      <xdr:col>40</xdr:col>
      <xdr:colOff>72570</xdr:colOff>
      <xdr:row>39</xdr:row>
      <xdr:rowOff>137160</xdr:rowOff>
    </xdr:to>
    <xdr:sp macro="" textlink="">
      <xdr:nvSpPr>
        <xdr:cNvPr id="5124" name="Text Box 4">
          <a:extLst>
            <a:ext uri="{FF2B5EF4-FFF2-40B4-BE49-F238E27FC236}">
              <a16:creationId xmlns:a16="http://schemas.microsoft.com/office/drawing/2014/main" id="{D13BA599-6686-6586-41D3-97743DD6241E}"/>
            </a:ext>
          </a:extLst>
        </xdr:cNvPr>
        <xdr:cNvSpPr txBox="1">
          <a:spLocks noChangeArrowheads="1"/>
        </xdr:cNvSpPr>
      </xdr:nvSpPr>
      <xdr:spPr bwMode="auto">
        <a:xfrm>
          <a:off x="23059569" y="6404429"/>
          <a:ext cx="1687287" cy="808445"/>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11</xdr:col>
      <xdr:colOff>240601</xdr:colOff>
      <xdr:row>5</xdr:row>
      <xdr:rowOff>149861</xdr:rowOff>
    </xdr:from>
    <xdr:to>
      <xdr:col>14</xdr:col>
      <xdr:colOff>310344</xdr:colOff>
      <xdr:row>8</xdr:row>
      <xdr:rowOff>7802</xdr:rowOff>
    </xdr:to>
    <xdr:sp macro="" textlink="">
      <xdr:nvSpPr>
        <xdr:cNvPr id="17" name="Rectangle 16">
          <a:extLst>
            <a:ext uri="{FF2B5EF4-FFF2-40B4-BE49-F238E27FC236}">
              <a16:creationId xmlns:a16="http://schemas.microsoft.com/office/drawing/2014/main" id="{EF7039D0-A358-40E2-8DF8-34C2A718307D}"/>
            </a:ext>
          </a:extLst>
        </xdr:cNvPr>
        <xdr:cNvSpPr/>
      </xdr:nvSpPr>
      <xdr:spPr>
        <a:xfrm>
          <a:off x="6987089" y="1079129"/>
          <a:ext cx="1909694" cy="4155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Total</a:t>
          </a:r>
          <a:r>
            <a:rPr lang="en-IN" sz="1800" b="1"/>
            <a:t> </a:t>
          </a:r>
          <a:r>
            <a:rPr lang="en-IN" sz="1800" b="1">
              <a:solidFill>
                <a:schemeClr val="tx1"/>
              </a:solidFill>
            </a:rPr>
            <a:t>Customers</a:t>
          </a:r>
        </a:p>
      </xdr:txBody>
    </xdr:sp>
    <xdr:clientData/>
  </xdr:twoCellAnchor>
  <xdr:twoCellAnchor>
    <xdr:from>
      <xdr:col>6</xdr:col>
      <xdr:colOff>199966</xdr:colOff>
      <xdr:row>5</xdr:row>
      <xdr:rowOff>155419</xdr:rowOff>
    </xdr:from>
    <xdr:to>
      <xdr:col>9</xdr:col>
      <xdr:colOff>395257</xdr:colOff>
      <xdr:row>7</xdr:row>
      <xdr:rowOff>149861</xdr:rowOff>
    </xdr:to>
    <xdr:sp macro="" textlink="">
      <xdr:nvSpPr>
        <xdr:cNvPr id="18" name="Rectangle 17">
          <a:extLst>
            <a:ext uri="{FF2B5EF4-FFF2-40B4-BE49-F238E27FC236}">
              <a16:creationId xmlns:a16="http://schemas.microsoft.com/office/drawing/2014/main" id="{2E8471B1-62AA-4C5E-91AB-3582CA1AFF9D}"/>
            </a:ext>
          </a:extLst>
        </xdr:cNvPr>
        <xdr:cNvSpPr/>
      </xdr:nvSpPr>
      <xdr:spPr>
        <a:xfrm>
          <a:off x="3879868" y="1084687"/>
          <a:ext cx="2035243" cy="36615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IN" sz="1800" b="1">
              <a:solidFill>
                <a:schemeClr val="tx1"/>
              </a:solidFill>
              <a:latin typeface="+mn-lt"/>
              <a:ea typeface="+mn-ea"/>
              <a:cs typeface="+mn-cs"/>
            </a:rPr>
            <a:t>Top OTT Platform</a:t>
          </a:r>
        </a:p>
      </xdr:txBody>
    </xdr:sp>
    <xdr:clientData/>
  </xdr:twoCellAnchor>
  <xdr:twoCellAnchor>
    <xdr:from>
      <xdr:col>16</xdr:col>
      <xdr:colOff>210101</xdr:colOff>
      <xdr:row>5</xdr:row>
      <xdr:rowOff>168078</xdr:rowOff>
    </xdr:from>
    <xdr:to>
      <xdr:col>20</xdr:col>
      <xdr:colOff>79615</xdr:colOff>
      <xdr:row>8</xdr:row>
      <xdr:rowOff>34125</xdr:rowOff>
    </xdr:to>
    <xdr:sp macro="" textlink="">
      <xdr:nvSpPr>
        <xdr:cNvPr id="19" name="Rectangle 18">
          <a:extLst>
            <a:ext uri="{FF2B5EF4-FFF2-40B4-BE49-F238E27FC236}">
              <a16:creationId xmlns:a16="http://schemas.microsoft.com/office/drawing/2014/main" id="{184E3CB4-1F86-4902-97C1-65453C126EF6}"/>
            </a:ext>
          </a:extLst>
        </xdr:cNvPr>
        <xdr:cNvSpPr/>
      </xdr:nvSpPr>
      <xdr:spPr>
        <a:xfrm>
          <a:off x="10023174" y="1097346"/>
          <a:ext cx="2322782" cy="4236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800" b="1" i="0" u="none" strike="noStrike">
              <a:solidFill>
                <a:srgbClr val="000000"/>
              </a:solidFill>
              <a:latin typeface="Calibri"/>
              <a:ea typeface="Calibri"/>
              <a:cs typeface="Calibri"/>
            </a:rPr>
            <a:t>Average Account Age</a:t>
          </a:r>
        </a:p>
      </xdr:txBody>
    </xdr:sp>
    <xdr:clientData/>
  </xdr:twoCellAnchor>
  <xdr:twoCellAnchor>
    <xdr:from>
      <xdr:col>23</xdr:col>
      <xdr:colOff>417240</xdr:colOff>
      <xdr:row>8</xdr:row>
      <xdr:rowOff>151964</xdr:rowOff>
    </xdr:from>
    <xdr:to>
      <xdr:col>26</xdr:col>
      <xdr:colOff>61830</xdr:colOff>
      <xdr:row>11</xdr:row>
      <xdr:rowOff>12175</xdr:rowOff>
    </xdr:to>
    <xdr:sp macro="" textlink="kpi!I14">
      <xdr:nvSpPr>
        <xdr:cNvPr id="20" name="Rectangle 19">
          <a:extLst>
            <a:ext uri="{FF2B5EF4-FFF2-40B4-BE49-F238E27FC236}">
              <a16:creationId xmlns:a16="http://schemas.microsoft.com/office/drawing/2014/main" id="{8F2863ED-8C23-4429-8804-C71D839C304B}"/>
            </a:ext>
          </a:extLst>
        </xdr:cNvPr>
        <xdr:cNvSpPr/>
      </xdr:nvSpPr>
      <xdr:spPr>
        <a:xfrm>
          <a:off x="14523533" y="1638793"/>
          <a:ext cx="1484541" cy="4177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01C78DC-5C96-4827-8DF1-C97A9948439F}" type="TxLink">
            <a:rPr lang="en-US" sz="1800" b="1" i="0" u="none" strike="noStrike">
              <a:solidFill>
                <a:srgbClr val="000000"/>
              </a:solidFill>
              <a:latin typeface="Calibri"/>
              <a:ea typeface="Calibri"/>
              <a:cs typeface="Calibri"/>
            </a:rPr>
            <a:pPr marL="0" indent="0" algn="l"/>
            <a:t>353</a:t>
          </a:fld>
          <a:endParaRPr lang="en-IN" sz="1800" b="1" i="0" u="none" strike="noStrike">
            <a:solidFill>
              <a:srgbClr val="000000"/>
            </a:solidFill>
            <a:latin typeface="Calibri"/>
            <a:ea typeface="Calibri"/>
            <a:cs typeface="Calibri"/>
          </a:endParaRPr>
        </a:p>
      </xdr:txBody>
    </xdr:sp>
    <xdr:clientData/>
  </xdr:twoCellAnchor>
  <xdr:twoCellAnchor>
    <xdr:from>
      <xdr:col>17</xdr:col>
      <xdr:colOff>235501</xdr:colOff>
      <xdr:row>8</xdr:row>
      <xdr:rowOff>69505</xdr:rowOff>
    </xdr:from>
    <xdr:to>
      <xdr:col>18</xdr:col>
      <xdr:colOff>489037</xdr:colOff>
      <xdr:row>10</xdr:row>
      <xdr:rowOff>121166</xdr:rowOff>
    </xdr:to>
    <xdr:sp macro="" textlink="kpi!E14">
      <xdr:nvSpPr>
        <xdr:cNvPr id="22" name="Rectangle 21">
          <a:extLst>
            <a:ext uri="{FF2B5EF4-FFF2-40B4-BE49-F238E27FC236}">
              <a16:creationId xmlns:a16="http://schemas.microsoft.com/office/drawing/2014/main" id="{B5A38ED8-235E-43F6-B867-AD1E8B39199E}"/>
            </a:ext>
          </a:extLst>
        </xdr:cNvPr>
        <xdr:cNvSpPr/>
      </xdr:nvSpPr>
      <xdr:spPr>
        <a:xfrm>
          <a:off x="10661891" y="1556334"/>
          <a:ext cx="866853" cy="4233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119A5E7-3856-4A69-B788-5DBAB534B3B3}" type="TxLink">
            <a:rPr lang="en-US" sz="1800" b="1" i="0" u="none" strike="noStrike">
              <a:solidFill>
                <a:srgbClr val="000000"/>
              </a:solidFill>
              <a:latin typeface="Calibri"/>
              <a:ea typeface="Calibri"/>
              <a:cs typeface="Calibri"/>
            </a:rPr>
            <a:pPr marL="0" indent="0" algn="l"/>
            <a:t>31.025</a:t>
          </a:fld>
          <a:endParaRPr lang="en-IN" sz="1800" b="1" i="0" u="none" strike="noStrike">
            <a:solidFill>
              <a:srgbClr val="000000"/>
            </a:solidFill>
            <a:latin typeface="Calibri"/>
            <a:ea typeface="Calibri"/>
            <a:cs typeface="Calibri"/>
          </a:endParaRPr>
        </a:p>
      </xdr:txBody>
    </xdr:sp>
    <xdr:clientData/>
  </xdr:twoCellAnchor>
  <xdr:twoCellAnchor>
    <xdr:from>
      <xdr:col>7</xdr:col>
      <xdr:colOff>153278</xdr:colOff>
      <xdr:row>8</xdr:row>
      <xdr:rowOff>152022</xdr:rowOff>
    </xdr:from>
    <xdr:to>
      <xdr:col>9</xdr:col>
      <xdr:colOff>590672</xdr:colOff>
      <xdr:row>10</xdr:row>
      <xdr:rowOff>144700</xdr:rowOff>
    </xdr:to>
    <xdr:sp macro="" textlink="kpi!G14">
      <xdr:nvSpPr>
        <xdr:cNvPr id="23" name="Rectangle 22">
          <a:extLst>
            <a:ext uri="{FF2B5EF4-FFF2-40B4-BE49-F238E27FC236}">
              <a16:creationId xmlns:a16="http://schemas.microsoft.com/office/drawing/2014/main" id="{EFC34E93-6D56-49FC-A4A4-F05D972563DD}"/>
            </a:ext>
          </a:extLst>
        </xdr:cNvPr>
        <xdr:cNvSpPr/>
      </xdr:nvSpPr>
      <xdr:spPr>
        <a:xfrm>
          <a:off x="4446498" y="1638851"/>
          <a:ext cx="1664028" cy="3643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F5FE1F1-C252-4A2B-A9DF-3D43101B03AA}" type="TxLink">
            <a:rPr lang="en-US" sz="1800" b="1" i="0" u="none" strike="noStrike">
              <a:solidFill>
                <a:srgbClr val="000000"/>
              </a:solidFill>
              <a:latin typeface="Calibri"/>
              <a:ea typeface="Calibri"/>
              <a:cs typeface="Calibri"/>
            </a:rPr>
            <a:pPr algn="l"/>
            <a:t>267</a:t>
          </a:fld>
          <a:endParaRPr lang="en-IN" sz="1800" b="1"/>
        </a:p>
      </xdr:txBody>
    </xdr:sp>
    <xdr:clientData/>
  </xdr:twoCellAnchor>
  <xdr:twoCellAnchor>
    <xdr:from>
      <xdr:col>7</xdr:col>
      <xdr:colOff>48325</xdr:colOff>
      <xdr:row>7</xdr:row>
      <xdr:rowOff>47389</xdr:rowOff>
    </xdr:from>
    <xdr:to>
      <xdr:col>9</xdr:col>
      <xdr:colOff>409496</xdr:colOff>
      <xdr:row>8</xdr:row>
      <xdr:rowOff>169842</xdr:rowOff>
    </xdr:to>
    <xdr:sp macro="" textlink="kpi!F14">
      <xdr:nvSpPr>
        <xdr:cNvPr id="25" name="TextBox 24">
          <a:extLst>
            <a:ext uri="{FF2B5EF4-FFF2-40B4-BE49-F238E27FC236}">
              <a16:creationId xmlns:a16="http://schemas.microsoft.com/office/drawing/2014/main" id="{E8D41E7D-A912-B7B2-361C-34C877AEBECB}"/>
            </a:ext>
          </a:extLst>
        </xdr:cNvPr>
        <xdr:cNvSpPr txBox="1"/>
      </xdr:nvSpPr>
      <xdr:spPr>
        <a:xfrm>
          <a:off x="4341545" y="1348365"/>
          <a:ext cx="1587805" cy="308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A35107-1EE0-4F8E-A032-F7DEAE2196A0}" type="TxLink">
            <a:rPr lang="en-US" sz="1800" b="1" i="0" u="none" strike="noStrike">
              <a:solidFill>
                <a:srgbClr val="000000"/>
              </a:solidFill>
              <a:latin typeface="Calibri"/>
              <a:ea typeface="Calibri"/>
              <a:cs typeface="Calibri"/>
            </a:rPr>
            <a:pPr/>
            <a:t>Netflix</a:t>
          </a:fld>
          <a:endParaRPr lang="en-IN" sz="1800" b="1"/>
        </a:p>
      </xdr:txBody>
    </xdr:sp>
    <xdr:clientData/>
  </xdr:twoCellAnchor>
  <xdr:twoCellAnchor>
    <xdr:from>
      <xdr:col>12</xdr:col>
      <xdr:colOff>96089</xdr:colOff>
      <xdr:row>8</xdr:row>
      <xdr:rowOff>62922</xdr:rowOff>
    </xdr:from>
    <xdr:to>
      <xdr:col>14</xdr:col>
      <xdr:colOff>341479</xdr:colOff>
      <xdr:row>10</xdr:row>
      <xdr:rowOff>114584</xdr:rowOff>
    </xdr:to>
    <xdr:sp macro="" textlink="kpi!D14">
      <xdr:nvSpPr>
        <xdr:cNvPr id="26" name="Rectangle 25">
          <a:extLst>
            <a:ext uri="{FF2B5EF4-FFF2-40B4-BE49-F238E27FC236}">
              <a16:creationId xmlns:a16="http://schemas.microsoft.com/office/drawing/2014/main" id="{A2E42655-18F6-4586-B75E-A93A029D9B3A}"/>
            </a:ext>
          </a:extLst>
        </xdr:cNvPr>
        <xdr:cNvSpPr/>
      </xdr:nvSpPr>
      <xdr:spPr>
        <a:xfrm>
          <a:off x="7455894" y="1549751"/>
          <a:ext cx="1472024" cy="4233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3BF04A4-8C13-46F3-BEEF-86CB99818B5B}" type="TxLink">
            <a:rPr lang="en-US" sz="1800" b="1" i="0" u="none" strike="noStrike">
              <a:solidFill>
                <a:srgbClr val="000000"/>
              </a:solidFill>
              <a:latin typeface="Calibri"/>
              <a:ea typeface="Calibri"/>
              <a:cs typeface="Calibri"/>
            </a:rPr>
            <a:pPr algn="l"/>
            <a:t>1000</a:t>
          </a:fld>
          <a:endParaRPr lang="en-IN" sz="1800" b="1"/>
        </a:p>
      </xdr:txBody>
    </xdr:sp>
    <xdr:clientData/>
  </xdr:twoCellAnchor>
  <xdr:twoCellAnchor>
    <xdr:from>
      <xdr:col>25</xdr:col>
      <xdr:colOff>0</xdr:colOff>
      <xdr:row>27</xdr:row>
      <xdr:rowOff>0</xdr:rowOff>
    </xdr:from>
    <xdr:to>
      <xdr:col>25</xdr:col>
      <xdr:colOff>457200</xdr:colOff>
      <xdr:row>29</xdr:row>
      <xdr:rowOff>0</xdr:rowOff>
    </xdr:to>
    <xdr:sp macro="" textlink="">
      <xdr:nvSpPr>
        <xdr:cNvPr id="1025" name="Text Box 1">
          <a:extLst>
            <a:ext uri="{FF2B5EF4-FFF2-40B4-BE49-F238E27FC236}">
              <a16:creationId xmlns:a16="http://schemas.microsoft.com/office/drawing/2014/main" id="{13D9601F-E6F0-D8AA-EC5E-9813ABC0CB49}"/>
            </a:ext>
          </a:extLst>
        </xdr:cNvPr>
        <xdr:cNvSpPr txBox="1">
          <a:spLocks noChangeArrowheads="1"/>
        </xdr:cNvSpPr>
      </xdr:nvSpPr>
      <xdr:spPr bwMode="auto">
        <a:xfrm>
          <a:off x="15240000" y="4937760"/>
          <a:ext cx="457200" cy="365760"/>
        </a:xfrm>
        <a:prstGeom prst="rect">
          <a:avLst/>
        </a:prstGeom>
        <a:noFill/>
        <a:ln w="9525">
          <a:no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23</xdr:col>
      <xdr:colOff>187545</xdr:colOff>
      <xdr:row>7</xdr:row>
      <xdr:rowOff>68959</xdr:rowOff>
    </xdr:from>
    <xdr:to>
      <xdr:col>25</xdr:col>
      <xdr:colOff>431610</xdr:colOff>
      <xdr:row>9</xdr:row>
      <xdr:rowOff>120620</xdr:rowOff>
    </xdr:to>
    <xdr:sp macro="" textlink="kpi!H14">
      <xdr:nvSpPr>
        <xdr:cNvPr id="2" name="Rectangle 1">
          <a:extLst>
            <a:ext uri="{FF2B5EF4-FFF2-40B4-BE49-F238E27FC236}">
              <a16:creationId xmlns:a16="http://schemas.microsoft.com/office/drawing/2014/main" id="{B02505BC-5D29-430E-AAAA-481E55748844}"/>
            </a:ext>
          </a:extLst>
        </xdr:cNvPr>
        <xdr:cNvSpPr/>
      </xdr:nvSpPr>
      <xdr:spPr>
        <a:xfrm>
          <a:off x="14293838" y="1369935"/>
          <a:ext cx="1470699" cy="4233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9F7223D-11CD-4D5F-A051-647F75F3E273}" type="TxLink">
            <a:rPr lang="en-US" sz="1800" b="1" i="0" u="none" strike="noStrike">
              <a:solidFill>
                <a:srgbClr val="000000"/>
              </a:solidFill>
              <a:latin typeface="Calibri"/>
              <a:ea typeface="Calibri"/>
              <a:cs typeface="Calibri"/>
            </a:rPr>
            <a:pPr marL="0" indent="0" algn="l"/>
            <a:t>Standard</a:t>
          </a:fld>
          <a:endParaRPr lang="en-IN" sz="1800" b="1" i="0" u="none" strike="noStrike">
            <a:solidFill>
              <a:srgbClr val="000000"/>
            </a:solidFill>
            <a:latin typeface="Calibri"/>
            <a:ea typeface="Calibri"/>
            <a:cs typeface="Calibri"/>
          </a:endParaRPr>
        </a:p>
      </xdr:txBody>
    </xdr:sp>
    <xdr:clientData/>
  </xdr:twoCellAnchor>
  <xdr:twoCellAnchor>
    <xdr:from>
      <xdr:col>22</xdr:col>
      <xdr:colOff>252797</xdr:colOff>
      <xdr:row>5</xdr:row>
      <xdr:rowOff>185170</xdr:rowOff>
    </xdr:from>
    <xdr:to>
      <xdr:col>27</xdr:col>
      <xdr:colOff>345161</xdr:colOff>
      <xdr:row>9</xdr:row>
      <xdr:rowOff>91918</xdr:rowOff>
    </xdr:to>
    <xdr:sp macro="" textlink="">
      <xdr:nvSpPr>
        <xdr:cNvPr id="3" name="Rectangle 2">
          <a:extLst>
            <a:ext uri="{FF2B5EF4-FFF2-40B4-BE49-F238E27FC236}">
              <a16:creationId xmlns:a16="http://schemas.microsoft.com/office/drawing/2014/main" id="{4CF66AF5-1C7D-462C-8266-D2D341265558}"/>
            </a:ext>
          </a:extLst>
        </xdr:cNvPr>
        <xdr:cNvSpPr/>
      </xdr:nvSpPr>
      <xdr:spPr>
        <a:xfrm>
          <a:off x="13745773" y="1114438"/>
          <a:ext cx="3158949" cy="6501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0" u="none" strike="noStrike">
              <a:solidFill>
                <a:srgbClr val="000000"/>
              </a:solidFill>
              <a:latin typeface="Calibri"/>
              <a:ea typeface="Calibri"/>
              <a:cs typeface="Calibri"/>
            </a:rPr>
            <a:t>Top</a:t>
          </a:r>
          <a:r>
            <a:rPr lang="en-IN" sz="1100"/>
            <a:t> </a:t>
          </a:r>
          <a:r>
            <a:rPr lang="en-IN" sz="1800" b="1" i="0" u="none" strike="noStrike">
              <a:solidFill>
                <a:srgbClr val="000000"/>
              </a:solidFill>
              <a:latin typeface="Calibri"/>
              <a:ea typeface="Calibri"/>
              <a:cs typeface="Calibri"/>
            </a:rPr>
            <a:t>Subscription</a:t>
          </a:r>
          <a:r>
            <a:rPr lang="en-IN" sz="1100"/>
            <a:t> </a:t>
          </a:r>
          <a:r>
            <a:rPr lang="en-IN" sz="1800" b="1" i="0" u="none" strike="noStrike">
              <a:solidFill>
                <a:srgbClr val="000000"/>
              </a:solidFill>
              <a:latin typeface="Calibri"/>
              <a:ea typeface="Calibri"/>
              <a:cs typeface="Calibri"/>
            </a:rPr>
            <a:t>Plan</a:t>
          </a:r>
        </a:p>
      </xdr:txBody>
    </xdr:sp>
    <xdr:clientData/>
  </xdr:twoCellAnchor>
  <xdr:twoCellAnchor editAs="oneCell">
    <xdr:from>
      <xdr:col>1</xdr:col>
      <xdr:colOff>106878</xdr:colOff>
      <xdr:row>31</xdr:row>
      <xdr:rowOff>129922</xdr:rowOff>
    </xdr:from>
    <xdr:to>
      <xdr:col>4</xdr:col>
      <xdr:colOff>99710</xdr:colOff>
      <xdr:row>40</xdr:row>
      <xdr:rowOff>152400</xdr:rowOff>
    </xdr:to>
    <mc:AlternateContent xmlns:mc="http://schemas.openxmlformats.org/markup-compatibility/2006" xmlns:a14="http://schemas.microsoft.com/office/drawing/2010/main">
      <mc:Choice Requires="a14">
        <xdr:graphicFrame macro="">
          <xdr:nvGraphicFramePr>
            <xdr:cNvPr id="12" name="Platform 1">
              <a:extLst>
                <a:ext uri="{FF2B5EF4-FFF2-40B4-BE49-F238E27FC236}">
                  <a16:creationId xmlns:a16="http://schemas.microsoft.com/office/drawing/2014/main" id="{F074EBC3-1FBC-4294-A8E1-6F01F1F4935C}"/>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721394" y="5844922"/>
              <a:ext cx="1836381" cy="1681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124986</xdr:colOff>
      <xdr:row>41</xdr:row>
      <xdr:rowOff>70905</xdr:rowOff>
    </xdr:from>
    <xdr:to>
      <xdr:col>5</xdr:col>
      <xdr:colOff>528484</xdr:colOff>
      <xdr:row>47</xdr:row>
      <xdr:rowOff>133351</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7AA4F4E0-D33C-4513-9783-E2924DE4715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9502" y="7629453"/>
              <a:ext cx="2861563" cy="1168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101290</xdr:colOff>
      <xdr:row>23</xdr:row>
      <xdr:rowOff>8983</xdr:rowOff>
    </xdr:from>
    <xdr:to>
      <xdr:col>4</xdr:col>
      <xdr:colOff>95823</xdr:colOff>
      <xdr:row>30</xdr:row>
      <xdr:rowOff>152401</xdr:rowOff>
    </xdr:to>
    <mc:AlternateContent xmlns:mc="http://schemas.openxmlformats.org/markup-compatibility/2006" xmlns:a14="http://schemas.microsoft.com/office/drawing/2010/main">
      <mc:Choice Requires="a14">
        <xdr:graphicFrame macro="">
          <xdr:nvGraphicFramePr>
            <xdr:cNvPr id="15" name="SubscriptionType 1">
              <a:extLst>
                <a:ext uri="{FF2B5EF4-FFF2-40B4-BE49-F238E27FC236}">
                  <a16:creationId xmlns:a16="http://schemas.microsoft.com/office/drawing/2014/main" id="{75282008-D400-456D-BD7C-4B24D162830E}"/>
                </a:ext>
              </a:extLst>
            </xdr:cNvPr>
            <xdr:cNvGraphicFramePr/>
          </xdr:nvGraphicFramePr>
          <xdr:xfrm>
            <a:off x="0" y="0"/>
            <a:ext cx="0" cy="0"/>
          </xdr:xfrm>
          <a:graphic>
            <a:graphicData uri="http://schemas.microsoft.com/office/drawing/2010/slicer">
              <sle:slicer xmlns:sle="http://schemas.microsoft.com/office/drawing/2010/slicer" name="SubscriptionType 1"/>
            </a:graphicData>
          </a:graphic>
        </xdr:graphicFrame>
      </mc:Choice>
      <mc:Fallback xmlns="">
        <xdr:sp macro="" textlink="">
          <xdr:nvSpPr>
            <xdr:cNvPr id="0" name=""/>
            <xdr:cNvSpPr>
              <a:spLocks noTextEdit="1"/>
            </xdr:cNvSpPr>
          </xdr:nvSpPr>
          <xdr:spPr>
            <a:xfrm>
              <a:off x="715806" y="4249144"/>
              <a:ext cx="1838082" cy="1433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65096</xdr:colOff>
      <xdr:row>13</xdr:row>
      <xdr:rowOff>71237</xdr:rowOff>
    </xdr:from>
    <xdr:to>
      <xdr:col>4</xdr:col>
      <xdr:colOff>60477</xdr:colOff>
      <xdr:row>22</xdr:row>
      <xdr:rowOff>57151</xdr:rowOff>
    </xdr:to>
    <mc:AlternateContent xmlns:mc="http://schemas.openxmlformats.org/markup-compatibility/2006" xmlns:a14="http://schemas.microsoft.com/office/drawing/2010/main">
      <mc:Choice Requires="a14">
        <xdr:graphicFrame macro="">
          <xdr:nvGraphicFramePr>
            <xdr:cNvPr id="16" name="AgeGroup 1">
              <a:extLst>
                <a:ext uri="{FF2B5EF4-FFF2-40B4-BE49-F238E27FC236}">
                  <a16:creationId xmlns:a16="http://schemas.microsoft.com/office/drawing/2014/main" id="{B51908C1-F8CB-4EB2-ACA4-49B499C40A42}"/>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679612" y="2467850"/>
              <a:ext cx="1838930" cy="1645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111657</xdr:colOff>
      <xdr:row>48</xdr:row>
      <xdr:rowOff>113371</xdr:rowOff>
    </xdr:from>
    <xdr:to>
      <xdr:col>5</xdr:col>
      <xdr:colOff>552450</xdr:colOff>
      <xdr:row>56</xdr:row>
      <xdr:rowOff>113371</xdr:rowOff>
    </xdr:to>
    <mc:AlternateContent xmlns:mc="http://schemas.openxmlformats.org/markup-compatibility/2006" xmlns:tsle="http://schemas.microsoft.com/office/drawing/2012/timeslicer">
      <mc:Choice Requires="tsle">
        <xdr:graphicFrame macro="">
          <xdr:nvGraphicFramePr>
            <xdr:cNvPr id="21" name="SignupDate 1">
              <a:extLst>
                <a:ext uri="{FF2B5EF4-FFF2-40B4-BE49-F238E27FC236}">
                  <a16:creationId xmlns:a16="http://schemas.microsoft.com/office/drawing/2014/main" id="{1C5B6C62-9C1E-4103-A7FF-585AF5C3422C}"/>
                </a:ext>
              </a:extLst>
            </xdr:cNvPr>
            <xdr:cNvGraphicFramePr>
              <a:graphicFrameLocks noChangeAspect="1"/>
            </xdr:cNvGraphicFramePr>
          </xdr:nvGraphicFramePr>
          <xdr:xfrm>
            <a:off x="0" y="0"/>
            <a:ext cx="0" cy="0"/>
          </xdr:xfrm>
          <a:graphic>
            <a:graphicData uri="http://schemas.microsoft.com/office/drawing/2012/timeslicer">
              <tsle:timeslicer name="SignupDate 1"/>
            </a:graphicData>
          </a:graphic>
        </xdr:graphicFrame>
      </mc:Choice>
      <mc:Fallback xmlns="">
        <xdr:sp macro="" textlink="">
          <xdr:nvSpPr>
            <xdr:cNvPr id="0" name=""/>
            <xdr:cNvSpPr>
              <a:spLocks noTextEdit="1"/>
            </xdr:cNvSpPr>
          </xdr:nvSpPr>
          <xdr:spPr>
            <a:xfrm>
              <a:off x="726173" y="8962403"/>
              <a:ext cx="2898858" cy="147483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ena Anna Michael" refreshedDate="46251.691313425923" createdVersion="8" refreshedVersion="8" minRefreshableVersion="3" recordCount="1000" xr:uid="{8E1F8CD1-773A-4C23-B003-5102C81D2CAE}">
  <cacheSource type="worksheet">
    <worksheetSource name="Table2"/>
  </cacheSource>
  <cacheFields count="10">
    <cacheField name="CustomerID" numFmtId="49">
      <sharedItems count="1000">
        <s v="CUST00001"/>
        <s v="CUST00002"/>
        <s v="CUST00003"/>
        <s v="CUST00004"/>
        <s v="CUST00005"/>
        <s v="CUST00006"/>
        <s v="CUST00007"/>
        <s v="CUST00008"/>
        <s v="CUST00009"/>
        <s v="CUST00010"/>
        <s v="CUST00011"/>
        <s v="CUST00012"/>
        <s v="CUST00013"/>
        <s v="CUST00014"/>
        <s v="CUST00015"/>
        <s v="CUST00016"/>
        <s v="CUST00017"/>
        <s v="CUST00018"/>
        <s v="CUST00019"/>
        <s v="CUST00020"/>
        <s v="CUST00021"/>
        <s v="CUST00022"/>
        <s v="CUST00023"/>
        <s v="CUST00024"/>
        <s v="CUST00025"/>
        <s v="CUST00026"/>
        <s v="CUST00027"/>
        <s v="CUST00028"/>
        <s v="CUST00029"/>
        <s v="CUST00030"/>
        <s v="CUST00031"/>
        <s v="CUST00032"/>
        <s v="CUST00033"/>
        <s v="CUST00034"/>
        <s v="CUST00035"/>
        <s v="CUST00036"/>
        <s v="CUST00037"/>
        <s v="CUST00038"/>
        <s v="CUST00039"/>
        <s v="CUST00040"/>
        <s v="CUST00041"/>
        <s v="CUST00042"/>
        <s v="CUST00043"/>
        <s v="CUST00044"/>
        <s v="CUST00045"/>
        <s v="CUST00046"/>
        <s v="CUST00047"/>
        <s v="CUST00048"/>
        <s v="CUST00049"/>
        <s v="CUST00050"/>
        <s v="CUST00051"/>
        <s v="CUST00052"/>
        <s v="CUST00053"/>
        <s v="CUST00054"/>
        <s v="CUST00055"/>
        <s v="CUST00056"/>
        <s v="CUST00057"/>
        <s v="CUST00058"/>
        <s v="CUST00059"/>
        <s v="CUST00060"/>
        <s v="CUST00061"/>
        <s v="CUST00062"/>
        <s v="CUST00063"/>
        <s v="CUST00064"/>
        <s v="CUST00065"/>
        <s v="CUST00066"/>
        <s v="CUST00067"/>
        <s v="CUST00068"/>
        <s v="CUST00069"/>
        <s v="CUST00070"/>
        <s v="CUST00071"/>
        <s v="CUST00072"/>
        <s v="CUST00073"/>
        <s v="CUST00074"/>
        <s v="CUST00075"/>
        <s v="CUST00076"/>
        <s v="CUST00077"/>
        <s v="CUST00078"/>
        <s v="CUST00079"/>
        <s v="CUST00080"/>
        <s v="CUST00081"/>
        <s v="CUST00082"/>
        <s v="CUST00083"/>
        <s v="CUST00084"/>
        <s v="CUST00085"/>
        <s v="CUST00086"/>
        <s v="CUST00087"/>
        <s v="CUST00088"/>
        <s v="CUST00089"/>
        <s v="CUST00090"/>
        <s v="CUST00091"/>
        <s v="CUST00092"/>
        <s v="CUST00093"/>
        <s v="CUST00094"/>
        <s v="CUST00095"/>
        <s v="CUST00096"/>
        <s v="CUST00097"/>
        <s v="CUST00098"/>
        <s v="CUST00099"/>
        <s v="CUST00100"/>
        <s v="CUST00101"/>
        <s v="CUST00102"/>
        <s v="CUST00103"/>
        <s v="CUST00104"/>
        <s v="CUST00105"/>
        <s v="CUST00106"/>
        <s v="CUST00107"/>
        <s v="CUST00108"/>
        <s v="CUST00109"/>
        <s v="CUST00110"/>
        <s v="CUST00111"/>
        <s v="CUST00112"/>
        <s v="CUST00113"/>
        <s v="CUST00114"/>
        <s v="CUST00115"/>
        <s v="CUST00116"/>
        <s v="CUST00117"/>
        <s v="CUST00118"/>
        <s v="CUST00119"/>
        <s v="CUST00120"/>
        <s v="CUST00121"/>
        <s v="CUST00122"/>
        <s v="CUST00123"/>
        <s v="CUST00124"/>
        <s v="CUST00125"/>
        <s v="CUST00126"/>
        <s v="CUST00127"/>
        <s v="CUST00128"/>
        <s v="CUST00129"/>
        <s v="CUST00130"/>
        <s v="CUST00131"/>
        <s v="CUST00132"/>
        <s v="CUST00133"/>
        <s v="CUST00134"/>
        <s v="CUST00135"/>
        <s v="CUST00136"/>
        <s v="CUST00137"/>
        <s v="CUST00138"/>
        <s v="CUST00139"/>
        <s v="CUST00140"/>
        <s v="CUST00141"/>
        <s v="CUST00142"/>
        <s v="CUST00143"/>
        <s v="CUST00144"/>
        <s v="CUST00145"/>
        <s v="CUST00146"/>
        <s v="CUST00147"/>
        <s v="CUST00148"/>
        <s v="CUST00149"/>
        <s v="CUST00150"/>
        <s v="CUST00151"/>
        <s v="CUST00152"/>
        <s v="CUST00153"/>
        <s v="CUST00154"/>
        <s v="CUST00155"/>
        <s v="CUST00156"/>
        <s v="CUST00157"/>
        <s v="CUST00158"/>
        <s v="CUST00159"/>
        <s v="CUST00160"/>
        <s v="CUST00161"/>
        <s v="CUST00162"/>
        <s v="CUST00163"/>
        <s v="CUST00164"/>
        <s v="CUST00165"/>
        <s v="CUST00166"/>
        <s v="CUST00167"/>
        <s v="CUST00168"/>
        <s v="CUST00169"/>
        <s v="CUST00170"/>
        <s v="CUST00171"/>
        <s v="CUST00172"/>
        <s v="CUST00173"/>
        <s v="CUST00174"/>
        <s v="CUST00175"/>
        <s v="CUST00176"/>
        <s v="CUST00177"/>
        <s v="CUST00178"/>
        <s v="CUST00179"/>
        <s v="CUST00180"/>
        <s v="CUST00181"/>
        <s v="CUST00182"/>
        <s v="CUST00183"/>
        <s v="CUST00184"/>
        <s v="CUST00185"/>
        <s v="CUST00186"/>
        <s v="CUST00187"/>
        <s v="CUST00188"/>
        <s v="CUST00189"/>
        <s v="CUST00190"/>
        <s v="CUST00191"/>
        <s v="CUST00192"/>
        <s v="CUST00193"/>
        <s v="CUST00194"/>
        <s v="CUST00195"/>
        <s v="CUST00196"/>
        <s v="CUST00197"/>
        <s v="CUST00198"/>
        <s v="CUST00199"/>
        <s v="CUST00200"/>
        <s v="CUST00201"/>
        <s v="CUST00202"/>
        <s v="CUST00203"/>
        <s v="CUST00204"/>
        <s v="CUST00205"/>
        <s v="CUST00206"/>
        <s v="CUST00207"/>
        <s v="CUST00208"/>
        <s v="CUST00209"/>
        <s v="CUST00210"/>
        <s v="CUST00211"/>
        <s v="CUST00212"/>
        <s v="CUST00213"/>
        <s v="CUST00214"/>
        <s v="CUST00215"/>
        <s v="CUST00216"/>
        <s v="CUST00217"/>
        <s v="CUST00218"/>
        <s v="CUST00219"/>
        <s v="CUST00220"/>
        <s v="CUST00221"/>
        <s v="CUST00222"/>
        <s v="CUST00223"/>
        <s v="CUST00224"/>
        <s v="CUST00225"/>
        <s v="CUST00226"/>
        <s v="CUST00227"/>
        <s v="CUST00228"/>
        <s v="CUST00229"/>
        <s v="CUST00230"/>
        <s v="CUST00231"/>
        <s v="CUST00232"/>
        <s v="CUST00233"/>
        <s v="CUST00234"/>
        <s v="CUST00235"/>
        <s v="CUST00236"/>
        <s v="CUST00237"/>
        <s v="CUST00238"/>
        <s v="CUST00239"/>
        <s v="CUST00240"/>
        <s v="CUST00241"/>
        <s v="CUST00242"/>
        <s v="CUST00243"/>
        <s v="CUST00244"/>
        <s v="CUST00245"/>
        <s v="CUST00246"/>
        <s v="CUST00247"/>
        <s v="CUST00248"/>
        <s v="CUST00249"/>
        <s v="CUST00250"/>
        <s v="CUST00251"/>
        <s v="CUST00252"/>
        <s v="CUST00253"/>
        <s v="CUST00254"/>
        <s v="CUST00255"/>
        <s v="CUST00256"/>
        <s v="CUST00257"/>
        <s v="CUST00258"/>
        <s v="CUST00259"/>
        <s v="CUST00260"/>
        <s v="CUST00261"/>
        <s v="CUST00262"/>
        <s v="CUST00263"/>
        <s v="CUST00264"/>
        <s v="CUST00265"/>
        <s v="CUST00266"/>
        <s v="CUST00267"/>
        <s v="CUST00268"/>
        <s v="CUST00269"/>
        <s v="CUST00270"/>
        <s v="CUST00271"/>
        <s v="CUST00272"/>
        <s v="CUST00273"/>
        <s v="CUST00274"/>
        <s v="CUST00275"/>
        <s v="CUST00276"/>
        <s v="CUST00277"/>
        <s v="CUST00278"/>
        <s v="CUST00279"/>
        <s v="CUST00280"/>
        <s v="CUST00281"/>
        <s v="CUST00282"/>
        <s v="CUST00283"/>
        <s v="CUST00284"/>
        <s v="CUST00285"/>
        <s v="CUST00286"/>
        <s v="CUST00287"/>
        <s v="CUST00288"/>
        <s v="CUST00289"/>
        <s v="CUST00290"/>
        <s v="CUST00291"/>
        <s v="CUST00292"/>
        <s v="CUST00293"/>
        <s v="CUST00294"/>
        <s v="CUST00295"/>
        <s v="CUST00296"/>
        <s v="CUST00297"/>
        <s v="CUST00298"/>
        <s v="CUST00299"/>
        <s v="CUST00300"/>
        <s v="CUST00301"/>
        <s v="CUST00302"/>
        <s v="CUST00303"/>
        <s v="CUST00304"/>
        <s v="CUST00305"/>
        <s v="CUST00306"/>
        <s v="CUST00307"/>
        <s v="CUST00308"/>
        <s v="CUST00309"/>
        <s v="CUST00310"/>
        <s v="CUST00311"/>
        <s v="CUST00312"/>
        <s v="CUST00313"/>
        <s v="CUST00314"/>
        <s v="CUST00315"/>
        <s v="CUST00316"/>
        <s v="CUST00317"/>
        <s v="CUST00318"/>
        <s v="CUST00319"/>
        <s v="CUST00320"/>
        <s v="CUST00321"/>
        <s v="CUST00322"/>
        <s v="CUST00323"/>
        <s v="CUST00324"/>
        <s v="CUST00325"/>
        <s v="CUST00326"/>
        <s v="CUST00327"/>
        <s v="CUST00328"/>
        <s v="CUST00329"/>
        <s v="CUST00330"/>
        <s v="CUST00331"/>
        <s v="CUST00332"/>
        <s v="CUST00333"/>
        <s v="CUST00334"/>
        <s v="CUST00335"/>
        <s v="CUST00336"/>
        <s v="CUST00337"/>
        <s v="CUST00338"/>
        <s v="CUST00339"/>
        <s v="CUST00340"/>
        <s v="CUST00341"/>
        <s v="CUST00342"/>
        <s v="CUST00343"/>
        <s v="CUST00344"/>
        <s v="CUST00345"/>
        <s v="CUST00346"/>
        <s v="CUST00347"/>
        <s v="CUST00348"/>
        <s v="CUST00349"/>
        <s v="CUST00350"/>
        <s v="CUST00351"/>
        <s v="CUST00352"/>
        <s v="CUST00353"/>
        <s v="CUST00354"/>
        <s v="CUST00355"/>
        <s v="CUST00356"/>
        <s v="CUST00357"/>
        <s v="CUST00358"/>
        <s v="CUST00359"/>
        <s v="CUST00360"/>
        <s v="CUST00361"/>
        <s v="CUST00362"/>
        <s v="CUST00363"/>
        <s v="CUST00364"/>
        <s v="CUST00365"/>
        <s v="CUST00366"/>
        <s v="CUST00367"/>
        <s v="CUST00368"/>
        <s v="CUST00369"/>
        <s v="CUST00370"/>
        <s v="CUST00371"/>
        <s v="CUST00372"/>
        <s v="CUST00373"/>
        <s v="CUST00374"/>
        <s v="CUST00375"/>
        <s v="CUST00376"/>
        <s v="CUST00377"/>
        <s v="CUST00378"/>
        <s v="CUST00379"/>
        <s v="CUST00380"/>
        <s v="CUST00381"/>
        <s v="CUST00382"/>
        <s v="CUST00383"/>
        <s v="CUST00384"/>
        <s v="CUST00385"/>
        <s v="CUST00386"/>
        <s v="CUST00387"/>
        <s v="CUST00388"/>
        <s v="CUST00389"/>
        <s v="CUST00390"/>
        <s v="CUST00391"/>
        <s v="CUST00392"/>
        <s v="CUST00393"/>
        <s v="CUST00394"/>
        <s v="CUST00395"/>
        <s v="CUST00396"/>
        <s v="CUST00397"/>
        <s v="CUST00398"/>
        <s v="CUST00399"/>
        <s v="CUST00400"/>
        <s v="CUST00401"/>
        <s v="CUST00402"/>
        <s v="CUST00403"/>
        <s v="CUST00404"/>
        <s v="CUST00405"/>
        <s v="CUST00406"/>
        <s v="CUST00407"/>
        <s v="CUST00408"/>
        <s v="CUST00409"/>
        <s v="CUST00410"/>
        <s v="CUST00411"/>
        <s v="CUST00412"/>
        <s v="CUST00413"/>
        <s v="CUST00414"/>
        <s v="CUST00415"/>
        <s v="CUST00416"/>
        <s v="CUST00417"/>
        <s v="CUST00418"/>
        <s v="CUST00419"/>
        <s v="CUST00420"/>
        <s v="CUST00421"/>
        <s v="CUST00422"/>
        <s v="CUST00423"/>
        <s v="CUST00424"/>
        <s v="CUST00425"/>
        <s v="CUST00426"/>
        <s v="CUST00427"/>
        <s v="CUST00428"/>
        <s v="CUST00429"/>
        <s v="CUST00430"/>
        <s v="CUST00431"/>
        <s v="CUST00432"/>
        <s v="CUST00433"/>
        <s v="CUST00434"/>
        <s v="CUST00435"/>
        <s v="CUST00436"/>
        <s v="CUST00437"/>
        <s v="CUST00438"/>
        <s v="CUST00439"/>
        <s v="CUST00440"/>
        <s v="CUST00441"/>
        <s v="CUST00442"/>
        <s v="CUST00443"/>
        <s v="CUST00444"/>
        <s v="CUST00445"/>
        <s v="CUST00446"/>
        <s v="CUST00447"/>
        <s v="CUST00448"/>
        <s v="CUST00449"/>
        <s v="CUST00450"/>
        <s v="CUST00451"/>
        <s v="CUST00452"/>
        <s v="CUST00453"/>
        <s v="CUST00454"/>
        <s v="CUST00455"/>
        <s v="CUST00456"/>
        <s v="CUST00457"/>
        <s v="CUST00458"/>
        <s v="CUST00459"/>
        <s v="CUST00460"/>
        <s v="CUST00461"/>
        <s v="CUST00462"/>
        <s v="CUST00463"/>
        <s v="CUST00464"/>
        <s v="CUST00465"/>
        <s v="CUST00466"/>
        <s v="CUST00467"/>
        <s v="CUST00468"/>
        <s v="CUST00469"/>
        <s v="CUST00470"/>
        <s v="CUST00471"/>
        <s v="CUST00472"/>
        <s v="CUST00473"/>
        <s v="CUST00474"/>
        <s v="CUST00475"/>
        <s v="CUST00476"/>
        <s v="CUST00477"/>
        <s v="CUST00478"/>
        <s v="CUST00479"/>
        <s v="CUST00480"/>
        <s v="CUST00481"/>
        <s v="CUST00482"/>
        <s v="CUST00483"/>
        <s v="CUST00484"/>
        <s v="CUST00485"/>
        <s v="CUST00486"/>
        <s v="CUST00487"/>
        <s v="CUST00488"/>
        <s v="CUST00489"/>
        <s v="CUST00490"/>
        <s v="CUST00491"/>
        <s v="CUST00492"/>
        <s v="CUST00493"/>
        <s v="CUST00494"/>
        <s v="CUST00495"/>
        <s v="CUST00496"/>
        <s v="CUST00497"/>
        <s v="CUST00498"/>
        <s v="CUST00499"/>
        <s v="CUST00500"/>
        <s v="CUST00501"/>
        <s v="CUST00502"/>
        <s v="CUST00503"/>
        <s v="CUST00504"/>
        <s v="CUST00505"/>
        <s v="CUST00506"/>
        <s v="CUST00507"/>
        <s v="CUST00508"/>
        <s v="CUST00509"/>
        <s v="CUST00510"/>
        <s v="CUST00511"/>
        <s v="CUST00512"/>
        <s v="CUST00513"/>
        <s v="CUST00514"/>
        <s v="CUST00515"/>
        <s v="CUST00516"/>
        <s v="CUST00517"/>
        <s v="CUST00518"/>
        <s v="CUST00519"/>
        <s v="CUST00520"/>
        <s v="CUST00521"/>
        <s v="CUST00522"/>
        <s v="CUST00523"/>
        <s v="CUST00524"/>
        <s v="CUST00525"/>
        <s v="CUST00526"/>
        <s v="CUST00527"/>
        <s v="CUST00528"/>
        <s v="CUST00529"/>
        <s v="CUST00530"/>
        <s v="CUST00531"/>
        <s v="CUST00532"/>
        <s v="CUST00533"/>
        <s v="CUST00534"/>
        <s v="CUST00535"/>
        <s v="CUST00536"/>
        <s v="CUST00537"/>
        <s v="CUST00538"/>
        <s v="CUST00539"/>
        <s v="CUST00540"/>
        <s v="CUST00541"/>
        <s v="CUST00542"/>
        <s v="CUST00543"/>
        <s v="CUST00544"/>
        <s v="CUST00545"/>
        <s v="CUST00546"/>
        <s v="CUST00547"/>
        <s v="CUST00548"/>
        <s v="CUST00549"/>
        <s v="CUST00550"/>
        <s v="CUST00551"/>
        <s v="CUST00552"/>
        <s v="CUST00553"/>
        <s v="CUST00554"/>
        <s v="CUST00555"/>
        <s v="CUST00556"/>
        <s v="CUST00557"/>
        <s v="CUST00558"/>
        <s v="CUST00559"/>
        <s v="CUST00560"/>
        <s v="CUST00561"/>
        <s v="CUST00562"/>
        <s v="CUST00563"/>
        <s v="CUST00564"/>
        <s v="CUST00565"/>
        <s v="CUST00566"/>
        <s v="CUST00567"/>
        <s v="CUST00568"/>
        <s v="CUST00569"/>
        <s v="CUST00570"/>
        <s v="CUST00571"/>
        <s v="CUST00572"/>
        <s v="CUST00573"/>
        <s v="CUST00574"/>
        <s v="CUST00575"/>
        <s v="CUST00576"/>
        <s v="CUST00577"/>
        <s v="CUST00578"/>
        <s v="CUST00579"/>
        <s v="CUST00580"/>
        <s v="CUST00581"/>
        <s v="CUST00582"/>
        <s v="CUST00583"/>
        <s v="CUST00584"/>
        <s v="CUST00585"/>
        <s v="CUST00586"/>
        <s v="CUST00587"/>
        <s v="CUST00588"/>
        <s v="CUST00589"/>
        <s v="CUST00590"/>
        <s v="CUST00591"/>
        <s v="CUST00592"/>
        <s v="CUST00593"/>
        <s v="CUST00594"/>
        <s v="CUST00595"/>
        <s v="CUST00596"/>
        <s v="CUST00597"/>
        <s v="CUST00598"/>
        <s v="CUST00599"/>
        <s v="CUST00600"/>
        <s v="CUST00601"/>
        <s v="CUST00602"/>
        <s v="CUST00603"/>
        <s v="CUST00604"/>
        <s v="CUST00605"/>
        <s v="CUST00606"/>
        <s v="CUST00607"/>
        <s v="CUST00608"/>
        <s v="CUST00609"/>
        <s v="CUST00610"/>
        <s v="CUST00611"/>
        <s v="CUST00612"/>
        <s v="CUST00613"/>
        <s v="CUST00614"/>
        <s v="CUST00615"/>
        <s v="CUST00616"/>
        <s v="CUST00617"/>
        <s v="CUST00618"/>
        <s v="CUST00619"/>
        <s v="CUST00620"/>
        <s v="CUST00621"/>
        <s v="CUST00622"/>
        <s v="CUST00623"/>
        <s v="CUST00624"/>
        <s v="CUST00625"/>
        <s v="CUST00626"/>
        <s v="CUST00627"/>
        <s v="CUST00628"/>
        <s v="CUST00629"/>
        <s v="CUST00630"/>
        <s v="CUST00631"/>
        <s v="CUST00632"/>
        <s v="CUST00633"/>
        <s v="CUST00634"/>
        <s v="CUST00635"/>
        <s v="CUST00636"/>
        <s v="CUST00637"/>
        <s v="CUST00638"/>
        <s v="CUST00639"/>
        <s v="CUST00640"/>
        <s v="CUST00641"/>
        <s v="CUST00642"/>
        <s v="CUST00643"/>
        <s v="CUST00644"/>
        <s v="CUST00645"/>
        <s v="CUST00646"/>
        <s v="CUST00647"/>
        <s v="CUST00648"/>
        <s v="CUST00649"/>
        <s v="CUST00650"/>
        <s v="CUST00651"/>
        <s v="CUST00652"/>
        <s v="CUST00653"/>
        <s v="CUST00654"/>
        <s v="CUST00655"/>
        <s v="CUST00656"/>
        <s v="CUST00657"/>
        <s v="CUST00658"/>
        <s v="CUST00659"/>
        <s v="CUST00660"/>
        <s v="CUST00661"/>
        <s v="CUST00662"/>
        <s v="CUST00663"/>
        <s v="CUST00664"/>
        <s v="CUST00665"/>
        <s v="CUST00666"/>
        <s v="CUST00667"/>
        <s v="CUST00668"/>
        <s v="CUST00669"/>
        <s v="CUST00670"/>
        <s v="CUST00671"/>
        <s v="CUST00672"/>
        <s v="CUST00673"/>
        <s v="CUST00674"/>
        <s v="CUST00675"/>
        <s v="CUST00676"/>
        <s v="CUST00677"/>
        <s v="CUST00678"/>
        <s v="CUST00679"/>
        <s v="CUST00680"/>
        <s v="CUST00681"/>
        <s v="CUST00682"/>
        <s v="CUST00683"/>
        <s v="CUST00684"/>
        <s v="CUST00685"/>
        <s v="CUST00686"/>
        <s v="CUST00687"/>
        <s v="CUST00688"/>
        <s v="CUST00689"/>
        <s v="CUST00690"/>
        <s v="CUST00691"/>
        <s v="CUST00692"/>
        <s v="CUST00693"/>
        <s v="CUST00694"/>
        <s v="CUST00695"/>
        <s v="CUST00696"/>
        <s v="CUST00697"/>
        <s v="CUST00698"/>
        <s v="CUST00699"/>
        <s v="CUST00700"/>
        <s v="CUST00701"/>
        <s v="CUST00702"/>
        <s v="CUST00703"/>
        <s v="CUST00704"/>
        <s v="CUST00705"/>
        <s v="CUST00706"/>
        <s v="CUST00707"/>
        <s v="CUST00708"/>
        <s v="CUST00709"/>
        <s v="CUST00710"/>
        <s v="CUST00711"/>
        <s v="CUST00712"/>
        <s v="CUST00713"/>
        <s v="CUST00714"/>
        <s v="CUST00715"/>
        <s v="CUST00716"/>
        <s v="CUST00717"/>
        <s v="CUST00718"/>
        <s v="CUST00719"/>
        <s v="CUST00720"/>
        <s v="CUST00721"/>
        <s v="CUST00722"/>
        <s v="CUST00723"/>
        <s v="CUST00724"/>
        <s v="CUST00725"/>
        <s v="CUST00726"/>
        <s v="CUST00727"/>
        <s v="CUST00728"/>
        <s v="CUST00729"/>
        <s v="CUST00730"/>
        <s v="CUST00731"/>
        <s v="CUST00732"/>
        <s v="CUST00733"/>
        <s v="CUST00734"/>
        <s v="CUST00735"/>
        <s v="CUST00736"/>
        <s v="CUST00737"/>
        <s v="CUST00738"/>
        <s v="CUST00739"/>
        <s v="CUST00740"/>
        <s v="CUST00741"/>
        <s v="CUST00742"/>
        <s v="CUST00743"/>
        <s v="CUST00744"/>
        <s v="CUST00745"/>
        <s v="CUST00746"/>
        <s v="CUST00747"/>
        <s v="CUST00748"/>
        <s v="CUST00749"/>
        <s v="CUST00750"/>
        <s v="CUST00751"/>
        <s v="CUST00752"/>
        <s v="CUST00753"/>
        <s v="CUST00754"/>
        <s v="CUST00755"/>
        <s v="CUST00756"/>
        <s v="CUST00757"/>
        <s v="CUST00758"/>
        <s v="CUST00759"/>
        <s v="CUST00760"/>
        <s v="CUST00761"/>
        <s v="CUST00762"/>
        <s v="CUST00763"/>
        <s v="CUST00764"/>
        <s v="CUST00765"/>
        <s v="CUST00766"/>
        <s v="CUST00767"/>
        <s v="CUST00768"/>
        <s v="CUST00769"/>
        <s v="CUST00770"/>
        <s v="CUST00771"/>
        <s v="CUST00772"/>
        <s v="CUST00773"/>
        <s v="CUST00774"/>
        <s v="CUST00775"/>
        <s v="CUST00776"/>
        <s v="CUST00777"/>
        <s v="CUST00778"/>
        <s v="CUST00779"/>
        <s v="CUST00780"/>
        <s v="CUST00781"/>
        <s v="CUST00782"/>
        <s v="CUST00783"/>
        <s v="CUST00784"/>
        <s v="CUST00785"/>
        <s v="CUST00786"/>
        <s v="CUST00787"/>
        <s v="CUST00788"/>
        <s v="CUST00789"/>
        <s v="CUST00790"/>
        <s v="CUST00791"/>
        <s v="CUST00792"/>
        <s v="CUST00793"/>
        <s v="CUST00794"/>
        <s v="CUST00795"/>
        <s v="CUST00796"/>
        <s v="CUST00797"/>
        <s v="CUST00798"/>
        <s v="CUST00799"/>
        <s v="CUST00800"/>
        <s v="CUST00801"/>
        <s v="CUST00802"/>
        <s v="CUST00803"/>
        <s v="CUST00804"/>
        <s v="CUST00805"/>
        <s v="CUST00806"/>
        <s v="CUST00807"/>
        <s v="CUST00808"/>
        <s v="CUST00809"/>
        <s v="CUST00810"/>
        <s v="CUST00811"/>
        <s v="CUST00812"/>
        <s v="CUST00813"/>
        <s v="CUST00814"/>
        <s v="CUST00815"/>
        <s v="CUST00816"/>
        <s v="CUST00817"/>
        <s v="CUST00818"/>
        <s v="CUST00819"/>
        <s v="CUST00820"/>
        <s v="CUST00821"/>
        <s v="CUST00822"/>
        <s v="CUST00823"/>
        <s v="CUST00824"/>
        <s v="CUST00825"/>
        <s v="CUST00826"/>
        <s v="CUST00827"/>
        <s v="CUST00828"/>
        <s v="CUST00829"/>
        <s v="CUST00830"/>
        <s v="CUST00831"/>
        <s v="CUST00832"/>
        <s v="CUST00833"/>
        <s v="CUST00834"/>
        <s v="CUST00835"/>
        <s v="CUST00836"/>
        <s v="CUST00837"/>
        <s v="CUST00838"/>
        <s v="CUST00839"/>
        <s v="CUST00840"/>
        <s v="CUST00841"/>
        <s v="CUST00842"/>
        <s v="CUST00843"/>
        <s v="CUST00844"/>
        <s v="CUST00845"/>
        <s v="CUST00846"/>
        <s v="CUST00847"/>
        <s v="CUST00848"/>
        <s v="CUST00849"/>
        <s v="CUST00850"/>
        <s v="CUST00851"/>
        <s v="CUST00852"/>
        <s v="CUST00853"/>
        <s v="CUST00854"/>
        <s v="CUST00855"/>
        <s v="CUST00856"/>
        <s v="CUST00857"/>
        <s v="CUST00858"/>
        <s v="CUST00859"/>
        <s v="CUST00860"/>
        <s v="CUST00861"/>
        <s v="CUST00862"/>
        <s v="CUST00863"/>
        <s v="CUST00864"/>
        <s v="CUST00865"/>
        <s v="CUST00866"/>
        <s v="CUST00867"/>
        <s v="CUST00868"/>
        <s v="CUST00869"/>
        <s v="CUST00870"/>
        <s v="CUST00871"/>
        <s v="CUST00872"/>
        <s v="CUST00873"/>
        <s v="CUST00874"/>
        <s v="CUST00875"/>
        <s v="CUST00876"/>
        <s v="CUST00877"/>
        <s v="CUST00878"/>
        <s v="CUST00879"/>
        <s v="CUST00880"/>
        <s v="CUST00881"/>
        <s v="CUST00882"/>
        <s v="CUST00883"/>
        <s v="CUST00884"/>
        <s v="CUST00885"/>
        <s v="CUST00886"/>
        <s v="CUST00887"/>
        <s v="CUST00888"/>
        <s v="CUST00889"/>
        <s v="CUST00890"/>
        <s v="CUST00891"/>
        <s v="CUST00892"/>
        <s v="CUST00893"/>
        <s v="CUST00894"/>
        <s v="CUST00895"/>
        <s v="CUST00896"/>
        <s v="CUST00897"/>
        <s v="CUST00898"/>
        <s v="CUST00899"/>
        <s v="CUST00900"/>
        <s v="CUST00901"/>
        <s v="CUST00902"/>
        <s v="CUST00903"/>
        <s v="CUST00904"/>
        <s v="CUST00905"/>
        <s v="CUST00906"/>
        <s v="CUST00907"/>
        <s v="CUST00908"/>
        <s v="CUST00909"/>
        <s v="CUST00910"/>
        <s v="CUST00911"/>
        <s v="CUST00912"/>
        <s v="CUST00913"/>
        <s v="CUST00914"/>
        <s v="CUST00915"/>
        <s v="CUST00916"/>
        <s v="CUST00917"/>
        <s v="CUST00918"/>
        <s v="CUST00919"/>
        <s v="CUST00920"/>
        <s v="CUST00921"/>
        <s v="CUST00922"/>
        <s v="CUST00923"/>
        <s v="CUST00924"/>
        <s v="CUST00925"/>
        <s v="CUST00926"/>
        <s v="CUST00927"/>
        <s v="CUST00928"/>
        <s v="CUST00929"/>
        <s v="CUST00930"/>
        <s v="CUST00931"/>
        <s v="CUST00932"/>
        <s v="CUST00933"/>
        <s v="CUST00934"/>
        <s v="CUST00935"/>
        <s v="CUST00936"/>
        <s v="CUST00937"/>
        <s v="CUST00938"/>
        <s v="CUST00939"/>
        <s v="CUST00940"/>
        <s v="CUST00941"/>
        <s v="CUST00942"/>
        <s v="CUST00943"/>
        <s v="CUST00944"/>
        <s v="CUST00945"/>
        <s v="CUST00946"/>
        <s v="CUST00947"/>
        <s v="CUST00948"/>
        <s v="CUST00949"/>
        <s v="CUST00950"/>
        <s v="CUST00951"/>
        <s v="CUST00952"/>
        <s v="CUST00953"/>
        <s v="CUST00954"/>
        <s v="CUST00955"/>
        <s v="CUST00956"/>
        <s v="CUST00957"/>
        <s v="CUST00958"/>
        <s v="CUST00959"/>
        <s v="CUST00960"/>
        <s v="CUST00961"/>
        <s v="CUST00962"/>
        <s v="CUST00963"/>
        <s v="CUST00964"/>
        <s v="CUST00965"/>
        <s v="CUST00966"/>
        <s v="CUST00967"/>
        <s v="CUST00968"/>
        <s v="CUST00969"/>
        <s v="CUST00970"/>
        <s v="CUST00971"/>
        <s v="CUST00972"/>
        <s v="CUST00973"/>
        <s v="CUST00974"/>
        <s v="CUST00975"/>
        <s v="CUST00976"/>
        <s v="CUST00977"/>
        <s v="CUST00978"/>
        <s v="CUST00979"/>
        <s v="CUST00980"/>
        <s v="CUST00981"/>
        <s v="CUST00982"/>
        <s v="CUST00983"/>
        <s v="CUST00984"/>
        <s v="CUST00985"/>
        <s v="CUST00986"/>
        <s v="CUST00987"/>
        <s v="CUST00988"/>
        <s v="CUST00989"/>
        <s v="CUST00990"/>
        <s v="CUST00991"/>
        <s v="CUST00992"/>
        <s v="CUST00993"/>
        <s v="CUST00994"/>
        <s v="CUST00995"/>
        <s v="CUST00996"/>
        <s v="CUST00997"/>
        <s v="CUST00998"/>
        <s v="CUST00999"/>
        <s v="CUST01000"/>
      </sharedItems>
    </cacheField>
    <cacheField name="Platform" numFmtId="49">
      <sharedItems count="5">
        <s v="JioHotstar"/>
        <s v="Amazon Prime"/>
        <s v="Netflix"/>
        <s v="SonyLiv"/>
        <s v="ZEE5"/>
      </sharedItems>
    </cacheField>
    <cacheField name="Age" numFmtId="1">
      <sharedItems containsSemiMixedTypes="0" containsString="0" containsNumber="1" containsInteger="1" minValue="18" maxValue="60" count="40">
        <n v="36"/>
        <n v="26"/>
        <n v="27"/>
        <n v="20"/>
        <n v="28"/>
        <n v="32"/>
        <n v="18"/>
        <n v="23"/>
        <n v="46"/>
        <n v="37"/>
        <n v="24"/>
        <n v="30"/>
        <n v="33"/>
        <n v="39"/>
        <n v="35"/>
        <n v="29"/>
        <n v="47"/>
        <n v="25"/>
        <n v="52"/>
        <n v="42"/>
        <n v="22"/>
        <n v="21"/>
        <n v="40"/>
        <n v="45"/>
        <n v="38"/>
        <n v="43"/>
        <n v="44"/>
        <n v="31"/>
        <n v="51"/>
        <n v="41"/>
        <n v="19"/>
        <n v="49"/>
        <n v="34"/>
        <n v="53"/>
        <n v="48"/>
        <n v="55"/>
        <n v="59"/>
        <n v="50"/>
        <n v="54"/>
        <n v="60"/>
      </sharedItems>
    </cacheField>
    <cacheField name="AgeGroup" numFmtId="0">
      <sharedItems count="5">
        <s v="35-44"/>
        <s v="25-34"/>
        <s v="18-24"/>
        <s v="45-54"/>
        <s v="55+"/>
      </sharedItems>
    </cacheField>
    <cacheField name="Gender" numFmtId="49">
      <sharedItems count="3">
        <s v="Male"/>
        <s v="Female"/>
        <s v="Non-Binary"/>
      </sharedItems>
    </cacheField>
    <cacheField name="Location" numFmtId="49">
      <sharedItems count="10">
        <s v="Kolkata"/>
        <s v="Chennai"/>
        <s v="Mumbai"/>
        <s v="Jaipur"/>
        <s v="Ahmedabad"/>
        <s v="Delhi"/>
        <s v="Bangalore"/>
        <s v="Hyderabad"/>
        <s v="Pune"/>
        <s v="Lucknow"/>
      </sharedItems>
    </cacheField>
    <cacheField name="AccountAge_Months" numFmtId="0">
      <sharedItems containsSemiMixedTypes="0" containsString="0" containsNumber="1" containsInteger="1" minValue="1" maxValue="60" count="60">
        <n v="17"/>
        <n v="31"/>
        <n v="50"/>
        <n v="60"/>
        <n v="15"/>
        <n v="10"/>
        <n v="11"/>
        <n v="53"/>
        <n v="39"/>
        <n v="52"/>
        <n v="49"/>
        <n v="56"/>
        <n v="12"/>
        <n v="5"/>
        <n v="19"/>
        <n v="4"/>
        <n v="40"/>
        <n v="43"/>
        <n v="23"/>
        <n v="3"/>
        <n v="25"/>
        <n v="29"/>
        <n v="35"/>
        <n v="42"/>
        <n v="6"/>
        <n v="57"/>
        <n v="37"/>
        <n v="41"/>
        <n v="33"/>
        <n v="28"/>
        <n v="34"/>
        <n v="8"/>
        <n v="21"/>
        <n v="30"/>
        <n v="36"/>
        <n v="20"/>
        <n v="1"/>
        <n v="48"/>
        <n v="47"/>
        <n v="26"/>
        <n v="45"/>
        <n v="38"/>
        <n v="9"/>
        <n v="59"/>
        <n v="24"/>
        <n v="16"/>
        <n v="58"/>
        <n v="55"/>
        <n v="44"/>
        <n v="22"/>
        <n v="54"/>
        <n v="51"/>
        <n v="46"/>
        <n v="27"/>
        <n v="7"/>
        <n v="14"/>
        <n v="18"/>
        <n v="13"/>
        <n v="32"/>
        <n v="2"/>
      </sharedItems>
    </cacheField>
    <cacheField name="SignupDate" numFmtId="164">
      <sharedItems containsSemiMixedTypes="0" containsNonDate="0" containsDate="1" containsString="0" minDate="2019-01-03T00:00:00" maxDate="2023-12-03T00:00:00" count="757">
        <d v="2022-07-19T00:00:00"/>
        <d v="2021-05-27T00:00:00"/>
        <d v="2019-10-30T00:00:00"/>
        <d v="2019-01-23T00:00:00"/>
        <d v="2022-09-09T00:00:00"/>
        <d v="2023-02-13T00:00:00"/>
        <d v="2023-01-23T00:00:00"/>
        <d v="2019-08-11T00:00:00"/>
        <d v="2020-09-27T00:00:00"/>
        <d v="2019-09-08T00:00:00"/>
        <d v="2019-12-14T00:00:00"/>
        <d v="2019-05-24T00:00:00"/>
        <d v="2021-05-28T00:00:00"/>
        <d v="2022-12-27T00:00:00"/>
        <d v="2023-01-19T00:00:00"/>
        <d v="2023-07-15T00:00:00"/>
        <d v="2022-08-01T00:00:00"/>
        <d v="2022-06-09T00:00:00"/>
        <d v="2023-09-03T00:00:00"/>
        <d v="2020-08-27T00:00:00"/>
        <d v="2020-06-09T00:00:00"/>
        <d v="2022-06-04T00:00:00"/>
        <d v="2022-01-29T00:00:00"/>
        <d v="2023-09-15T00:00:00"/>
        <d v="2021-11-17T00:00:00"/>
        <d v="2021-07-24T00:00:00"/>
        <d v="2021-01-20T00:00:00"/>
        <d v="2023-02-04T00:00:00"/>
        <d v="2019-09-17T00:00:00"/>
        <d v="2020-06-26T00:00:00"/>
        <d v="2023-06-27T00:00:00"/>
        <d v="2019-04-02T00:00:00"/>
        <d v="2020-11-25T00:00:00"/>
        <d v="2020-08-07T00:00:00"/>
        <d v="2019-03-29T00:00:00"/>
        <d v="2021-04-07T00:00:00"/>
        <d v="2021-09-11T00:00:00"/>
        <d v="2023-07-14T00:00:00"/>
        <d v="2019-07-30T00:00:00"/>
        <d v="2021-02-23T00:00:00"/>
        <d v="2019-09-02T00:00:00"/>
        <d v="2022-01-24T00:00:00"/>
        <d v="2019-08-29T00:00:00"/>
        <d v="2023-05-06T00:00:00"/>
        <d v="2022-03-20T00:00:00"/>
        <d v="2020-07-02T00:00:00"/>
        <d v="2019-12-16T00:00:00"/>
        <d v="2023-08-02T00:00:00"/>
        <d v="2021-07-01T00:00:00"/>
        <d v="2021-01-04T00:00:00"/>
        <d v="2022-04-21T00:00:00"/>
        <d v="2021-11-22T00:00:00"/>
        <d v="2023-11-04T00:00:00"/>
        <d v="2022-07-21T00:00:00"/>
        <d v="2022-05-02T00:00:00"/>
        <d v="2020-09-17T00:00:00"/>
        <d v="2021-02-07T00:00:00"/>
        <d v="2020-01-14T00:00:00"/>
        <d v="2021-06-27T00:00:00"/>
        <d v="2020-02-05T00:00:00"/>
        <d v="2022-04-22T00:00:00"/>
        <d v="2019-07-28T00:00:00"/>
        <d v="2021-11-15T00:00:00"/>
        <d v="2019-05-26T00:00:00"/>
        <d v="2021-11-08T00:00:00"/>
        <d v="2020-04-12T00:00:00"/>
        <d v="2020-08-17T00:00:00"/>
        <d v="2020-11-12T00:00:00"/>
        <d v="2022-10-08T00:00:00"/>
        <d v="2023-03-08T00:00:00"/>
        <d v="2021-05-21T00:00:00"/>
        <d v="2023-07-05T00:00:00"/>
        <d v="2019-02-20T00:00:00"/>
        <d v="2023-07-18T00:00:00"/>
        <d v="2019-01-20T00:00:00"/>
        <d v="2019-01-16T00:00:00"/>
        <d v="2020-07-29T00:00:00"/>
        <d v="2023-04-19T00:00:00"/>
        <d v="2023-04-01T00:00:00"/>
        <d v="2020-09-09T00:00:00"/>
        <d v="2020-08-13T00:00:00"/>
        <d v="2022-08-06T00:00:00"/>
        <d v="2022-02-09T00:00:00"/>
        <d v="2020-06-21T00:00:00"/>
        <d v="2019-05-17T00:00:00"/>
        <d v="2020-02-11T00:00:00"/>
        <d v="2023-03-13T00:00:00"/>
        <d v="2022-01-02T00:00:00"/>
        <d v="2020-07-27T00:00:00"/>
        <d v="2022-08-10T00:00:00"/>
        <d v="2019-05-05T00:00:00"/>
        <d v="2019-03-20T00:00:00"/>
        <d v="2019-11-04T00:00:00"/>
        <d v="2020-09-11T00:00:00"/>
        <d v="2020-10-24T00:00:00"/>
        <d v="2023-03-04T00:00:00"/>
        <d v="2019-06-26T00:00:00"/>
        <d v="2022-05-22T00:00:00"/>
        <d v="2023-06-24T00:00:00"/>
        <d v="2023-04-14T00:00:00"/>
        <d v="2019-12-06T00:00:00"/>
        <d v="2023-07-21T00:00:00"/>
        <d v="2020-05-01T00:00:00"/>
        <d v="2019-03-06T00:00:00"/>
        <d v="2022-01-10T00:00:00"/>
        <d v="2021-03-18T00:00:00"/>
        <d v="2021-09-07T00:00:00"/>
        <d v="2019-05-11T00:00:00"/>
        <d v="2021-12-10T00:00:00"/>
        <d v="2023-08-20T00:00:00"/>
        <d v="2020-10-16T00:00:00"/>
        <d v="2022-02-18T00:00:00"/>
        <d v="2020-08-24T00:00:00"/>
        <d v="2019-01-10T00:00:00"/>
        <d v="2020-07-01T00:00:00"/>
        <d v="2019-09-24T00:00:00"/>
        <d v="2021-08-08T00:00:00"/>
        <d v="2022-02-13T00:00:00"/>
        <d v="2019-07-03T00:00:00"/>
        <d v="2023-03-03T00:00:00"/>
        <d v="2019-02-13T00:00:00"/>
        <d v="2022-03-24T00:00:00"/>
        <d v="2021-11-10T00:00:00"/>
        <d v="2019-01-09T00:00:00"/>
        <d v="2019-11-25T00:00:00"/>
        <d v="2019-09-27T00:00:00"/>
        <d v="2021-10-27T00:00:00"/>
        <d v="2023-09-28T00:00:00"/>
        <d v="2020-11-22T00:00:00"/>
        <d v="2020-03-20T00:00:00"/>
        <d v="2021-09-28T00:00:00"/>
        <d v="2019-11-10T00:00:00"/>
        <d v="2019-12-22T00:00:00"/>
        <d v="2019-08-26T00:00:00"/>
        <d v="2021-10-16T00:00:00"/>
        <d v="2020-11-17T00:00:00"/>
        <d v="2023-08-01T00:00:00"/>
        <d v="2023-04-27T00:00:00"/>
        <d v="2020-04-03T00:00:00"/>
        <d v="2023-09-06T00:00:00"/>
        <d v="2021-02-10T00:00:00"/>
        <d v="2021-12-04T00:00:00"/>
        <d v="2022-02-22T00:00:00"/>
        <d v="2023-05-26T00:00:00"/>
        <d v="2023-02-07T00:00:00"/>
        <d v="2021-10-15T00:00:00"/>
        <d v="2019-10-19T00:00:00"/>
        <d v="2021-06-18T00:00:00"/>
        <d v="2021-03-26T00:00:00"/>
        <d v="2020-04-16T00:00:00"/>
        <d v="2022-09-06T00:00:00"/>
        <d v="2021-12-19T00:00:00"/>
        <d v="2020-02-15T00:00:00"/>
        <d v="2022-10-24T00:00:00"/>
        <d v="2022-06-13T00:00:00"/>
        <d v="2020-02-25T00:00:00"/>
        <d v="2020-10-22T00:00:00"/>
        <d v="2020-01-30T00:00:00"/>
        <d v="2020-11-02T00:00:00"/>
        <d v="2022-04-02T00:00:00"/>
        <d v="2022-12-28T00:00:00"/>
        <d v="2023-02-28T00:00:00"/>
        <d v="2020-05-26T00:00:00"/>
        <d v="2019-10-28T00:00:00"/>
        <d v="2019-07-02T00:00:00"/>
        <d v="2020-04-10T00:00:00"/>
        <d v="2023-06-03T00:00:00"/>
        <d v="2020-05-25T00:00:00"/>
        <d v="2020-04-21T00:00:00"/>
        <d v="2021-02-22T00:00:00"/>
        <d v="2019-08-08T00:00:00"/>
        <d v="2020-11-26T00:00:00"/>
        <d v="2021-01-07T00:00:00"/>
        <d v="2021-02-19T00:00:00"/>
        <d v="2022-07-20T00:00:00"/>
        <d v="2021-10-30T00:00:00"/>
        <d v="2023-11-16T00:00:00"/>
        <d v="2023-11-19T00:00:00"/>
        <d v="2023-02-14T00:00:00"/>
        <d v="2021-06-25T00:00:00"/>
        <d v="2023-01-18T00:00:00"/>
        <d v="2023-09-11T00:00:00"/>
        <d v="2022-07-09T00:00:00"/>
        <d v="2022-06-20T00:00:00"/>
        <d v="2023-10-03T00:00:00"/>
        <d v="2023-07-31T00:00:00"/>
        <d v="2021-12-28T00:00:00"/>
        <d v="2023-05-11T00:00:00"/>
        <d v="2022-12-07T00:00:00"/>
        <d v="2023-08-03T00:00:00"/>
        <d v="2023-01-14T00:00:00"/>
        <d v="2023-03-17T00:00:00"/>
        <d v="2019-11-18T00:00:00"/>
        <d v="2023-01-03T00:00:00"/>
        <d v="2021-03-19T00:00:00"/>
        <d v="2022-08-03T00:00:00"/>
        <d v="2023-06-18T00:00:00"/>
        <d v="2021-04-24T00:00:00"/>
        <d v="2019-05-01T00:00:00"/>
        <d v="2022-06-22T00:00:00"/>
        <d v="2021-08-06T00:00:00"/>
        <d v="2019-05-03T00:00:00"/>
        <d v="2022-11-13T00:00:00"/>
        <d v="2020-09-24T00:00:00"/>
        <d v="2020-02-06T00:00:00"/>
        <d v="2023-08-23T00:00:00"/>
        <d v="2019-04-19T00:00:00"/>
        <d v="2022-06-16T00:00:00"/>
        <d v="2021-07-28T00:00:00"/>
        <d v="2019-03-07T00:00:00"/>
        <d v="2022-09-01T00:00:00"/>
        <d v="2021-03-09T00:00:00"/>
        <d v="2020-05-14T00:00:00"/>
        <d v="2022-08-26T00:00:00"/>
        <d v="2021-12-31T00:00:00"/>
        <d v="2021-10-25T00:00:00"/>
        <d v="2022-10-19T00:00:00"/>
        <d v="2019-03-28T00:00:00"/>
        <d v="2021-11-25T00:00:00"/>
        <d v="2019-05-08T00:00:00"/>
        <d v="2023-05-04T00:00:00"/>
        <d v="2023-04-15T00:00:00"/>
        <d v="2023-05-21T00:00:00"/>
        <d v="2019-01-17T00:00:00"/>
        <d v="2021-05-31T00:00:00"/>
        <d v="2022-10-05T00:00:00"/>
        <d v="2023-11-28T00:00:00"/>
        <d v="2020-03-24T00:00:00"/>
        <d v="2020-07-17T00:00:00"/>
        <d v="2021-02-04T00:00:00"/>
        <d v="2020-12-27T00:00:00"/>
        <d v="2019-05-10T00:00:00"/>
        <d v="2021-09-30T00:00:00"/>
        <d v="2020-11-01T00:00:00"/>
        <d v="2022-01-23T00:00:00"/>
        <d v="2023-09-12T00:00:00"/>
        <d v="2022-02-14T00:00:00"/>
        <d v="2019-04-10T00:00:00"/>
        <d v="2021-08-20T00:00:00"/>
        <d v="2019-07-05T00:00:00"/>
        <d v="2022-04-01T00:00:00"/>
        <d v="2020-04-19T00:00:00"/>
        <d v="2023-07-06T00:00:00"/>
        <d v="2020-03-22T00:00:00"/>
        <d v="2020-02-10T00:00:00"/>
        <d v="2021-11-13T00:00:00"/>
        <d v="2019-09-04T00:00:00"/>
        <d v="2020-11-13T00:00:00"/>
        <d v="2021-03-21T00:00:00"/>
        <d v="2021-01-08T00:00:00"/>
        <d v="2020-07-20T00:00:00"/>
        <d v="2022-10-14T00:00:00"/>
        <d v="2020-07-15T00:00:00"/>
        <d v="2021-01-02T00:00:00"/>
        <d v="2019-09-23T00:00:00"/>
        <d v="2021-04-11T00:00:00"/>
        <d v="2020-04-30T00:00:00"/>
        <d v="2019-05-07T00:00:00"/>
        <d v="2019-01-03T00:00:00"/>
        <d v="2023-06-30T00:00:00"/>
        <d v="2022-02-25T00:00:00"/>
        <d v="2020-11-20T00:00:00"/>
        <d v="2020-09-18T00:00:00"/>
        <d v="2021-02-12T00:00:00"/>
        <d v="2021-05-25T00:00:00"/>
        <d v="2021-12-05T00:00:00"/>
        <d v="2019-02-28T00:00:00"/>
        <d v="2021-08-07T00:00:00"/>
        <d v="2020-12-24T00:00:00"/>
        <d v="2019-02-04T00:00:00"/>
        <d v="2021-04-16T00:00:00"/>
        <d v="2021-09-15T00:00:00"/>
        <d v="2019-05-21T00:00:00"/>
        <d v="2022-11-17T00:00:00"/>
        <d v="2022-01-25T00:00:00"/>
        <d v="2021-10-05T00:00:00"/>
        <d v="2019-09-29T00:00:00"/>
        <d v="2021-03-14T00:00:00"/>
        <d v="2021-05-26T00:00:00"/>
        <d v="2019-04-30T00:00:00"/>
        <d v="2020-03-30T00:00:00"/>
        <d v="2023-06-26T00:00:00"/>
        <d v="2021-11-29T00:00:00"/>
        <d v="2019-03-08T00:00:00"/>
        <d v="2023-12-02T00:00:00"/>
        <d v="2021-01-19T00:00:00"/>
        <d v="2019-10-21T00:00:00"/>
        <d v="2019-08-07T00:00:00"/>
        <d v="2023-06-16T00:00:00"/>
        <d v="2020-06-19T00:00:00"/>
        <d v="2022-12-21T00:00:00"/>
        <d v="2023-07-19T00:00:00"/>
        <d v="2020-12-09T00:00:00"/>
        <d v="2020-05-31T00:00:00"/>
        <d v="2020-12-31T00:00:00"/>
        <d v="2020-01-22T00:00:00"/>
        <d v="2022-11-02T00:00:00"/>
        <d v="2020-01-24T00:00:00"/>
        <d v="2022-03-19T00:00:00"/>
        <d v="2023-04-13T00:00:00"/>
        <d v="2023-01-04T00:00:00"/>
        <d v="2021-02-16T00:00:00"/>
        <d v="2023-08-24T00:00:00"/>
        <d v="2020-06-29T00:00:00"/>
        <d v="2023-03-02T00:00:00"/>
        <d v="2022-08-13T00:00:00"/>
        <d v="2022-10-31T00:00:00"/>
        <d v="2019-10-04T00:00:00"/>
        <d v="2022-01-07T00:00:00"/>
        <d v="2019-04-09T00:00:00"/>
        <d v="2019-10-24T00:00:00"/>
        <d v="2020-02-27T00:00:00"/>
        <d v="2022-12-17T00:00:00"/>
        <d v="2020-05-22T00:00:00"/>
        <d v="2020-01-31T00:00:00"/>
        <d v="2023-07-22T00:00:00"/>
        <d v="2020-12-06T00:00:00"/>
        <d v="2020-07-25T00:00:00"/>
        <d v="2020-03-19T00:00:00"/>
        <d v="2022-08-08T00:00:00"/>
        <d v="2021-07-14T00:00:00"/>
        <d v="2023-09-25T00:00:00"/>
        <d v="2023-06-04T00:00:00"/>
        <d v="2020-09-13T00:00:00"/>
        <d v="2020-03-28T00:00:00"/>
        <d v="2022-12-10T00:00:00"/>
        <d v="2019-03-23T00:00:00"/>
        <d v="2021-04-26T00:00:00"/>
        <d v="2021-10-11T00:00:00"/>
        <d v="2020-04-01T00:00:00"/>
        <d v="2023-06-09T00:00:00"/>
        <d v="2019-08-10T00:00:00"/>
        <d v="2022-10-18T00:00:00"/>
        <d v="2023-10-25T00:00:00"/>
        <d v="2020-11-21T00:00:00"/>
        <d v="2023-06-21T00:00:00"/>
        <d v="2023-09-18T00:00:00"/>
        <d v="2020-11-10T00:00:00"/>
        <d v="2023-09-10T00:00:00"/>
        <d v="2020-01-15T00:00:00"/>
        <d v="2021-12-20T00:00:00"/>
        <d v="2019-06-15T00:00:00"/>
        <d v="2023-05-03T00:00:00"/>
        <d v="2022-08-23T00:00:00"/>
        <d v="2021-05-09T00:00:00"/>
        <d v="2020-07-14T00:00:00"/>
        <d v="2022-05-10T00:00:00"/>
        <d v="2019-10-22T00:00:00"/>
        <d v="2022-04-06T00:00:00"/>
        <d v="2020-05-28T00:00:00"/>
        <d v="2020-06-10T00:00:00"/>
        <d v="2019-12-11T00:00:00"/>
        <d v="2022-05-14T00:00:00"/>
        <d v="2022-11-12T00:00:00"/>
        <d v="2021-08-01T00:00:00"/>
        <d v="2023-02-02T00:00:00"/>
        <d v="2019-08-12T00:00:00"/>
        <d v="2019-06-09T00:00:00"/>
        <d v="2020-08-25T00:00:00"/>
        <d v="2020-03-07T00:00:00"/>
        <d v="2022-04-20T00:00:00"/>
        <d v="2019-09-06T00:00:00"/>
        <d v="2023-10-05T00:00:00"/>
        <d v="2019-10-23T00:00:00"/>
        <d v="2020-12-13T00:00:00"/>
        <d v="2020-12-03T00:00:00"/>
        <d v="2020-01-20T00:00:00"/>
        <d v="2020-07-18T00:00:00"/>
        <d v="2021-02-01T00:00:00"/>
        <d v="2021-11-12T00:00:00"/>
        <d v="2019-08-24T00:00:00"/>
        <d v="2022-11-11T00:00:00"/>
        <d v="2023-05-08T00:00:00"/>
        <d v="2021-12-03T00:00:00"/>
        <d v="2019-04-07T00:00:00"/>
        <d v="2022-04-10T00:00:00"/>
        <d v="2023-09-26T00:00:00"/>
        <d v="2021-04-14T00:00:00"/>
        <d v="2021-12-18T00:00:00"/>
        <d v="2019-01-18T00:00:00"/>
        <d v="2020-09-20T00:00:00"/>
        <d v="2019-03-17T00:00:00"/>
        <d v="2021-04-03T00:00:00"/>
        <d v="2022-11-28T00:00:00"/>
        <d v="2019-11-05T00:00:00"/>
        <d v="2019-04-21T00:00:00"/>
        <d v="2022-10-15T00:00:00"/>
        <d v="2021-08-21T00:00:00"/>
        <d v="2022-07-05T00:00:00"/>
        <d v="2022-05-19T00:00:00"/>
        <d v="2019-05-14T00:00:00"/>
        <d v="2021-06-17T00:00:00"/>
        <d v="2023-11-26T00:00:00"/>
        <d v="2022-06-17T00:00:00"/>
        <d v="2019-11-22T00:00:00"/>
        <d v="2022-08-09T00:00:00"/>
        <d v="2020-10-13T00:00:00"/>
        <d v="2019-01-12T00:00:00"/>
        <d v="2020-10-20T00:00:00"/>
        <d v="2019-03-24T00:00:00"/>
        <d v="2019-04-03T00:00:00"/>
        <d v="2021-04-27T00:00:00"/>
        <d v="2019-03-15T00:00:00"/>
        <d v="2019-05-23T00:00:00"/>
        <d v="2020-03-29T00:00:00"/>
        <d v="2023-03-01T00:00:00"/>
        <d v="2019-08-09T00:00:00"/>
        <d v="2022-08-15T00:00:00"/>
        <d v="2019-06-16T00:00:00"/>
        <d v="2022-03-21T00:00:00"/>
        <d v="2022-01-05T00:00:00"/>
        <d v="2023-04-30T00:00:00"/>
        <d v="2021-11-24T00:00:00"/>
        <d v="2020-05-18T00:00:00"/>
        <d v="2021-06-02T00:00:00"/>
        <d v="2021-01-01T00:00:00"/>
        <d v="2020-09-30T00:00:00"/>
        <d v="2021-05-16T00:00:00"/>
        <d v="2019-01-30T00:00:00"/>
        <d v="2022-03-18T00:00:00"/>
        <d v="2023-07-17T00:00:00"/>
        <d v="2022-11-29T00:00:00"/>
        <d v="2023-10-14T00:00:00"/>
        <d v="2022-11-26T00:00:00"/>
        <d v="2019-05-13T00:00:00"/>
        <d v="2020-07-04T00:00:00"/>
        <d v="2020-02-08T00:00:00"/>
        <d v="2020-12-26T00:00:00"/>
        <d v="2021-06-30T00:00:00"/>
        <d v="2019-06-14T00:00:00"/>
        <d v="2020-09-03T00:00:00"/>
        <d v="2020-04-08T00:00:00"/>
        <d v="2021-06-05T00:00:00"/>
        <d v="2022-04-15T00:00:00"/>
        <d v="2022-11-10T00:00:00"/>
        <d v="2020-05-03T00:00:00"/>
        <d v="2022-07-17T00:00:00"/>
        <d v="2020-12-18T00:00:00"/>
        <d v="2019-06-27T00:00:00"/>
        <d v="2020-08-29T00:00:00"/>
        <d v="2022-06-29T00:00:00"/>
        <d v="2023-11-15T00:00:00"/>
        <d v="2019-11-12T00:00:00"/>
        <d v="2022-03-29T00:00:00"/>
        <d v="2021-09-23T00:00:00"/>
        <d v="2023-07-13T00:00:00"/>
        <d v="2021-03-28T00:00:00"/>
        <d v="2022-05-17T00:00:00"/>
        <d v="2021-12-22T00:00:00"/>
        <d v="2019-01-15T00:00:00"/>
        <d v="2021-02-02T00:00:00"/>
        <d v="2022-12-05T00:00:00"/>
        <d v="2019-03-25T00:00:00"/>
        <d v="2021-07-22T00:00:00"/>
        <d v="2020-06-01T00:00:00"/>
        <d v="2020-05-19T00:00:00"/>
        <d v="2020-04-14T00:00:00"/>
        <d v="2021-06-10T00:00:00"/>
        <d v="2021-07-13T00:00:00"/>
        <d v="2021-09-08T00:00:00"/>
        <d v="2020-11-27T00:00:00"/>
        <d v="2019-02-02T00:00:00"/>
        <d v="2023-09-23T00:00:00"/>
        <d v="2020-04-22T00:00:00"/>
        <d v="2019-05-06T00:00:00"/>
        <d v="2021-05-24T00:00:00"/>
        <d v="2021-10-20T00:00:00"/>
        <d v="2020-12-28T00:00:00"/>
        <d v="2020-03-10T00:00:00"/>
        <d v="2019-12-31T00:00:00"/>
        <d v="2021-03-15T00:00:00"/>
        <d v="2019-07-09T00:00:00"/>
        <d v="2023-05-31T00:00:00"/>
        <d v="2023-04-10T00:00:00"/>
        <d v="2020-12-01T00:00:00"/>
        <d v="2023-02-09T00:00:00"/>
        <d v="2022-05-03T00:00:00"/>
        <d v="2023-08-09T00:00:00"/>
        <d v="2022-03-23T00:00:00"/>
        <d v="2020-04-28T00:00:00"/>
        <d v="2022-02-04T00:00:00"/>
        <d v="2019-09-11T00:00:00"/>
        <d v="2023-06-12T00:00:00"/>
        <d v="2020-09-07T00:00:00"/>
        <d v="2020-11-30T00:00:00"/>
        <d v="2022-07-14T00:00:00"/>
        <d v="2021-10-18T00:00:00"/>
        <d v="2022-12-18T00:00:00"/>
        <d v="2020-03-26T00:00:00"/>
        <d v="2022-12-29T00:00:00"/>
        <d v="2020-01-03T00:00:00"/>
        <d v="2020-02-01T00:00:00"/>
        <d v="2021-10-29T00:00:00"/>
        <d v="2020-04-25T00:00:00"/>
        <d v="2021-12-06T00:00:00"/>
        <d v="2021-07-08T00:00:00"/>
        <d v="2021-02-08T00:00:00"/>
        <d v="2022-04-19T00:00:00"/>
        <d v="2019-12-28T00:00:00"/>
        <d v="2019-01-27T00:00:00"/>
        <d v="2023-04-18T00:00:00"/>
        <d v="2023-03-10T00:00:00"/>
        <d v="2020-12-05T00:00:00"/>
        <d v="2021-05-14T00:00:00"/>
        <d v="2023-03-05T00:00:00"/>
        <d v="2019-11-15T00:00:00"/>
        <d v="2023-04-29T00:00:00"/>
        <d v="2021-10-07T00:00:00"/>
        <d v="2021-02-28T00:00:00"/>
        <d v="2022-01-16T00:00:00"/>
        <d v="2019-07-01T00:00:00"/>
        <d v="2023-03-16T00:00:00"/>
        <d v="2020-12-04T00:00:00"/>
        <d v="2023-04-21T00:00:00"/>
        <d v="2019-04-05T00:00:00"/>
        <d v="2020-04-26T00:00:00"/>
        <d v="2023-01-15T00:00:00"/>
        <d v="2021-03-30T00:00:00"/>
        <d v="2023-08-31T00:00:00"/>
        <d v="2022-09-17T00:00:00"/>
        <d v="2019-12-04T00:00:00"/>
        <d v="2021-02-14T00:00:00"/>
        <d v="2023-06-15T00:00:00"/>
        <d v="2021-09-06T00:00:00"/>
        <d v="2022-10-20T00:00:00"/>
        <d v="2023-09-29T00:00:00"/>
        <d v="2022-05-21T00:00:00"/>
        <d v="2022-10-22T00:00:00"/>
        <d v="2020-06-18T00:00:00"/>
        <d v="2022-06-12T00:00:00"/>
        <d v="2020-05-13T00:00:00"/>
        <d v="2023-05-12T00:00:00"/>
        <d v="2021-08-09T00:00:00"/>
        <d v="2020-05-08T00:00:00"/>
        <d v="2021-05-17T00:00:00"/>
        <d v="2019-01-22T00:00:00"/>
        <d v="2023-04-06T00:00:00"/>
        <d v="2022-09-14T00:00:00"/>
        <d v="2021-09-04T00:00:00"/>
        <d v="2019-04-14T00:00:00"/>
        <d v="2023-10-20T00:00:00"/>
        <d v="2023-05-22T00:00:00"/>
        <d v="2019-03-12T00:00:00"/>
        <d v="2023-11-22T00:00:00"/>
        <d v="2023-03-19T00:00:00"/>
        <d v="2022-08-27T00:00:00"/>
        <d v="2021-10-04T00:00:00"/>
        <d v="2022-07-28T00:00:00"/>
        <d v="2021-06-12T00:00:00"/>
        <d v="2021-02-21T00:00:00"/>
        <d v="2022-12-19T00:00:00"/>
        <d v="2020-08-03T00:00:00"/>
        <d v="2021-03-16T00:00:00"/>
        <d v="2019-09-30T00:00:00"/>
        <d v="2021-07-31T00:00:00"/>
        <d v="2021-04-21T00:00:00"/>
        <d v="2019-05-30T00:00:00"/>
        <d v="2023-02-22T00:00:00"/>
        <d v="2019-09-07T00:00:00"/>
        <d v="2020-02-20T00:00:00"/>
        <d v="2019-05-28T00:00:00"/>
        <d v="2022-03-28T00:00:00"/>
        <d v="2022-05-11T00:00:00"/>
        <d v="2020-08-14T00:00:00"/>
        <d v="2023-05-01T00:00:00"/>
        <d v="2019-07-14T00:00:00"/>
        <d v="2023-07-02T00:00:00"/>
        <d v="2021-12-24T00:00:00"/>
        <d v="2020-09-25T00:00:00"/>
        <d v="2020-07-09T00:00:00"/>
        <d v="2022-04-12T00:00:00"/>
        <d v="2019-10-05T00:00:00"/>
        <d v="2019-04-13T00:00:00"/>
        <d v="2019-08-23T00:00:00"/>
        <d v="2023-03-07T00:00:00"/>
        <d v="2023-11-07T00:00:00"/>
        <d v="2020-09-02T00:00:00"/>
        <d v="2023-02-12T00:00:00"/>
        <d v="2022-09-25T00:00:00"/>
        <d v="2022-08-30T00:00:00"/>
        <d v="2022-04-11T00:00:00"/>
        <d v="2021-11-21T00:00:00"/>
        <d v="2019-10-03T00:00:00"/>
        <d v="2023-04-03T00:00:00"/>
        <d v="2019-12-30T00:00:00"/>
        <d v="2019-11-14T00:00:00"/>
        <d v="2023-09-08T00:00:00"/>
        <d v="2021-02-25T00:00:00"/>
        <d v="2023-10-04T00:00:00"/>
        <d v="2019-11-02T00:00:00"/>
        <d v="2023-10-23T00:00:00"/>
        <d v="2022-04-17T00:00:00"/>
        <d v="2022-03-25T00:00:00"/>
        <d v="2023-10-22T00:00:00"/>
        <d v="2022-10-13T00:00:00"/>
        <d v="2019-11-03T00:00:00"/>
        <d v="2022-03-05T00:00:00"/>
        <d v="2021-05-02T00:00:00"/>
        <d v="2023-09-14T00:00:00"/>
        <d v="2022-02-10T00:00:00"/>
        <d v="2022-12-31T00:00:00"/>
        <d v="2019-08-15T00:00:00"/>
        <d v="2020-09-10T00:00:00"/>
        <d v="2022-02-08T00:00:00"/>
        <d v="2022-03-04T00:00:00"/>
        <d v="2023-09-04T00:00:00"/>
        <d v="2022-05-13T00:00:00"/>
        <d v="2021-08-02T00:00:00"/>
        <d v="2023-02-18T00:00:00"/>
        <d v="2019-04-08T00:00:00"/>
        <d v="2021-05-12T00:00:00"/>
        <d v="2023-04-26T00:00:00"/>
        <d v="2023-03-11T00:00:00"/>
        <d v="2019-02-10T00:00:00"/>
        <d v="2023-02-23T00:00:00"/>
        <d v="2023-01-02T00:00:00"/>
        <d v="2023-11-09T00:00:00"/>
        <d v="2019-03-10T00:00:00"/>
        <d v="2020-07-12T00:00:00"/>
        <d v="2023-10-26T00:00:00"/>
        <d v="2019-04-23T00:00:00"/>
        <d v="2019-09-16T00:00:00"/>
        <d v="2021-09-20T00:00:00"/>
        <d v="2021-10-08T00:00:00"/>
        <d v="2020-05-30T00:00:00"/>
        <d v="2021-04-09T00:00:00"/>
        <d v="2019-11-27T00:00:00"/>
        <d v="2020-05-23T00:00:00"/>
        <d v="2022-09-28T00:00:00"/>
        <d v="2023-02-05T00:00:00"/>
        <d v="2022-08-22T00:00:00"/>
        <d v="2022-06-26T00:00:00"/>
        <d v="2020-08-12T00:00:00"/>
        <d v="2022-11-01T00:00:00"/>
        <d v="2019-07-07T00:00:00"/>
        <d v="2021-11-03T00:00:00"/>
        <d v="2021-05-11T00:00:00"/>
        <d v="2021-02-05T00:00:00"/>
        <d v="2019-01-14T00:00:00"/>
        <d v="2019-06-28T00:00:00"/>
        <d v="2022-01-31T00:00:00"/>
        <d v="2023-10-11T00:00:00"/>
        <d v="2023-03-28T00:00:00"/>
        <d v="2023-10-30T00:00:00"/>
        <d v="2019-01-04T00:00:00"/>
        <d v="2022-12-20T00:00:00"/>
        <d v="2022-11-24T00:00:00"/>
        <d v="2021-05-18T00:00:00"/>
        <d v="2019-08-22T00:00:00"/>
        <d v="2021-06-22T00:00:00"/>
        <d v="2020-12-21T00:00:00"/>
        <d v="2019-11-16T00:00:00"/>
        <d v="2021-09-22T00:00:00"/>
        <d v="2021-06-07T00:00:00"/>
        <d v="2019-09-10T00:00:00"/>
        <d v="2019-03-13T00:00:00"/>
        <d v="2019-07-17T00:00:00"/>
        <d v="2022-09-16T00:00:00"/>
        <d v="2022-02-06T00:00:00"/>
        <d v="2022-01-18T00:00:00"/>
        <d v="2019-01-05T00:00:00"/>
        <d v="2020-08-30T00:00:00"/>
        <d v="2020-01-13T00:00:00"/>
        <d v="2019-11-24T00:00:00"/>
        <d v="2021-03-31T00:00:00"/>
        <d v="2020-03-17T00:00:00"/>
        <d v="2023-08-16T00:00:00"/>
        <d v="2019-11-01T00:00:00"/>
        <d v="2022-07-04T00:00:00"/>
        <d v="2020-06-06T00:00:00"/>
        <d v="2019-12-25T00:00:00"/>
        <d v="2022-02-12T00:00:00"/>
        <d v="2020-11-16T00:00:00"/>
        <d v="2021-01-25T00:00:00"/>
        <d v="2022-10-07T00:00:00"/>
        <d v="2020-06-07T00:00:00"/>
        <d v="2023-06-08T00:00:00"/>
        <d v="2022-12-08T00:00:00"/>
        <d v="2019-03-11T00:00:00"/>
        <d v="2023-02-10T00:00:00"/>
        <d v="2023-03-21T00:00:00"/>
        <d v="2022-03-27T00:00:00"/>
        <d v="2020-02-17T00:00:00"/>
        <d v="2021-11-19T00:00:00"/>
        <d v="2020-10-27T00:00:00"/>
        <d v="2020-08-19T00:00:00"/>
        <d v="2023-01-30T00:00:00"/>
        <d v="2019-09-19T00:00:00"/>
        <d v="2020-01-05T00:00:00"/>
        <d v="2019-11-13T00:00:00"/>
        <d v="2020-07-11T00:00:00"/>
        <d v="2019-12-24T00:00:00"/>
        <d v="2020-12-11T00:00:00"/>
        <d v="2023-11-08T00:00:00"/>
        <d v="2021-05-20T00:00:00"/>
        <d v="2022-11-21T00:00:00"/>
        <d v="2019-02-22T00:00:00"/>
        <d v="2022-03-12T00:00:00"/>
        <d v="2023-10-27T00:00:00"/>
        <d v="2022-02-11T00:00:00"/>
        <d v="2021-04-29T00:00:00"/>
        <d v="2022-02-15T00:00:00"/>
        <d v="2021-02-18T00:00:00"/>
        <d v="2023-07-28T00:00:00"/>
        <d v="2021-02-27T00:00:00"/>
        <d v="2022-09-23T00:00:00"/>
        <d v="2023-04-02T00:00:00"/>
        <d v="2019-10-18T00:00:00"/>
        <d v="2021-07-19T00:00:00"/>
        <d v="2021-04-01T00:00:00"/>
        <d v="2023-10-02T00:00:00"/>
        <d v="2022-04-25T00:00:00"/>
        <d v="2021-04-19T00:00:00"/>
        <d v="2019-06-21T00:00:00"/>
        <d v="2021-05-15T00:00:00"/>
        <d v="2020-03-11T00:00:00"/>
        <d v="2021-03-29T00:00:00"/>
        <d v="2020-08-20T00:00:00"/>
        <d v="2019-02-08T00:00:00"/>
        <d v="2019-04-12T00:00:00"/>
        <d v="2019-08-03T00:00:00"/>
        <d v="2020-01-09T00:00:00"/>
        <d v="2019-01-06T00:00:00"/>
        <d v="2019-05-12T00:00:00"/>
        <d v="2022-10-09T00:00:00"/>
        <d v="2019-05-20T00:00:00"/>
        <d v="2019-06-29T00:00:00"/>
        <d v="2022-09-12T00:00:00"/>
        <d v="2021-09-27T00:00:00"/>
        <d v="2022-06-28T00:00:00"/>
        <d v="2020-10-25T00:00:00"/>
        <d v="2023-02-27T00:00:00"/>
        <d v="2019-09-15T00:00:00"/>
        <d v="2021-10-28T00:00:00"/>
        <d v="2022-08-24T00:00:00"/>
        <d v="2022-04-28T00:00:00"/>
        <d v="2019-04-18T00:00:00"/>
        <d v="2022-10-30T00:00:00"/>
        <d v="2022-09-10T00:00:00"/>
        <d v="2020-11-05T00:00:00"/>
        <d v="2023-05-15T00:00:00"/>
        <d v="2021-08-23T00:00:00"/>
        <d v="2020-06-30T00:00:00"/>
        <d v="2023-08-19T00:00:00"/>
        <d v="2023-06-17T00:00:00"/>
        <d v="2021-01-24T00:00:00"/>
        <d v="2020-08-16T00:00:00"/>
        <d v="2019-10-31T00:00:00"/>
        <d v="2022-07-07T00:00:00"/>
        <d v="2019-12-07T00:00:00"/>
        <d v="2020-12-15T00:00:00"/>
        <d v="2021-04-05T00:00:00"/>
        <d v="2022-06-30T00:00:00"/>
        <d v="2020-02-26T00:00:00"/>
        <d v="2019-02-19T00:00:00"/>
        <d v="2020-03-04T00:00:00"/>
        <d v="2022-09-24T00:00:00"/>
      </sharedItems>
    </cacheField>
    <cacheField name="PreferredLanguage" numFmtId="49">
      <sharedItems count="9">
        <s v="Telugu"/>
        <s v="Bengali"/>
        <s v="Malayalam"/>
        <s v="English"/>
        <s v="Marathi"/>
        <s v="Tamil"/>
        <s v="Hindi"/>
        <s v="Kannada"/>
        <s v="Gujarati"/>
      </sharedItems>
    </cacheField>
    <cacheField name="SubscriptionType" numFmtId="49">
      <sharedItems count="4">
        <s v="Basic"/>
        <s v="Premium"/>
        <s v="Standard"/>
        <s v="Family"/>
      </sharedItems>
    </cacheField>
  </cacheFields>
  <extLst>
    <ext xmlns:x14="http://schemas.microsoft.com/office/spreadsheetml/2009/9/main" uri="{725AE2AE-9491-48be-B2B4-4EB974FC3084}">
      <x14:pivotCacheDefinition pivotCacheId="1994776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r>
  <r>
    <x v="1"/>
    <x v="0"/>
    <x v="1"/>
    <x v="1"/>
    <x v="1"/>
    <x v="1"/>
    <x v="1"/>
    <x v="1"/>
    <x v="1"/>
    <x v="1"/>
  </r>
  <r>
    <x v="2"/>
    <x v="1"/>
    <x v="2"/>
    <x v="1"/>
    <x v="0"/>
    <x v="2"/>
    <x v="2"/>
    <x v="2"/>
    <x v="2"/>
    <x v="2"/>
  </r>
  <r>
    <x v="3"/>
    <x v="1"/>
    <x v="1"/>
    <x v="1"/>
    <x v="0"/>
    <x v="1"/>
    <x v="3"/>
    <x v="3"/>
    <x v="3"/>
    <x v="2"/>
  </r>
  <r>
    <x v="4"/>
    <x v="2"/>
    <x v="3"/>
    <x v="2"/>
    <x v="0"/>
    <x v="3"/>
    <x v="4"/>
    <x v="4"/>
    <x v="4"/>
    <x v="1"/>
  </r>
  <r>
    <x v="5"/>
    <x v="2"/>
    <x v="4"/>
    <x v="1"/>
    <x v="0"/>
    <x v="4"/>
    <x v="5"/>
    <x v="5"/>
    <x v="1"/>
    <x v="0"/>
  </r>
  <r>
    <x v="6"/>
    <x v="2"/>
    <x v="5"/>
    <x v="1"/>
    <x v="0"/>
    <x v="5"/>
    <x v="6"/>
    <x v="6"/>
    <x v="5"/>
    <x v="1"/>
  </r>
  <r>
    <x v="7"/>
    <x v="0"/>
    <x v="6"/>
    <x v="2"/>
    <x v="1"/>
    <x v="0"/>
    <x v="7"/>
    <x v="7"/>
    <x v="4"/>
    <x v="0"/>
  </r>
  <r>
    <x v="8"/>
    <x v="3"/>
    <x v="2"/>
    <x v="1"/>
    <x v="1"/>
    <x v="1"/>
    <x v="6"/>
    <x v="6"/>
    <x v="4"/>
    <x v="1"/>
  </r>
  <r>
    <x v="9"/>
    <x v="3"/>
    <x v="0"/>
    <x v="0"/>
    <x v="0"/>
    <x v="1"/>
    <x v="8"/>
    <x v="8"/>
    <x v="3"/>
    <x v="0"/>
  </r>
  <r>
    <x v="10"/>
    <x v="0"/>
    <x v="7"/>
    <x v="2"/>
    <x v="1"/>
    <x v="3"/>
    <x v="9"/>
    <x v="9"/>
    <x v="0"/>
    <x v="1"/>
  </r>
  <r>
    <x v="11"/>
    <x v="2"/>
    <x v="8"/>
    <x v="3"/>
    <x v="0"/>
    <x v="5"/>
    <x v="10"/>
    <x v="10"/>
    <x v="6"/>
    <x v="0"/>
  </r>
  <r>
    <x v="12"/>
    <x v="0"/>
    <x v="1"/>
    <x v="1"/>
    <x v="0"/>
    <x v="4"/>
    <x v="11"/>
    <x v="11"/>
    <x v="7"/>
    <x v="0"/>
  </r>
  <r>
    <x v="13"/>
    <x v="2"/>
    <x v="9"/>
    <x v="0"/>
    <x v="0"/>
    <x v="3"/>
    <x v="1"/>
    <x v="12"/>
    <x v="5"/>
    <x v="2"/>
  </r>
  <r>
    <x v="14"/>
    <x v="2"/>
    <x v="2"/>
    <x v="1"/>
    <x v="0"/>
    <x v="1"/>
    <x v="12"/>
    <x v="13"/>
    <x v="7"/>
    <x v="2"/>
  </r>
  <r>
    <x v="15"/>
    <x v="0"/>
    <x v="6"/>
    <x v="2"/>
    <x v="1"/>
    <x v="4"/>
    <x v="6"/>
    <x v="14"/>
    <x v="0"/>
    <x v="0"/>
  </r>
  <r>
    <x v="16"/>
    <x v="2"/>
    <x v="8"/>
    <x v="3"/>
    <x v="1"/>
    <x v="6"/>
    <x v="13"/>
    <x v="15"/>
    <x v="3"/>
    <x v="1"/>
  </r>
  <r>
    <x v="17"/>
    <x v="1"/>
    <x v="10"/>
    <x v="2"/>
    <x v="0"/>
    <x v="7"/>
    <x v="0"/>
    <x v="16"/>
    <x v="1"/>
    <x v="2"/>
  </r>
  <r>
    <x v="18"/>
    <x v="1"/>
    <x v="5"/>
    <x v="1"/>
    <x v="0"/>
    <x v="7"/>
    <x v="13"/>
    <x v="15"/>
    <x v="0"/>
    <x v="2"/>
  </r>
  <r>
    <x v="19"/>
    <x v="0"/>
    <x v="0"/>
    <x v="0"/>
    <x v="1"/>
    <x v="6"/>
    <x v="14"/>
    <x v="17"/>
    <x v="3"/>
    <x v="1"/>
  </r>
  <r>
    <x v="20"/>
    <x v="2"/>
    <x v="11"/>
    <x v="1"/>
    <x v="1"/>
    <x v="0"/>
    <x v="15"/>
    <x v="18"/>
    <x v="6"/>
    <x v="2"/>
  </r>
  <r>
    <x v="21"/>
    <x v="4"/>
    <x v="12"/>
    <x v="1"/>
    <x v="1"/>
    <x v="7"/>
    <x v="16"/>
    <x v="19"/>
    <x v="8"/>
    <x v="0"/>
  </r>
  <r>
    <x v="22"/>
    <x v="3"/>
    <x v="13"/>
    <x v="0"/>
    <x v="1"/>
    <x v="8"/>
    <x v="17"/>
    <x v="20"/>
    <x v="5"/>
    <x v="3"/>
  </r>
  <r>
    <x v="23"/>
    <x v="3"/>
    <x v="14"/>
    <x v="0"/>
    <x v="1"/>
    <x v="1"/>
    <x v="14"/>
    <x v="21"/>
    <x v="5"/>
    <x v="1"/>
  </r>
  <r>
    <x v="24"/>
    <x v="2"/>
    <x v="1"/>
    <x v="1"/>
    <x v="1"/>
    <x v="8"/>
    <x v="18"/>
    <x v="22"/>
    <x v="1"/>
    <x v="1"/>
  </r>
  <r>
    <x v="25"/>
    <x v="2"/>
    <x v="15"/>
    <x v="1"/>
    <x v="1"/>
    <x v="0"/>
    <x v="19"/>
    <x v="23"/>
    <x v="3"/>
    <x v="2"/>
  </r>
  <r>
    <x v="26"/>
    <x v="1"/>
    <x v="16"/>
    <x v="3"/>
    <x v="1"/>
    <x v="1"/>
    <x v="20"/>
    <x v="24"/>
    <x v="7"/>
    <x v="0"/>
  </r>
  <r>
    <x v="27"/>
    <x v="0"/>
    <x v="1"/>
    <x v="1"/>
    <x v="1"/>
    <x v="1"/>
    <x v="21"/>
    <x v="25"/>
    <x v="7"/>
    <x v="1"/>
  </r>
  <r>
    <x v="28"/>
    <x v="1"/>
    <x v="4"/>
    <x v="1"/>
    <x v="0"/>
    <x v="1"/>
    <x v="22"/>
    <x v="26"/>
    <x v="2"/>
    <x v="1"/>
  </r>
  <r>
    <x v="29"/>
    <x v="0"/>
    <x v="4"/>
    <x v="1"/>
    <x v="0"/>
    <x v="1"/>
    <x v="6"/>
    <x v="27"/>
    <x v="6"/>
    <x v="0"/>
  </r>
  <r>
    <x v="30"/>
    <x v="2"/>
    <x v="14"/>
    <x v="0"/>
    <x v="1"/>
    <x v="2"/>
    <x v="9"/>
    <x v="28"/>
    <x v="3"/>
    <x v="1"/>
  </r>
  <r>
    <x v="31"/>
    <x v="4"/>
    <x v="3"/>
    <x v="2"/>
    <x v="1"/>
    <x v="4"/>
    <x v="23"/>
    <x v="29"/>
    <x v="8"/>
    <x v="2"/>
  </r>
  <r>
    <x v="32"/>
    <x v="1"/>
    <x v="0"/>
    <x v="0"/>
    <x v="0"/>
    <x v="4"/>
    <x v="24"/>
    <x v="30"/>
    <x v="1"/>
    <x v="0"/>
  </r>
  <r>
    <x v="33"/>
    <x v="0"/>
    <x v="17"/>
    <x v="1"/>
    <x v="0"/>
    <x v="1"/>
    <x v="25"/>
    <x v="31"/>
    <x v="7"/>
    <x v="2"/>
  </r>
  <r>
    <x v="34"/>
    <x v="3"/>
    <x v="18"/>
    <x v="3"/>
    <x v="1"/>
    <x v="8"/>
    <x v="26"/>
    <x v="32"/>
    <x v="8"/>
    <x v="1"/>
  </r>
  <r>
    <x v="35"/>
    <x v="4"/>
    <x v="19"/>
    <x v="0"/>
    <x v="1"/>
    <x v="8"/>
    <x v="27"/>
    <x v="33"/>
    <x v="6"/>
    <x v="0"/>
  </r>
  <r>
    <x v="36"/>
    <x v="3"/>
    <x v="20"/>
    <x v="2"/>
    <x v="1"/>
    <x v="0"/>
    <x v="25"/>
    <x v="34"/>
    <x v="3"/>
    <x v="2"/>
  </r>
  <r>
    <x v="37"/>
    <x v="2"/>
    <x v="20"/>
    <x v="2"/>
    <x v="0"/>
    <x v="6"/>
    <x v="28"/>
    <x v="35"/>
    <x v="3"/>
    <x v="2"/>
  </r>
  <r>
    <x v="38"/>
    <x v="4"/>
    <x v="17"/>
    <x v="1"/>
    <x v="1"/>
    <x v="8"/>
    <x v="29"/>
    <x v="36"/>
    <x v="0"/>
    <x v="0"/>
  </r>
  <r>
    <x v="39"/>
    <x v="2"/>
    <x v="10"/>
    <x v="2"/>
    <x v="1"/>
    <x v="7"/>
    <x v="13"/>
    <x v="37"/>
    <x v="8"/>
    <x v="2"/>
  </r>
  <r>
    <x v="40"/>
    <x v="4"/>
    <x v="14"/>
    <x v="0"/>
    <x v="0"/>
    <x v="3"/>
    <x v="7"/>
    <x v="38"/>
    <x v="2"/>
    <x v="2"/>
  </r>
  <r>
    <x v="41"/>
    <x v="0"/>
    <x v="6"/>
    <x v="2"/>
    <x v="0"/>
    <x v="2"/>
    <x v="30"/>
    <x v="39"/>
    <x v="4"/>
    <x v="0"/>
  </r>
  <r>
    <x v="42"/>
    <x v="2"/>
    <x v="12"/>
    <x v="1"/>
    <x v="0"/>
    <x v="3"/>
    <x v="9"/>
    <x v="40"/>
    <x v="0"/>
    <x v="1"/>
  </r>
  <r>
    <x v="43"/>
    <x v="0"/>
    <x v="20"/>
    <x v="2"/>
    <x v="0"/>
    <x v="3"/>
    <x v="18"/>
    <x v="41"/>
    <x v="4"/>
    <x v="1"/>
  </r>
  <r>
    <x v="44"/>
    <x v="0"/>
    <x v="21"/>
    <x v="2"/>
    <x v="0"/>
    <x v="9"/>
    <x v="9"/>
    <x v="42"/>
    <x v="8"/>
    <x v="2"/>
  </r>
  <r>
    <x v="45"/>
    <x v="1"/>
    <x v="22"/>
    <x v="0"/>
    <x v="1"/>
    <x v="4"/>
    <x v="31"/>
    <x v="43"/>
    <x v="6"/>
    <x v="2"/>
  </r>
  <r>
    <x v="46"/>
    <x v="0"/>
    <x v="3"/>
    <x v="2"/>
    <x v="0"/>
    <x v="9"/>
    <x v="32"/>
    <x v="44"/>
    <x v="3"/>
    <x v="3"/>
  </r>
  <r>
    <x v="47"/>
    <x v="1"/>
    <x v="23"/>
    <x v="3"/>
    <x v="1"/>
    <x v="2"/>
    <x v="23"/>
    <x v="45"/>
    <x v="3"/>
    <x v="3"/>
  </r>
  <r>
    <x v="48"/>
    <x v="1"/>
    <x v="11"/>
    <x v="1"/>
    <x v="0"/>
    <x v="0"/>
    <x v="10"/>
    <x v="46"/>
    <x v="1"/>
    <x v="1"/>
  </r>
  <r>
    <x v="49"/>
    <x v="4"/>
    <x v="21"/>
    <x v="2"/>
    <x v="1"/>
    <x v="5"/>
    <x v="13"/>
    <x v="47"/>
    <x v="5"/>
    <x v="1"/>
  </r>
  <r>
    <x v="50"/>
    <x v="1"/>
    <x v="6"/>
    <x v="2"/>
    <x v="0"/>
    <x v="2"/>
    <x v="33"/>
    <x v="48"/>
    <x v="4"/>
    <x v="2"/>
  </r>
  <r>
    <x v="51"/>
    <x v="2"/>
    <x v="9"/>
    <x v="0"/>
    <x v="1"/>
    <x v="4"/>
    <x v="34"/>
    <x v="49"/>
    <x v="2"/>
    <x v="3"/>
  </r>
  <r>
    <x v="52"/>
    <x v="2"/>
    <x v="14"/>
    <x v="0"/>
    <x v="0"/>
    <x v="4"/>
    <x v="35"/>
    <x v="50"/>
    <x v="7"/>
    <x v="1"/>
  </r>
  <r>
    <x v="53"/>
    <x v="1"/>
    <x v="13"/>
    <x v="0"/>
    <x v="0"/>
    <x v="3"/>
    <x v="20"/>
    <x v="51"/>
    <x v="2"/>
    <x v="2"/>
  </r>
  <r>
    <x v="54"/>
    <x v="2"/>
    <x v="14"/>
    <x v="0"/>
    <x v="0"/>
    <x v="3"/>
    <x v="36"/>
    <x v="52"/>
    <x v="8"/>
    <x v="2"/>
  </r>
  <r>
    <x v="55"/>
    <x v="2"/>
    <x v="17"/>
    <x v="1"/>
    <x v="1"/>
    <x v="4"/>
    <x v="0"/>
    <x v="53"/>
    <x v="2"/>
    <x v="2"/>
  </r>
  <r>
    <x v="56"/>
    <x v="3"/>
    <x v="5"/>
    <x v="1"/>
    <x v="0"/>
    <x v="2"/>
    <x v="35"/>
    <x v="54"/>
    <x v="1"/>
    <x v="1"/>
  </r>
  <r>
    <x v="57"/>
    <x v="1"/>
    <x v="7"/>
    <x v="2"/>
    <x v="0"/>
    <x v="1"/>
    <x v="16"/>
    <x v="55"/>
    <x v="7"/>
    <x v="0"/>
  </r>
  <r>
    <x v="58"/>
    <x v="2"/>
    <x v="21"/>
    <x v="2"/>
    <x v="1"/>
    <x v="6"/>
    <x v="22"/>
    <x v="56"/>
    <x v="4"/>
    <x v="1"/>
  </r>
  <r>
    <x v="59"/>
    <x v="3"/>
    <x v="6"/>
    <x v="2"/>
    <x v="0"/>
    <x v="9"/>
    <x v="37"/>
    <x v="57"/>
    <x v="7"/>
    <x v="2"/>
  </r>
  <r>
    <x v="60"/>
    <x v="4"/>
    <x v="2"/>
    <x v="1"/>
    <x v="2"/>
    <x v="5"/>
    <x v="33"/>
    <x v="58"/>
    <x v="3"/>
    <x v="1"/>
  </r>
  <r>
    <x v="61"/>
    <x v="2"/>
    <x v="1"/>
    <x v="1"/>
    <x v="1"/>
    <x v="9"/>
    <x v="38"/>
    <x v="59"/>
    <x v="5"/>
    <x v="0"/>
  </r>
  <r>
    <x v="62"/>
    <x v="0"/>
    <x v="17"/>
    <x v="1"/>
    <x v="1"/>
    <x v="4"/>
    <x v="35"/>
    <x v="60"/>
    <x v="8"/>
    <x v="0"/>
  </r>
  <r>
    <x v="63"/>
    <x v="3"/>
    <x v="24"/>
    <x v="0"/>
    <x v="0"/>
    <x v="8"/>
    <x v="16"/>
    <x v="55"/>
    <x v="4"/>
    <x v="2"/>
  </r>
  <r>
    <x v="64"/>
    <x v="4"/>
    <x v="25"/>
    <x v="0"/>
    <x v="1"/>
    <x v="0"/>
    <x v="7"/>
    <x v="61"/>
    <x v="0"/>
    <x v="2"/>
  </r>
  <r>
    <x v="65"/>
    <x v="1"/>
    <x v="26"/>
    <x v="0"/>
    <x v="0"/>
    <x v="9"/>
    <x v="20"/>
    <x v="62"/>
    <x v="5"/>
    <x v="0"/>
  </r>
  <r>
    <x v="66"/>
    <x v="2"/>
    <x v="27"/>
    <x v="1"/>
    <x v="1"/>
    <x v="4"/>
    <x v="11"/>
    <x v="63"/>
    <x v="1"/>
    <x v="1"/>
  </r>
  <r>
    <x v="67"/>
    <x v="2"/>
    <x v="27"/>
    <x v="1"/>
    <x v="1"/>
    <x v="4"/>
    <x v="39"/>
    <x v="64"/>
    <x v="1"/>
    <x v="2"/>
  </r>
  <r>
    <x v="68"/>
    <x v="0"/>
    <x v="11"/>
    <x v="1"/>
    <x v="0"/>
    <x v="0"/>
    <x v="40"/>
    <x v="65"/>
    <x v="7"/>
    <x v="0"/>
  </r>
  <r>
    <x v="69"/>
    <x v="0"/>
    <x v="17"/>
    <x v="1"/>
    <x v="1"/>
    <x v="8"/>
    <x v="27"/>
    <x v="66"/>
    <x v="5"/>
    <x v="1"/>
  </r>
  <r>
    <x v="70"/>
    <x v="1"/>
    <x v="28"/>
    <x v="3"/>
    <x v="2"/>
    <x v="7"/>
    <x v="41"/>
    <x v="67"/>
    <x v="4"/>
    <x v="0"/>
  </r>
  <r>
    <x v="71"/>
    <x v="2"/>
    <x v="21"/>
    <x v="2"/>
    <x v="0"/>
    <x v="9"/>
    <x v="4"/>
    <x v="68"/>
    <x v="3"/>
    <x v="1"/>
  </r>
  <r>
    <x v="72"/>
    <x v="2"/>
    <x v="19"/>
    <x v="0"/>
    <x v="0"/>
    <x v="2"/>
    <x v="42"/>
    <x v="69"/>
    <x v="6"/>
    <x v="2"/>
  </r>
  <r>
    <x v="73"/>
    <x v="3"/>
    <x v="15"/>
    <x v="1"/>
    <x v="1"/>
    <x v="5"/>
    <x v="1"/>
    <x v="70"/>
    <x v="8"/>
    <x v="0"/>
  </r>
  <r>
    <x v="74"/>
    <x v="0"/>
    <x v="27"/>
    <x v="1"/>
    <x v="0"/>
    <x v="4"/>
    <x v="24"/>
    <x v="71"/>
    <x v="3"/>
    <x v="2"/>
  </r>
  <r>
    <x v="75"/>
    <x v="0"/>
    <x v="24"/>
    <x v="0"/>
    <x v="0"/>
    <x v="5"/>
    <x v="43"/>
    <x v="72"/>
    <x v="8"/>
    <x v="1"/>
  </r>
  <r>
    <x v="76"/>
    <x v="4"/>
    <x v="24"/>
    <x v="0"/>
    <x v="1"/>
    <x v="4"/>
    <x v="13"/>
    <x v="73"/>
    <x v="3"/>
    <x v="1"/>
  </r>
  <r>
    <x v="77"/>
    <x v="1"/>
    <x v="9"/>
    <x v="0"/>
    <x v="1"/>
    <x v="8"/>
    <x v="3"/>
    <x v="74"/>
    <x v="6"/>
    <x v="3"/>
  </r>
  <r>
    <x v="78"/>
    <x v="2"/>
    <x v="15"/>
    <x v="1"/>
    <x v="0"/>
    <x v="1"/>
    <x v="11"/>
    <x v="11"/>
    <x v="7"/>
    <x v="1"/>
  </r>
  <r>
    <x v="79"/>
    <x v="4"/>
    <x v="12"/>
    <x v="1"/>
    <x v="0"/>
    <x v="6"/>
    <x v="3"/>
    <x v="75"/>
    <x v="5"/>
    <x v="2"/>
  </r>
  <r>
    <x v="80"/>
    <x v="1"/>
    <x v="29"/>
    <x v="0"/>
    <x v="0"/>
    <x v="9"/>
    <x v="27"/>
    <x v="76"/>
    <x v="3"/>
    <x v="1"/>
  </r>
  <r>
    <x v="81"/>
    <x v="3"/>
    <x v="11"/>
    <x v="1"/>
    <x v="0"/>
    <x v="8"/>
    <x v="31"/>
    <x v="77"/>
    <x v="1"/>
    <x v="1"/>
  </r>
  <r>
    <x v="82"/>
    <x v="2"/>
    <x v="11"/>
    <x v="1"/>
    <x v="0"/>
    <x v="7"/>
    <x v="42"/>
    <x v="78"/>
    <x v="6"/>
    <x v="2"/>
  </r>
  <r>
    <x v="83"/>
    <x v="2"/>
    <x v="30"/>
    <x v="2"/>
    <x v="1"/>
    <x v="7"/>
    <x v="16"/>
    <x v="79"/>
    <x v="7"/>
    <x v="2"/>
  </r>
  <r>
    <x v="84"/>
    <x v="1"/>
    <x v="9"/>
    <x v="0"/>
    <x v="0"/>
    <x v="8"/>
    <x v="27"/>
    <x v="80"/>
    <x v="7"/>
    <x v="2"/>
  </r>
  <r>
    <x v="85"/>
    <x v="3"/>
    <x v="31"/>
    <x v="3"/>
    <x v="0"/>
    <x v="6"/>
    <x v="0"/>
    <x v="81"/>
    <x v="3"/>
    <x v="0"/>
  </r>
  <r>
    <x v="86"/>
    <x v="0"/>
    <x v="6"/>
    <x v="2"/>
    <x v="1"/>
    <x v="9"/>
    <x v="18"/>
    <x v="82"/>
    <x v="4"/>
    <x v="0"/>
  </r>
  <r>
    <x v="87"/>
    <x v="1"/>
    <x v="9"/>
    <x v="0"/>
    <x v="1"/>
    <x v="5"/>
    <x v="23"/>
    <x v="83"/>
    <x v="8"/>
    <x v="2"/>
  </r>
  <r>
    <x v="88"/>
    <x v="2"/>
    <x v="2"/>
    <x v="1"/>
    <x v="0"/>
    <x v="5"/>
    <x v="11"/>
    <x v="84"/>
    <x v="4"/>
    <x v="3"/>
  </r>
  <r>
    <x v="89"/>
    <x v="1"/>
    <x v="16"/>
    <x v="3"/>
    <x v="0"/>
    <x v="7"/>
    <x v="38"/>
    <x v="85"/>
    <x v="6"/>
    <x v="1"/>
  </r>
  <r>
    <x v="90"/>
    <x v="2"/>
    <x v="3"/>
    <x v="2"/>
    <x v="0"/>
    <x v="8"/>
    <x v="42"/>
    <x v="86"/>
    <x v="3"/>
    <x v="2"/>
  </r>
  <r>
    <x v="91"/>
    <x v="2"/>
    <x v="2"/>
    <x v="1"/>
    <x v="0"/>
    <x v="1"/>
    <x v="44"/>
    <x v="87"/>
    <x v="2"/>
    <x v="0"/>
  </r>
  <r>
    <x v="92"/>
    <x v="1"/>
    <x v="6"/>
    <x v="2"/>
    <x v="1"/>
    <x v="6"/>
    <x v="27"/>
    <x v="88"/>
    <x v="7"/>
    <x v="0"/>
  </r>
  <r>
    <x v="93"/>
    <x v="1"/>
    <x v="27"/>
    <x v="1"/>
    <x v="0"/>
    <x v="4"/>
    <x v="45"/>
    <x v="89"/>
    <x v="8"/>
    <x v="0"/>
  </r>
  <r>
    <x v="94"/>
    <x v="1"/>
    <x v="6"/>
    <x v="2"/>
    <x v="1"/>
    <x v="6"/>
    <x v="11"/>
    <x v="90"/>
    <x v="0"/>
    <x v="1"/>
  </r>
  <r>
    <x v="95"/>
    <x v="2"/>
    <x v="6"/>
    <x v="2"/>
    <x v="0"/>
    <x v="3"/>
    <x v="6"/>
    <x v="27"/>
    <x v="7"/>
    <x v="0"/>
  </r>
  <r>
    <x v="96"/>
    <x v="1"/>
    <x v="9"/>
    <x v="0"/>
    <x v="0"/>
    <x v="5"/>
    <x v="46"/>
    <x v="91"/>
    <x v="4"/>
    <x v="1"/>
  </r>
  <r>
    <x v="97"/>
    <x v="2"/>
    <x v="5"/>
    <x v="1"/>
    <x v="1"/>
    <x v="3"/>
    <x v="2"/>
    <x v="92"/>
    <x v="8"/>
    <x v="2"/>
  </r>
  <r>
    <x v="98"/>
    <x v="0"/>
    <x v="6"/>
    <x v="2"/>
    <x v="0"/>
    <x v="3"/>
    <x v="16"/>
    <x v="93"/>
    <x v="0"/>
    <x v="1"/>
  </r>
  <r>
    <x v="99"/>
    <x v="0"/>
    <x v="15"/>
    <x v="1"/>
    <x v="1"/>
    <x v="3"/>
    <x v="41"/>
    <x v="94"/>
    <x v="6"/>
    <x v="2"/>
  </r>
  <r>
    <x v="100"/>
    <x v="3"/>
    <x v="6"/>
    <x v="2"/>
    <x v="1"/>
    <x v="7"/>
    <x v="5"/>
    <x v="95"/>
    <x v="6"/>
    <x v="2"/>
  </r>
  <r>
    <x v="101"/>
    <x v="1"/>
    <x v="25"/>
    <x v="0"/>
    <x v="0"/>
    <x v="2"/>
    <x v="47"/>
    <x v="96"/>
    <x v="0"/>
    <x v="1"/>
  </r>
  <r>
    <x v="102"/>
    <x v="3"/>
    <x v="32"/>
    <x v="1"/>
    <x v="1"/>
    <x v="7"/>
    <x v="14"/>
    <x v="97"/>
    <x v="3"/>
    <x v="1"/>
  </r>
  <r>
    <x v="103"/>
    <x v="1"/>
    <x v="28"/>
    <x v="3"/>
    <x v="1"/>
    <x v="8"/>
    <x v="24"/>
    <x v="98"/>
    <x v="7"/>
    <x v="2"/>
  </r>
  <r>
    <x v="104"/>
    <x v="1"/>
    <x v="11"/>
    <x v="1"/>
    <x v="0"/>
    <x v="7"/>
    <x v="23"/>
    <x v="83"/>
    <x v="7"/>
    <x v="0"/>
  </r>
  <r>
    <x v="105"/>
    <x v="3"/>
    <x v="1"/>
    <x v="1"/>
    <x v="0"/>
    <x v="5"/>
    <x v="0"/>
    <x v="81"/>
    <x v="4"/>
    <x v="2"/>
  </r>
  <r>
    <x v="106"/>
    <x v="1"/>
    <x v="1"/>
    <x v="1"/>
    <x v="1"/>
    <x v="1"/>
    <x v="31"/>
    <x v="99"/>
    <x v="6"/>
    <x v="1"/>
  </r>
  <r>
    <x v="107"/>
    <x v="4"/>
    <x v="11"/>
    <x v="1"/>
    <x v="0"/>
    <x v="6"/>
    <x v="43"/>
    <x v="72"/>
    <x v="3"/>
    <x v="2"/>
  </r>
  <r>
    <x v="108"/>
    <x v="1"/>
    <x v="4"/>
    <x v="1"/>
    <x v="0"/>
    <x v="6"/>
    <x v="10"/>
    <x v="100"/>
    <x v="5"/>
    <x v="1"/>
  </r>
  <r>
    <x v="109"/>
    <x v="4"/>
    <x v="16"/>
    <x v="3"/>
    <x v="0"/>
    <x v="5"/>
    <x v="13"/>
    <x v="101"/>
    <x v="1"/>
    <x v="2"/>
  </r>
  <r>
    <x v="110"/>
    <x v="0"/>
    <x v="14"/>
    <x v="0"/>
    <x v="0"/>
    <x v="3"/>
    <x v="48"/>
    <x v="102"/>
    <x v="5"/>
    <x v="1"/>
  </r>
  <r>
    <x v="111"/>
    <x v="1"/>
    <x v="19"/>
    <x v="0"/>
    <x v="1"/>
    <x v="0"/>
    <x v="46"/>
    <x v="103"/>
    <x v="3"/>
    <x v="0"/>
  </r>
  <r>
    <x v="112"/>
    <x v="2"/>
    <x v="12"/>
    <x v="1"/>
    <x v="1"/>
    <x v="9"/>
    <x v="44"/>
    <x v="104"/>
    <x v="6"/>
    <x v="1"/>
  </r>
  <r>
    <x v="113"/>
    <x v="0"/>
    <x v="15"/>
    <x v="1"/>
    <x v="0"/>
    <x v="0"/>
    <x v="28"/>
    <x v="105"/>
    <x v="0"/>
    <x v="1"/>
  </r>
  <r>
    <x v="114"/>
    <x v="3"/>
    <x v="22"/>
    <x v="0"/>
    <x v="0"/>
    <x v="7"/>
    <x v="29"/>
    <x v="106"/>
    <x v="5"/>
    <x v="1"/>
  </r>
  <r>
    <x v="115"/>
    <x v="0"/>
    <x v="6"/>
    <x v="2"/>
    <x v="0"/>
    <x v="6"/>
    <x v="11"/>
    <x v="107"/>
    <x v="4"/>
    <x v="3"/>
  </r>
  <r>
    <x v="116"/>
    <x v="1"/>
    <x v="12"/>
    <x v="1"/>
    <x v="0"/>
    <x v="9"/>
    <x v="20"/>
    <x v="108"/>
    <x v="6"/>
    <x v="0"/>
  </r>
  <r>
    <x v="117"/>
    <x v="3"/>
    <x v="10"/>
    <x v="2"/>
    <x v="0"/>
    <x v="8"/>
    <x v="15"/>
    <x v="109"/>
    <x v="8"/>
    <x v="0"/>
  </r>
  <r>
    <x v="118"/>
    <x v="1"/>
    <x v="12"/>
    <x v="1"/>
    <x v="1"/>
    <x v="7"/>
    <x v="8"/>
    <x v="110"/>
    <x v="4"/>
    <x v="1"/>
  </r>
  <r>
    <x v="119"/>
    <x v="4"/>
    <x v="6"/>
    <x v="2"/>
    <x v="0"/>
    <x v="9"/>
    <x v="49"/>
    <x v="111"/>
    <x v="5"/>
    <x v="2"/>
  </r>
  <r>
    <x v="120"/>
    <x v="1"/>
    <x v="15"/>
    <x v="1"/>
    <x v="1"/>
    <x v="8"/>
    <x v="16"/>
    <x v="112"/>
    <x v="1"/>
    <x v="1"/>
  </r>
  <r>
    <x v="121"/>
    <x v="2"/>
    <x v="12"/>
    <x v="1"/>
    <x v="1"/>
    <x v="9"/>
    <x v="7"/>
    <x v="38"/>
    <x v="7"/>
    <x v="0"/>
  </r>
  <r>
    <x v="122"/>
    <x v="1"/>
    <x v="24"/>
    <x v="0"/>
    <x v="1"/>
    <x v="4"/>
    <x v="3"/>
    <x v="113"/>
    <x v="6"/>
    <x v="1"/>
  </r>
  <r>
    <x v="123"/>
    <x v="0"/>
    <x v="12"/>
    <x v="1"/>
    <x v="1"/>
    <x v="0"/>
    <x v="23"/>
    <x v="114"/>
    <x v="2"/>
    <x v="0"/>
  </r>
  <r>
    <x v="124"/>
    <x v="1"/>
    <x v="4"/>
    <x v="1"/>
    <x v="1"/>
    <x v="0"/>
    <x v="35"/>
    <x v="60"/>
    <x v="3"/>
    <x v="2"/>
  </r>
  <r>
    <x v="125"/>
    <x v="1"/>
    <x v="33"/>
    <x v="3"/>
    <x v="0"/>
    <x v="0"/>
    <x v="9"/>
    <x v="115"/>
    <x v="2"/>
    <x v="0"/>
  </r>
  <r>
    <x v="126"/>
    <x v="2"/>
    <x v="8"/>
    <x v="3"/>
    <x v="0"/>
    <x v="5"/>
    <x v="21"/>
    <x v="116"/>
    <x v="4"/>
    <x v="1"/>
  </r>
  <r>
    <x v="127"/>
    <x v="0"/>
    <x v="5"/>
    <x v="1"/>
    <x v="1"/>
    <x v="0"/>
    <x v="49"/>
    <x v="117"/>
    <x v="1"/>
    <x v="2"/>
  </r>
  <r>
    <x v="128"/>
    <x v="2"/>
    <x v="11"/>
    <x v="1"/>
    <x v="1"/>
    <x v="8"/>
    <x v="50"/>
    <x v="118"/>
    <x v="2"/>
    <x v="0"/>
  </r>
  <r>
    <x v="129"/>
    <x v="4"/>
    <x v="15"/>
    <x v="1"/>
    <x v="1"/>
    <x v="4"/>
    <x v="5"/>
    <x v="119"/>
    <x v="8"/>
    <x v="2"/>
  </r>
  <r>
    <x v="130"/>
    <x v="0"/>
    <x v="10"/>
    <x v="2"/>
    <x v="0"/>
    <x v="9"/>
    <x v="43"/>
    <x v="120"/>
    <x v="7"/>
    <x v="1"/>
  </r>
  <r>
    <x v="131"/>
    <x v="1"/>
    <x v="11"/>
    <x v="1"/>
    <x v="0"/>
    <x v="7"/>
    <x v="32"/>
    <x v="121"/>
    <x v="6"/>
    <x v="0"/>
  </r>
  <r>
    <x v="132"/>
    <x v="0"/>
    <x v="0"/>
    <x v="0"/>
    <x v="1"/>
    <x v="0"/>
    <x v="39"/>
    <x v="122"/>
    <x v="0"/>
    <x v="0"/>
  </r>
  <r>
    <x v="133"/>
    <x v="3"/>
    <x v="18"/>
    <x v="3"/>
    <x v="1"/>
    <x v="9"/>
    <x v="3"/>
    <x v="123"/>
    <x v="3"/>
    <x v="2"/>
  </r>
  <r>
    <x v="134"/>
    <x v="3"/>
    <x v="7"/>
    <x v="2"/>
    <x v="0"/>
    <x v="1"/>
    <x v="10"/>
    <x v="124"/>
    <x v="2"/>
    <x v="0"/>
  </r>
  <r>
    <x v="135"/>
    <x v="2"/>
    <x v="5"/>
    <x v="1"/>
    <x v="0"/>
    <x v="2"/>
    <x v="51"/>
    <x v="125"/>
    <x v="0"/>
    <x v="2"/>
  </r>
  <r>
    <x v="136"/>
    <x v="2"/>
    <x v="22"/>
    <x v="0"/>
    <x v="0"/>
    <x v="8"/>
    <x v="39"/>
    <x v="126"/>
    <x v="7"/>
    <x v="2"/>
  </r>
  <r>
    <x v="137"/>
    <x v="0"/>
    <x v="22"/>
    <x v="0"/>
    <x v="1"/>
    <x v="1"/>
    <x v="25"/>
    <x v="34"/>
    <x v="6"/>
    <x v="1"/>
  </r>
  <r>
    <x v="138"/>
    <x v="4"/>
    <x v="6"/>
    <x v="2"/>
    <x v="1"/>
    <x v="5"/>
    <x v="19"/>
    <x v="127"/>
    <x v="7"/>
    <x v="2"/>
  </r>
  <r>
    <x v="139"/>
    <x v="0"/>
    <x v="29"/>
    <x v="0"/>
    <x v="0"/>
    <x v="1"/>
    <x v="26"/>
    <x v="128"/>
    <x v="0"/>
    <x v="1"/>
  </r>
  <r>
    <x v="140"/>
    <x v="1"/>
    <x v="24"/>
    <x v="0"/>
    <x v="0"/>
    <x v="6"/>
    <x v="52"/>
    <x v="129"/>
    <x v="8"/>
    <x v="0"/>
  </r>
  <r>
    <x v="141"/>
    <x v="0"/>
    <x v="11"/>
    <x v="1"/>
    <x v="0"/>
    <x v="3"/>
    <x v="49"/>
    <x v="111"/>
    <x v="7"/>
    <x v="2"/>
  </r>
  <r>
    <x v="142"/>
    <x v="4"/>
    <x v="5"/>
    <x v="1"/>
    <x v="1"/>
    <x v="6"/>
    <x v="53"/>
    <x v="130"/>
    <x v="0"/>
    <x v="0"/>
  </r>
  <r>
    <x v="143"/>
    <x v="2"/>
    <x v="4"/>
    <x v="1"/>
    <x v="0"/>
    <x v="9"/>
    <x v="2"/>
    <x v="131"/>
    <x v="8"/>
    <x v="0"/>
  </r>
  <r>
    <x v="144"/>
    <x v="1"/>
    <x v="1"/>
    <x v="1"/>
    <x v="0"/>
    <x v="9"/>
    <x v="10"/>
    <x v="132"/>
    <x v="0"/>
    <x v="2"/>
  </r>
  <r>
    <x v="145"/>
    <x v="2"/>
    <x v="1"/>
    <x v="1"/>
    <x v="2"/>
    <x v="4"/>
    <x v="9"/>
    <x v="133"/>
    <x v="4"/>
    <x v="3"/>
  </r>
  <r>
    <x v="146"/>
    <x v="1"/>
    <x v="11"/>
    <x v="1"/>
    <x v="0"/>
    <x v="1"/>
    <x v="39"/>
    <x v="134"/>
    <x v="0"/>
    <x v="2"/>
  </r>
  <r>
    <x v="147"/>
    <x v="2"/>
    <x v="6"/>
    <x v="2"/>
    <x v="1"/>
    <x v="6"/>
    <x v="41"/>
    <x v="135"/>
    <x v="6"/>
    <x v="2"/>
  </r>
  <r>
    <x v="148"/>
    <x v="2"/>
    <x v="26"/>
    <x v="0"/>
    <x v="1"/>
    <x v="7"/>
    <x v="13"/>
    <x v="136"/>
    <x v="2"/>
    <x v="1"/>
  </r>
  <r>
    <x v="149"/>
    <x v="0"/>
    <x v="0"/>
    <x v="0"/>
    <x v="1"/>
    <x v="6"/>
    <x v="31"/>
    <x v="137"/>
    <x v="3"/>
    <x v="2"/>
  </r>
  <r>
    <x v="150"/>
    <x v="4"/>
    <x v="13"/>
    <x v="0"/>
    <x v="0"/>
    <x v="5"/>
    <x v="40"/>
    <x v="138"/>
    <x v="6"/>
    <x v="0"/>
  </r>
  <r>
    <x v="151"/>
    <x v="4"/>
    <x v="0"/>
    <x v="0"/>
    <x v="2"/>
    <x v="3"/>
    <x v="19"/>
    <x v="139"/>
    <x v="0"/>
    <x v="0"/>
  </r>
  <r>
    <x v="152"/>
    <x v="4"/>
    <x v="2"/>
    <x v="1"/>
    <x v="0"/>
    <x v="1"/>
    <x v="27"/>
    <x v="66"/>
    <x v="5"/>
    <x v="1"/>
  </r>
  <r>
    <x v="153"/>
    <x v="0"/>
    <x v="34"/>
    <x v="3"/>
    <x v="1"/>
    <x v="5"/>
    <x v="22"/>
    <x v="140"/>
    <x v="4"/>
    <x v="0"/>
  </r>
  <r>
    <x v="154"/>
    <x v="3"/>
    <x v="13"/>
    <x v="0"/>
    <x v="0"/>
    <x v="1"/>
    <x v="20"/>
    <x v="141"/>
    <x v="8"/>
    <x v="3"/>
  </r>
  <r>
    <x v="155"/>
    <x v="0"/>
    <x v="35"/>
    <x v="4"/>
    <x v="1"/>
    <x v="8"/>
    <x v="49"/>
    <x v="142"/>
    <x v="4"/>
    <x v="0"/>
  </r>
  <r>
    <x v="156"/>
    <x v="2"/>
    <x v="6"/>
    <x v="2"/>
    <x v="0"/>
    <x v="3"/>
    <x v="54"/>
    <x v="143"/>
    <x v="4"/>
    <x v="1"/>
  </r>
  <r>
    <x v="157"/>
    <x v="2"/>
    <x v="14"/>
    <x v="0"/>
    <x v="0"/>
    <x v="4"/>
    <x v="5"/>
    <x v="144"/>
    <x v="3"/>
    <x v="0"/>
  </r>
  <r>
    <x v="158"/>
    <x v="4"/>
    <x v="0"/>
    <x v="0"/>
    <x v="0"/>
    <x v="9"/>
    <x v="39"/>
    <x v="145"/>
    <x v="4"/>
    <x v="2"/>
  </r>
  <r>
    <x v="159"/>
    <x v="4"/>
    <x v="6"/>
    <x v="2"/>
    <x v="1"/>
    <x v="0"/>
    <x v="51"/>
    <x v="146"/>
    <x v="2"/>
    <x v="3"/>
  </r>
  <r>
    <x v="160"/>
    <x v="2"/>
    <x v="29"/>
    <x v="0"/>
    <x v="1"/>
    <x v="1"/>
    <x v="33"/>
    <x v="147"/>
    <x v="1"/>
    <x v="1"/>
  </r>
  <r>
    <x v="161"/>
    <x v="3"/>
    <x v="20"/>
    <x v="2"/>
    <x v="0"/>
    <x v="9"/>
    <x v="28"/>
    <x v="148"/>
    <x v="7"/>
    <x v="2"/>
  </r>
  <r>
    <x v="162"/>
    <x v="2"/>
    <x v="12"/>
    <x v="1"/>
    <x v="1"/>
    <x v="6"/>
    <x v="40"/>
    <x v="149"/>
    <x v="6"/>
    <x v="2"/>
  </r>
  <r>
    <x v="163"/>
    <x v="1"/>
    <x v="1"/>
    <x v="1"/>
    <x v="1"/>
    <x v="9"/>
    <x v="45"/>
    <x v="150"/>
    <x v="2"/>
    <x v="2"/>
  </r>
  <r>
    <x v="164"/>
    <x v="2"/>
    <x v="17"/>
    <x v="1"/>
    <x v="1"/>
    <x v="6"/>
    <x v="44"/>
    <x v="151"/>
    <x v="1"/>
    <x v="2"/>
  </r>
  <r>
    <x v="165"/>
    <x v="2"/>
    <x v="15"/>
    <x v="1"/>
    <x v="1"/>
    <x v="5"/>
    <x v="38"/>
    <x v="152"/>
    <x v="5"/>
    <x v="3"/>
  </r>
  <r>
    <x v="166"/>
    <x v="1"/>
    <x v="4"/>
    <x v="1"/>
    <x v="0"/>
    <x v="9"/>
    <x v="55"/>
    <x v="153"/>
    <x v="2"/>
    <x v="2"/>
  </r>
  <r>
    <x v="167"/>
    <x v="1"/>
    <x v="7"/>
    <x v="2"/>
    <x v="0"/>
    <x v="5"/>
    <x v="56"/>
    <x v="154"/>
    <x v="2"/>
    <x v="2"/>
  </r>
  <r>
    <x v="168"/>
    <x v="1"/>
    <x v="12"/>
    <x v="1"/>
    <x v="1"/>
    <x v="5"/>
    <x v="52"/>
    <x v="155"/>
    <x v="5"/>
    <x v="2"/>
  </r>
  <r>
    <x v="169"/>
    <x v="0"/>
    <x v="13"/>
    <x v="0"/>
    <x v="1"/>
    <x v="6"/>
    <x v="41"/>
    <x v="156"/>
    <x v="5"/>
    <x v="2"/>
  </r>
  <r>
    <x v="170"/>
    <x v="0"/>
    <x v="17"/>
    <x v="1"/>
    <x v="1"/>
    <x v="8"/>
    <x v="38"/>
    <x v="157"/>
    <x v="2"/>
    <x v="2"/>
  </r>
  <r>
    <x v="171"/>
    <x v="3"/>
    <x v="18"/>
    <x v="3"/>
    <x v="1"/>
    <x v="4"/>
    <x v="41"/>
    <x v="158"/>
    <x v="8"/>
    <x v="0"/>
  </r>
  <r>
    <x v="172"/>
    <x v="1"/>
    <x v="6"/>
    <x v="2"/>
    <x v="1"/>
    <x v="1"/>
    <x v="32"/>
    <x v="159"/>
    <x v="6"/>
    <x v="2"/>
  </r>
  <r>
    <x v="173"/>
    <x v="3"/>
    <x v="27"/>
    <x v="1"/>
    <x v="1"/>
    <x v="8"/>
    <x v="12"/>
    <x v="160"/>
    <x v="5"/>
    <x v="1"/>
  </r>
  <r>
    <x v="174"/>
    <x v="2"/>
    <x v="16"/>
    <x v="3"/>
    <x v="1"/>
    <x v="5"/>
    <x v="5"/>
    <x v="161"/>
    <x v="7"/>
    <x v="3"/>
  </r>
  <r>
    <x v="175"/>
    <x v="1"/>
    <x v="22"/>
    <x v="0"/>
    <x v="1"/>
    <x v="0"/>
    <x v="17"/>
    <x v="162"/>
    <x v="7"/>
    <x v="2"/>
  </r>
  <r>
    <x v="176"/>
    <x v="3"/>
    <x v="30"/>
    <x v="2"/>
    <x v="1"/>
    <x v="5"/>
    <x v="2"/>
    <x v="163"/>
    <x v="2"/>
    <x v="2"/>
  </r>
  <r>
    <x v="177"/>
    <x v="0"/>
    <x v="1"/>
    <x v="1"/>
    <x v="0"/>
    <x v="4"/>
    <x v="50"/>
    <x v="164"/>
    <x v="4"/>
    <x v="1"/>
  </r>
  <r>
    <x v="178"/>
    <x v="2"/>
    <x v="12"/>
    <x v="1"/>
    <x v="1"/>
    <x v="6"/>
    <x v="40"/>
    <x v="165"/>
    <x v="1"/>
    <x v="0"/>
  </r>
  <r>
    <x v="179"/>
    <x v="3"/>
    <x v="27"/>
    <x v="1"/>
    <x v="0"/>
    <x v="5"/>
    <x v="10"/>
    <x v="132"/>
    <x v="3"/>
    <x v="0"/>
  </r>
  <r>
    <x v="180"/>
    <x v="2"/>
    <x v="7"/>
    <x v="2"/>
    <x v="0"/>
    <x v="8"/>
    <x v="54"/>
    <x v="166"/>
    <x v="3"/>
    <x v="0"/>
  </r>
  <r>
    <x v="181"/>
    <x v="2"/>
    <x v="32"/>
    <x v="1"/>
    <x v="0"/>
    <x v="1"/>
    <x v="17"/>
    <x v="167"/>
    <x v="5"/>
    <x v="3"/>
  </r>
  <r>
    <x v="182"/>
    <x v="1"/>
    <x v="20"/>
    <x v="2"/>
    <x v="0"/>
    <x v="0"/>
    <x v="40"/>
    <x v="168"/>
    <x v="3"/>
    <x v="0"/>
  </r>
  <r>
    <x v="183"/>
    <x v="0"/>
    <x v="13"/>
    <x v="0"/>
    <x v="1"/>
    <x v="1"/>
    <x v="30"/>
    <x v="169"/>
    <x v="7"/>
    <x v="0"/>
  </r>
  <r>
    <x v="184"/>
    <x v="1"/>
    <x v="9"/>
    <x v="0"/>
    <x v="1"/>
    <x v="4"/>
    <x v="7"/>
    <x v="170"/>
    <x v="3"/>
    <x v="0"/>
  </r>
  <r>
    <x v="185"/>
    <x v="1"/>
    <x v="30"/>
    <x v="2"/>
    <x v="0"/>
    <x v="3"/>
    <x v="26"/>
    <x v="171"/>
    <x v="5"/>
    <x v="0"/>
  </r>
  <r>
    <x v="186"/>
    <x v="0"/>
    <x v="19"/>
    <x v="0"/>
    <x v="0"/>
    <x v="8"/>
    <x v="2"/>
    <x v="2"/>
    <x v="0"/>
    <x v="0"/>
  </r>
  <r>
    <x v="187"/>
    <x v="2"/>
    <x v="12"/>
    <x v="1"/>
    <x v="1"/>
    <x v="3"/>
    <x v="34"/>
    <x v="172"/>
    <x v="1"/>
    <x v="0"/>
  </r>
  <r>
    <x v="188"/>
    <x v="2"/>
    <x v="22"/>
    <x v="0"/>
    <x v="2"/>
    <x v="5"/>
    <x v="30"/>
    <x v="173"/>
    <x v="2"/>
    <x v="2"/>
  </r>
  <r>
    <x v="189"/>
    <x v="2"/>
    <x v="12"/>
    <x v="1"/>
    <x v="1"/>
    <x v="2"/>
    <x v="0"/>
    <x v="174"/>
    <x v="6"/>
    <x v="2"/>
  </r>
  <r>
    <x v="190"/>
    <x v="1"/>
    <x v="0"/>
    <x v="0"/>
    <x v="1"/>
    <x v="9"/>
    <x v="39"/>
    <x v="175"/>
    <x v="3"/>
    <x v="2"/>
  </r>
  <r>
    <x v="191"/>
    <x v="1"/>
    <x v="15"/>
    <x v="1"/>
    <x v="0"/>
    <x v="4"/>
    <x v="36"/>
    <x v="176"/>
    <x v="4"/>
    <x v="0"/>
  </r>
  <r>
    <x v="192"/>
    <x v="0"/>
    <x v="31"/>
    <x v="3"/>
    <x v="1"/>
    <x v="6"/>
    <x v="36"/>
    <x v="177"/>
    <x v="7"/>
    <x v="0"/>
  </r>
  <r>
    <x v="193"/>
    <x v="2"/>
    <x v="4"/>
    <x v="1"/>
    <x v="0"/>
    <x v="2"/>
    <x v="5"/>
    <x v="178"/>
    <x v="1"/>
    <x v="0"/>
  </r>
  <r>
    <x v="194"/>
    <x v="1"/>
    <x v="6"/>
    <x v="2"/>
    <x v="1"/>
    <x v="2"/>
    <x v="33"/>
    <x v="179"/>
    <x v="5"/>
    <x v="0"/>
  </r>
  <r>
    <x v="195"/>
    <x v="2"/>
    <x v="0"/>
    <x v="0"/>
    <x v="1"/>
    <x v="5"/>
    <x v="6"/>
    <x v="180"/>
    <x v="3"/>
    <x v="0"/>
  </r>
  <r>
    <x v="196"/>
    <x v="3"/>
    <x v="13"/>
    <x v="0"/>
    <x v="0"/>
    <x v="9"/>
    <x v="19"/>
    <x v="181"/>
    <x v="0"/>
    <x v="1"/>
  </r>
  <r>
    <x v="197"/>
    <x v="1"/>
    <x v="29"/>
    <x v="0"/>
    <x v="0"/>
    <x v="3"/>
    <x v="56"/>
    <x v="182"/>
    <x v="3"/>
    <x v="2"/>
  </r>
  <r>
    <x v="198"/>
    <x v="4"/>
    <x v="0"/>
    <x v="0"/>
    <x v="0"/>
    <x v="9"/>
    <x v="56"/>
    <x v="183"/>
    <x v="3"/>
    <x v="0"/>
  </r>
  <r>
    <x v="199"/>
    <x v="1"/>
    <x v="21"/>
    <x v="2"/>
    <x v="1"/>
    <x v="4"/>
    <x v="19"/>
    <x v="184"/>
    <x v="7"/>
    <x v="1"/>
  </r>
  <r>
    <x v="200"/>
    <x v="1"/>
    <x v="9"/>
    <x v="0"/>
    <x v="1"/>
    <x v="4"/>
    <x v="13"/>
    <x v="185"/>
    <x v="3"/>
    <x v="0"/>
  </r>
  <r>
    <x v="201"/>
    <x v="1"/>
    <x v="5"/>
    <x v="1"/>
    <x v="1"/>
    <x v="4"/>
    <x v="44"/>
    <x v="186"/>
    <x v="8"/>
    <x v="2"/>
  </r>
  <r>
    <x v="202"/>
    <x v="3"/>
    <x v="0"/>
    <x v="0"/>
    <x v="2"/>
    <x v="6"/>
    <x v="54"/>
    <x v="187"/>
    <x v="0"/>
    <x v="1"/>
  </r>
  <r>
    <x v="203"/>
    <x v="4"/>
    <x v="22"/>
    <x v="0"/>
    <x v="2"/>
    <x v="6"/>
    <x v="57"/>
    <x v="188"/>
    <x v="0"/>
    <x v="2"/>
  </r>
  <r>
    <x v="204"/>
    <x v="4"/>
    <x v="32"/>
    <x v="1"/>
    <x v="1"/>
    <x v="4"/>
    <x v="41"/>
    <x v="135"/>
    <x v="1"/>
    <x v="0"/>
  </r>
  <r>
    <x v="205"/>
    <x v="0"/>
    <x v="5"/>
    <x v="1"/>
    <x v="1"/>
    <x v="7"/>
    <x v="13"/>
    <x v="189"/>
    <x v="6"/>
    <x v="0"/>
  </r>
  <r>
    <x v="206"/>
    <x v="2"/>
    <x v="10"/>
    <x v="2"/>
    <x v="0"/>
    <x v="6"/>
    <x v="6"/>
    <x v="190"/>
    <x v="7"/>
    <x v="1"/>
  </r>
  <r>
    <x v="207"/>
    <x v="2"/>
    <x v="10"/>
    <x v="2"/>
    <x v="0"/>
    <x v="0"/>
    <x v="42"/>
    <x v="191"/>
    <x v="5"/>
    <x v="1"/>
  </r>
  <r>
    <x v="208"/>
    <x v="0"/>
    <x v="0"/>
    <x v="0"/>
    <x v="1"/>
    <x v="5"/>
    <x v="30"/>
    <x v="173"/>
    <x v="5"/>
    <x v="2"/>
  </r>
  <r>
    <x v="209"/>
    <x v="2"/>
    <x v="7"/>
    <x v="2"/>
    <x v="0"/>
    <x v="5"/>
    <x v="2"/>
    <x v="192"/>
    <x v="6"/>
    <x v="0"/>
  </r>
  <r>
    <x v="210"/>
    <x v="3"/>
    <x v="18"/>
    <x v="3"/>
    <x v="1"/>
    <x v="1"/>
    <x v="12"/>
    <x v="193"/>
    <x v="2"/>
    <x v="0"/>
  </r>
  <r>
    <x v="211"/>
    <x v="4"/>
    <x v="29"/>
    <x v="0"/>
    <x v="0"/>
    <x v="9"/>
    <x v="28"/>
    <x v="194"/>
    <x v="6"/>
    <x v="2"/>
  </r>
  <r>
    <x v="212"/>
    <x v="0"/>
    <x v="27"/>
    <x v="1"/>
    <x v="1"/>
    <x v="0"/>
    <x v="0"/>
    <x v="195"/>
    <x v="3"/>
    <x v="0"/>
  </r>
  <r>
    <x v="213"/>
    <x v="2"/>
    <x v="12"/>
    <x v="1"/>
    <x v="0"/>
    <x v="0"/>
    <x v="24"/>
    <x v="196"/>
    <x v="2"/>
    <x v="1"/>
  </r>
  <r>
    <x v="214"/>
    <x v="2"/>
    <x v="34"/>
    <x v="3"/>
    <x v="0"/>
    <x v="4"/>
    <x v="58"/>
    <x v="197"/>
    <x v="1"/>
    <x v="0"/>
  </r>
  <r>
    <x v="215"/>
    <x v="2"/>
    <x v="21"/>
    <x v="2"/>
    <x v="0"/>
    <x v="8"/>
    <x v="11"/>
    <x v="198"/>
    <x v="8"/>
    <x v="2"/>
  </r>
  <r>
    <x v="216"/>
    <x v="1"/>
    <x v="25"/>
    <x v="0"/>
    <x v="1"/>
    <x v="9"/>
    <x v="6"/>
    <x v="27"/>
    <x v="3"/>
    <x v="3"/>
  </r>
  <r>
    <x v="217"/>
    <x v="4"/>
    <x v="16"/>
    <x v="3"/>
    <x v="1"/>
    <x v="9"/>
    <x v="56"/>
    <x v="199"/>
    <x v="4"/>
    <x v="3"/>
  </r>
  <r>
    <x v="218"/>
    <x v="0"/>
    <x v="18"/>
    <x v="3"/>
    <x v="1"/>
    <x v="5"/>
    <x v="21"/>
    <x v="200"/>
    <x v="5"/>
    <x v="0"/>
  </r>
  <r>
    <x v="219"/>
    <x v="3"/>
    <x v="1"/>
    <x v="1"/>
    <x v="0"/>
    <x v="4"/>
    <x v="16"/>
    <x v="55"/>
    <x v="2"/>
    <x v="0"/>
  </r>
  <r>
    <x v="220"/>
    <x v="2"/>
    <x v="11"/>
    <x v="1"/>
    <x v="0"/>
    <x v="7"/>
    <x v="11"/>
    <x v="201"/>
    <x v="1"/>
    <x v="2"/>
  </r>
  <r>
    <x v="221"/>
    <x v="2"/>
    <x v="12"/>
    <x v="1"/>
    <x v="0"/>
    <x v="5"/>
    <x v="57"/>
    <x v="202"/>
    <x v="2"/>
    <x v="0"/>
  </r>
  <r>
    <x v="222"/>
    <x v="1"/>
    <x v="6"/>
    <x v="2"/>
    <x v="1"/>
    <x v="3"/>
    <x v="8"/>
    <x v="203"/>
    <x v="6"/>
    <x v="0"/>
  </r>
  <r>
    <x v="223"/>
    <x v="1"/>
    <x v="25"/>
    <x v="0"/>
    <x v="1"/>
    <x v="5"/>
    <x v="38"/>
    <x v="204"/>
    <x v="6"/>
    <x v="0"/>
  </r>
  <r>
    <x v="224"/>
    <x v="0"/>
    <x v="15"/>
    <x v="1"/>
    <x v="0"/>
    <x v="8"/>
    <x v="15"/>
    <x v="205"/>
    <x v="5"/>
    <x v="1"/>
  </r>
  <r>
    <x v="225"/>
    <x v="0"/>
    <x v="29"/>
    <x v="0"/>
    <x v="0"/>
    <x v="6"/>
    <x v="40"/>
    <x v="149"/>
    <x v="5"/>
    <x v="2"/>
  </r>
  <r>
    <x v="226"/>
    <x v="2"/>
    <x v="19"/>
    <x v="0"/>
    <x v="0"/>
    <x v="3"/>
    <x v="25"/>
    <x v="206"/>
    <x v="7"/>
    <x v="2"/>
  </r>
  <r>
    <x v="227"/>
    <x v="4"/>
    <x v="20"/>
    <x v="2"/>
    <x v="1"/>
    <x v="0"/>
    <x v="56"/>
    <x v="207"/>
    <x v="1"/>
    <x v="0"/>
  </r>
  <r>
    <x v="228"/>
    <x v="0"/>
    <x v="25"/>
    <x v="0"/>
    <x v="2"/>
    <x v="0"/>
    <x v="21"/>
    <x v="208"/>
    <x v="7"/>
    <x v="2"/>
  </r>
  <r>
    <x v="229"/>
    <x v="4"/>
    <x v="32"/>
    <x v="1"/>
    <x v="0"/>
    <x v="0"/>
    <x v="46"/>
    <x v="209"/>
    <x v="5"/>
    <x v="1"/>
  </r>
  <r>
    <x v="230"/>
    <x v="1"/>
    <x v="6"/>
    <x v="2"/>
    <x v="0"/>
    <x v="7"/>
    <x v="45"/>
    <x v="210"/>
    <x v="1"/>
    <x v="2"/>
  </r>
  <r>
    <x v="231"/>
    <x v="2"/>
    <x v="17"/>
    <x v="1"/>
    <x v="1"/>
    <x v="3"/>
    <x v="42"/>
    <x v="78"/>
    <x v="7"/>
    <x v="2"/>
  </r>
  <r>
    <x v="232"/>
    <x v="3"/>
    <x v="22"/>
    <x v="0"/>
    <x v="0"/>
    <x v="5"/>
    <x v="30"/>
    <x v="211"/>
    <x v="4"/>
    <x v="2"/>
  </r>
  <r>
    <x v="233"/>
    <x v="3"/>
    <x v="1"/>
    <x v="1"/>
    <x v="0"/>
    <x v="8"/>
    <x v="48"/>
    <x v="212"/>
    <x v="7"/>
    <x v="2"/>
  </r>
  <r>
    <x v="234"/>
    <x v="2"/>
    <x v="14"/>
    <x v="0"/>
    <x v="0"/>
    <x v="1"/>
    <x v="45"/>
    <x v="213"/>
    <x v="4"/>
    <x v="2"/>
  </r>
  <r>
    <x v="235"/>
    <x v="1"/>
    <x v="6"/>
    <x v="2"/>
    <x v="1"/>
    <x v="6"/>
    <x v="44"/>
    <x v="214"/>
    <x v="2"/>
    <x v="2"/>
  </r>
  <r>
    <x v="236"/>
    <x v="2"/>
    <x v="29"/>
    <x v="0"/>
    <x v="1"/>
    <x v="2"/>
    <x v="39"/>
    <x v="215"/>
    <x v="1"/>
    <x v="1"/>
  </r>
  <r>
    <x v="237"/>
    <x v="0"/>
    <x v="7"/>
    <x v="2"/>
    <x v="0"/>
    <x v="6"/>
    <x v="4"/>
    <x v="68"/>
    <x v="6"/>
    <x v="2"/>
  </r>
  <r>
    <x v="238"/>
    <x v="3"/>
    <x v="24"/>
    <x v="0"/>
    <x v="0"/>
    <x v="9"/>
    <x v="55"/>
    <x v="216"/>
    <x v="1"/>
    <x v="1"/>
  </r>
  <r>
    <x v="239"/>
    <x v="2"/>
    <x v="17"/>
    <x v="1"/>
    <x v="0"/>
    <x v="5"/>
    <x v="46"/>
    <x v="217"/>
    <x v="2"/>
    <x v="0"/>
  </r>
  <r>
    <x v="240"/>
    <x v="3"/>
    <x v="32"/>
    <x v="1"/>
    <x v="1"/>
    <x v="0"/>
    <x v="20"/>
    <x v="218"/>
    <x v="4"/>
    <x v="2"/>
  </r>
  <r>
    <x v="241"/>
    <x v="2"/>
    <x v="21"/>
    <x v="2"/>
    <x v="1"/>
    <x v="7"/>
    <x v="11"/>
    <x v="219"/>
    <x v="4"/>
    <x v="0"/>
  </r>
  <r>
    <x v="242"/>
    <x v="0"/>
    <x v="8"/>
    <x v="3"/>
    <x v="0"/>
    <x v="6"/>
    <x v="31"/>
    <x v="220"/>
    <x v="7"/>
    <x v="3"/>
  </r>
  <r>
    <x v="243"/>
    <x v="4"/>
    <x v="32"/>
    <x v="1"/>
    <x v="0"/>
    <x v="4"/>
    <x v="31"/>
    <x v="221"/>
    <x v="7"/>
    <x v="2"/>
  </r>
  <r>
    <x v="244"/>
    <x v="3"/>
    <x v="2"/>
    <x v="1"/>
    <x v="1"/>
    <x v="9"/>
    <x v="54"/>
    <x v="222"/>
    <x v="7"/>
    <x v="1"/>
  </r>
  <r>
    <x v="245"/>
    <x v="1"/>
    <x v="14"/>
    <x v="0"/>
    <x v="0"/>
    <x v="4"/>
    <x v="3"/>
    <x v="223"/>
    <x v="5"/>
    <x v="0"/>
  </r>
  <r>
    <x v="246"/>
    <x v="3"/>
    <x v="6"/>
    <x v="2"/>
    <x v="0"/>
    <x v="4"/>
    <x v="1"/>
    <x v="224"/>
    <x v="4"/>
    <x v="0"/>
  </r>
  <r>
    <x v="247"/>
    <x v="0"/>
    <x v="20"/>
    <x v="2"/>
    <x v="1"/>
    <x v="3"/>
    <x v="4"/>
    <x v="225"/>
    <x v="2"/>
    <x v="3"/>
  </r>
  <r>
    <x v="248"/>
    <x v="1"/>
    <x v="18"/>
    <x v="3"/>
    <x v="0"/>
    <x v="1"/>
    <x v="36"/>
    <x v="226"/>
    <x v="4"/>
    <x v="2"/>
  </r>
  <r>
    <x v="249"/>
    <x v="1"/>
    <x v="4"/>
    <x v="1"/>
    <x v="0"/>
    <x v="1"/>
    <x v="57"/>
    <x v="202"/>
    <x v="3"/>
    <x v="3"/>
  </r>
  <r>
    <x v="250"/>
    <x v="2"/>
    <x v="26"/>
    <x v="0"/>
    <x v="1"/>
    <x v="4"/>
    <x v="40"/>
    <x v="227"/>
    <x v="8"/>
    <x v="0"/>
  </r>
  <r>
    <x v="251"/>
    <x v="0"/>
    <x v="5"/>
    <x v="1"/>
    <x v="0"/>
    <x v="6"/>
    <x v="31"/>
    <x v="220"/>
    <x v="7"/>
    <x v="1"/>
  </r>
  <r>
    <x v="252"/>
    <x v="1"/>
    <x v="0"/>
    <x v="0"/>
    <x v="0"/>
    <x v="8"/>
    <x v="23"/>
    <x v="228"/>
    <x v="8"/>
    <x v="0"/>
  </r>
  <r>
    <x v="253"/>
    <x v="4"/>
    <x v="15"/>
    <x v="1"/>
    <x v="0"/>
    <x v="6"/>
    <x v="22"/>
    <x v="229"/>
    <x v="8"/>
    <x v="1"/>
  </r>
  <r>
    <x v="254"/>
    <x v="3"/>
    <x v="27"/>
    <x v="1"/>
    <x v="0"/>
    <x v="2"/>
    <x v="34"/>
    <x v="230"/>
    <x v="3"/>
    <x v="0"/>
  </r>
  <r>
    <x v="255"/>
    <x v="2"/>
    <x v="13"/>
    <x v="0"/>
    <x v="1"/>
    <x v="7"/>
    <x v="11"/>
    <x v="231"/>
    <x v="2"/>
    <x v="0"/>
  </r>
  <r>
    <x v="256"/>
    <x v="0"/>
    <x v="14"/>
    <x v="0"/>
    <x v="0"/>
    <x v="8"/>
    <x v="53"/>
    <x v="232"/>
    <x v="7"/>
    <x v="3"/>
  </r>
  <r>
    <x v="257"/>
    <x v="2"/>
    <x v="20"/>
    <x v="2"/>
    <x v="1"/>
    <x v="7"/>
    <x v="9"/>
    <x v="9"/>
    <x v="8"/>
    <x v="1"/>
  </r>
  <r>
    <x v="258"/>
    <x v="1"/>
    <x v="26"/>
    <x v="0"/>
    <x v="0"/>
    <x v="3"/>
    <x v="14"/>
    <x v="17"/>
    <x v="5"/>
    <x v="0"/>
  </r>
  <r>
    <x v="259"/>
    <x v="3"/>
    <x v="32"/>
    <x v="1"/>
    <x v="0"/>
    <x v="9"/>
    <x v="41"/>
    <x v="233"/>
    <x v="4"/>
    <x v="0"/>
  </r>
  <r>
    <x v="260"/>
    <x v="2"/>
    <x v="14"/>
    <x v="0"/>
    <x v="0"/>
    <x v="7"/>
    <x v="18"/>
    <x v="234"/>
    <x v="4"/>
    <x v="0"/>
  </r>
  <r>
    <x v="261"/>
    <x v="0"/>
    <x v="5"/>
    <x v="1"/>
    <x v="1"/>
    <x v="1"/>
    <x v="19"/>
    <x v="235"/>
    <x v="4"/>
    <x v="2"/>
  </r>
  <r>
    <x v="262"/>
    <x v="1"/>
    <x v="11"/>
    <x v="1"/>
    <x v="0"/>
    <x v="1"/>
    <x v="49"/>
    <x v="236"/>
    <x v="8"/>
    <x v="0"/>
  </r>
  <r>
    <x v="263"/>
    <x v="1"/>
    <x v="2"/>
    <x v="1"/>
    <x v="0"/>
    <x v="3"/>
    <x v="25"/>
    <x v="237"/>
    <x v="7"/>
    <x v="2"/>
  </r>
  <r>
    <x v="264"/>
    <x v="2"/>
    <x v="0"/>
    <x v="0"/>
    <x v="1"/>
    <x v="0"/>
    <x v="29"/>
    <x v="238"/>
    <x v="7"/>
    <x v="2"/>
  </r>
  <r>
    <x v="265"/>
    <x v="1"/>
    <x v="20"/>
    <x v="2"/>
    <x v="1"/>
    <x v="0"/>
    <x v="50"/>
    <x v="239"/>
    <x v="1"/>
    <x v="2"/>
  </r>
  <r>
    <x v="266"/>
    <x v="3"/>
    <x v="20"/>
    <x v="2"/>
    <x v="1"/>
    <x v="6"/>
    <x v="32"/>
    <x v="240"/>
    <x v="4"/>
    <x v="3"/>
  </r>
  <r>
    <x v="267"/>
    <x v="4"/>
    <x v="9"/>
    <x v="0"/>
    <x v="0"/>
    <x v="8"/>
    <x v="40"/>
    <x v="241"/>
    <x v="8"/>
    <x v="0"/>
  </r>
  <r>
    <x v="268"/>
    <x v="4"/>
    <x v="32"/>
    <x v="1"/>
    <x v="0"/>
    <x v="3"/>
    <x v="13"/>
    <x v="242"/>
    <x v="1"/>
    <x v="1"/>
  </r>
  <r>
    <x v="269"/>
    <x v="1"/>
    <x v="9"/>
    <x v="0"/>
    <x v="0"/>
    <x v="9"/>
    <x v="52"/>
    <x v="243"/>
    <x v="1"/>
    <x v="1"/>
  </r>
  <r>
    <x v="270"/>
    <x v="1"/>
    <x v="6"/>
    <x v="2"/>
    <x v="1"/>
    <x v="6"/>
    <x v="38"/>
    <x v="244"/>
    <x v="4"/>
    <x v="1"/>
  </r>
  <r>
    <x v="271"/>
    <x v="4"/>
    <x v="12"/>
    <x v="1"/>
    <x v="0"/>
    <x v="5"/>
    <x v="2"/>
    <x v="92"/>
    <x v="3"/>
    <x v="1"/>
  </r>
  <r>
    <x v="272"/>
    <x v="4"/>
    <x v="0"/>
    <x v="0"/>
    <x v="0"/>
    <x v="6"/>
    <x v="20"/>
    <x v="245"/>
    <x v="7"/>
    <x v="0"/>
  </r>
  <r>
    <x v="273"/>
    <x v="4"/>
    <x v="1"/>
    <x v="1"/>
    <x v="2"/>
    <x v="6"/>
    <x v="9"/>
    <x v="246"/>
    <x v="8"/>
    <x v="0"/>
  </r>
  <r>
    <x v="274"/>
    <x v="2"/>
    <x v="30"/>
    <x v="2"/>
    <x v="0"/>
    <x v="1"/>
    <x v="19"/>
    <x v="139"/>
    <x v="0"/>
    <x v="2"/>
  </r>
  <r>
    <x v="275"/>
    <x v="2"/>
    <x v="24"/>
    <x v="0"/>
    <x v="1"/>
    <x v="9"/>
    <x v="41"/>
    <x v="247"/>
    <x v="5"/>
    <x v="2"/>
  </r>
  <r>
    <x v="276"/>
    <x v="1"/>
    <x v="6"/>
    <x v="2"/>
    <x v="0"/>
    <x v="9"/>
    <x v="36"/>
    <x v="177"/>
    <x v="8"/>
    <x v="1"/>
  </r>
  <r>
    <x v="277"/>
    <x v="2"/>
    <x v="20"/>
    <x v="2"/>
    <x v="1"/>
    <x v="5"/>
    <x v="28"/>
    <x v="248"/>
    <x v="2"/>
    <x v="2"/>
  </r>
  <r>
    <x v="278"/>
    <x v="2"/>
    <x v="30"/>
    <x v="2"/>
    <x v="0"/>
    <x v="6"/>
    <x v="34"/>
    <x v="249"/>
    <x v="7"/>
    <x v="2"/>
  </r>
  <r>
    <x v="279"/>
    <x v="1"/>
    <x v="27"/>
    <x v="1"/>
    <x v="0"/>
    <x v="8"/>
    <x v="23"/>
    <x v="250"/>
    <x v="5"/>
    <x v="1"/>
  </r>
  <r>
    <x v="280"/>
    <x v="1"/>
    <x v="21"/>
    <x v="2"/>
    <x v="0"/>
    <x v="2"/>
    <x v="55"/>
    <x v="251"/>
    <x v="8"/>
    <x v="1"/>
  </r>
  <r>
    <x v="281"/>
    <x v="3"/>
    <x v="4"/>
    <x v="1"/>
    <x v="0"/>
    <x v="6"/>
    <x v="23"/>
    <x v="252"/>
    <x v="8"/>
    <x v="1"/>
  </r>
  <r>
    <x v="282"/>
    <x v="1"/>
    <x v="24"/>
    <x v="0"/>
    <x v="1"/>
    <x v="7"/>
    <x v="27"/>
    <x v="80"/>
    <x v="3"/>
    <x v="2"/>
  </r>
  <r>
    <x v="283"/>
    <x v="3"/>
    <x v="3"/>
    <x v="2"/>
    <x v="1"/>
    <x v="5"/>
    <x v="34"/>
    <x v="253"/>
    <x v="6"/>
    <x v="2"/>
  </r>
  <r>
    <x v="284"/>
    <x v="1"/>
    <x v="24"/>
    <x v="0"/>
    <x v="0"/>
    <x v="8"/>
    <x v="9"/>
    <x v="9"/>
    <x v="0"/>
    <x v="2"/>
  </r>
  <r>
    <x v="285"/>
    <x v="2"/>
    <x v="12"/>
    <x v="1"/>
    <x v="1"/>
    <x v="5"/>
    <x v="9"/>
    <x v="254"/>
    <x v="0"/>
    <x v="2"/>
  </r>
  <r>
    <x v="286"/>
    <x v="0"/>
    <x v="0"/>
    <x v="0"/>
    <x v="1"/>
    <x v="6"/>
    <x v="28"/>
    <x v="255"/>
    <x v="7"/>
    <x v="0"/>
  </r>
  <r>
    <x v="287"/>
    <x v="0"/>
    <x v="9"/>
    <x v="0"/>
    <x v="1"/>
    <x v="6"/>
    <x v="48"/>
    <x v="256"/>
    <x v="2"/>
    <x v="2"/>
  </r>
  <r>
    <x v="288"/>
    <x v="0"/>
    <x v="15"/>
    <x v="1"/>
    <x v="0"/>
    <x v="2"/>
    <x v="6"/>
    <x v="190"/>
    <x v="3"/>
    <x v="3"/>
  </r>
  <r>
    <x v="289"/>
    <x v="0"/>
    <x v="8"/>
    <x v="3"/>
    <x v="1"/>
    <x v="7"/>
    <x v="11"/>
    <x v="257"/>
    <x v="1"/>
    <x v="0"/>
  </r>
  <r>
    <x v="290"/>
    <x v="4"/>
    <x v="15"/>
    <x v="1"/>
    <x v="1"/>
    <x v="0"/>
    <x v="3"/>
    <x v="258"/>
    <x v="8"/>
    <x v="1"/>
  </r>
  <r>
    <x v="291"/>
    <x v="0"/>
    <x v="6"/>
    <x v="2"/>
    <x v="0"/>
    <x v="5"/>
    <x v="56"/>
    <x v="199"/>
    <x v="3"/>
    <x v="2"/>
  </r>
  <r>
    <x v="292"/>
    <x v="2"/>
    <x v="25"/>
    <x v="0"/>
    <x v="0"/>
    <x v="7"/>
    <x v="24"/>
    <x v="259"/>
    <x v="8"/>
    <x v="3"/>
  </r>
  <r>
    <x v="293"/>
    <x v="3"/>
    <x v="30"/>
    <x v="2"/>
    <x v="0"/>
    <x v="1"/>
    <x v="25"/>
    <x v="34"/>
    <x v="0"/>
    <x v="1"/>
  </r>
  <r>
    <x v="294"/>
    <x v="2"/>
    <x v="22"/>
    <x v="0"/>
    <x v="0"/>
    <x v="9"/>
    <x v="49"/>
    <x v="260"/>
    <x v="2"/>
    <x v="1"/>
  </r>
  <r>
    <x v="295"/>
    <x v="2"/>
    <x v="10"/>
    <x v="2"/>
    <x v="1"/>
    <x v="4"/>
    <x v="26"/>
    <x v="261"/>
    <x v="6"/>
    <x v="2"/>
  </r>
  <r>
    <x v="296"/>
    <x v="1"/>
    <x v="6"/>
    <x v="2"/>
    <x v="0"/>
    <x v="7"/>
    <x v="23"/>
    <x v="29"/>
    <x v="1"/>
    <x v="0"/>
  </r>
  <r>
    <x v="297"/>
    <x v="3"/>
    <x v="14"/>
    <x v="0"/>
    <x v="0"/>
    <x v="6"/>
    <x v="16"/>
    <x v="262"/>
    <x v="5"/>
    <x v="3"/>
  </r>
  <r>
    <x v="298"/>
    <x v="1"/>
    <x v="13"/>
    <x v="0"/>
    <x v="0"/>
    <x v="8"/>
    <x v="22"/>
    <x v="263"/>
    <x v="5"/>
    <x v="3"/>
  </r>
  <r>
    <x v="299"/>
    <x v="2"/>
    <x v="4"/>
    <x v="1"/>
    <x v="0"/>
    <x v="5"/>
    <x v="1"/>
    <x v="264"/>
    <x v="4"/>
    <x v="0"/>
  </r>
  <r>
    <x v="300"/>
    <x v="0"/>
    <x v="0"/>
    <x v="0"/>
    <x v="0"/>
    <x v="0"/>
    <x v="20"/>
    <x v="265"/>
    <x v="4"/>
    <x v="1"/>
  </r>
  <r>
    <x v="301"/>
    <x v="1"/>
    <x v="19"/>
    <x v="0"/>
    <x v="1"/>
    <x v="8"/>
    <x v="46"/>
    <x v="266"/>
    <x v="3"/>
    <x v="0"/>
  </r>
  <r>
    <x v="302"/>
    <x v="1"/>
    <x v="27"/>
    <x v="1"/>
    <x v="1"/>
    <x v="4"/>
    <x v="21"/>
    <x v="267"/>
    <x v="5"/>
    <x v="0"/>
  </r>
  <r>
    <x v="303"/>
    <x v="1"/>
    <x v="29"/>
    <x v="0"/>
    <x v="0"/>
    <x v="8"/>
    <x v="34"/>
    <x v="268"/>
    <x v="3"/>
    <x v="0"/>
  </r>
  <r>
    <x v="304"/>
    <x v="2"/>
    <x v="8"/>
    <x v="3"/>
    <x v="0"/>
    <x v="7"/>
    <x v="43"/>
    <x v="269"/>
    <x v="4"/>
    <x v="1"/>
  </r>
  <r>
    <x v="305"/>
    <x v="0"/>
    <x v="20"/>
    <x v="2"/>
    <x v="1"/>
    <x v="3"/>
    <x v="48"/>
    <x v="102"/>
    <x v="8"/>
    <x v="2"/>
  </r>
  <r>
    <x v="306"/>
    <x v="3"/>
    <x v="15"/>
    <x v="1"/>
    <x v="0"/>
    <x v="0"/>
    <x v="28"/>
    <x v="270"/>
    <x v="8"/>
    <x v="0"/>
  </r>
  <r>
    <x v="307"/>
    <x v="2"/>
    <x v="30"/>
    <x v="2"/>
    <x v="1"/>
    <x v="8"/>
    <x v="53"/>
    <x v="271"/>
    <x v="0"/>
    <x v="0"/>
  </r>
  <r>
    <x v="308"/>
    <x v="0"/>
    <x v="10"/>
    <x v="2"/>
    <x v="0"/>
    <x v="3"/>
    <x v="11"/>
    <x v="272"/>
    <x v="1"/>
    <x v="2"/>
  </r>
  <r>
    <x v="309"/>
    <x v="2"/>
    <x v="6"/>
    <x v="2"/>
    <x v="1"/>
    <x v="2"/>
    <x v="57"/>
    <x v="273"/>
    <x v="3"/>
    <x v="0"/>
  </r>
  <r>
    <x v="310"/>
    <x v="4"/>
    <x v="29"/>
    <x v="0"/>
    <x v="0"/>
    <x v="2"/>
    <x v="18"/>
    <x v="274"/>
    <x v="3"/>
    <x v="1"/>
  </r>
  <r>
    <x v="311"/>
    <x v="2"/>
    <x v="11"/>
    <x v="1"/>
    <x v="2"/>
    <x v="1"/>
    <x v="53"/>
    <x v="275"/>
    <x v="2"/>
    <x v="0"/>
  </r>
  <r>
    <x v="312"/>
    <x v="1"/>
    <x v="15"/>
    <x v="1"/>
    <x v="1"/>
    <x v="2"/>
    <x v="51"/>
    <x v="276"/>
    <x v="8"/>
    <x v="2"/>
  </r>
  <r>
    <x v="313"/>
    <x v="2"/>
    <x v="9"/>
    <x v="0"/>
    <x v="1"/>
    <x v="9"/>
    <x v="42"/>
    <x v="78"/>
    <x v="7"/>
    <x v="1"/>
  </r>
  <r>
    <x v="314"/>
    <x v="0"/>
    <x v="19"/>
    <x v="0"/>
    <x v="0"/>
    <x v="2"/>
    <x v="13"/>
    <x v="47"/>
    <x v="4"/>
    <x v="2"/>
  </r>
  <r>
    <x v="315"/>
    <x v="1"/>
    <x v="14"/>
    <x v="0"/>
    <x v="0"/>
    <x v="2"/>
    <x v="30"/>
    <x v="277"/>
    <x v="2"/>
    <x v="2"/>
  </r>
  <r>
    <x v="316"/>
    <x v="0"/>
    <x v="22"/>
    <x v="0"/>
    <x v="0"/>
    <x v="6"/>
    <x v="1"/>
    <x v="278"/>
    <x v="1"/>
    <x v="1"/>
  </r>
  <r>
    <x v="317"/>
    <x v="1"/>
    <x v="12"/>
    <x v="1"/>
    <x v="0"/>
    <x v="3"/>
    <x v="11"/>
    <x v="279"/>
    <x v="7"/>
    <x v="0"/>
  </r>
  <r>
    <x v="318"/>
    <x v="2"/>
    <x v="12"/>
    <x v="1"/>
    <x v="1"/>
    <x v="1"/>
    <x v="31"/>
    <x v="137"/>
    <x v="2"/>
    <x v="0"/>
  </r>
  <r>
    <x v="319"/>
    <x v="2"/>
    <x v="11"/>
    <x v="1"/>
    <x v="1"/>
    <x v="1"/>
    <x v="40"/>
    <x v="280"/>
    <x v="2"/>
    <x v="3"/>
  </r>
  <r>
    <x v="320"/>
    <x v="1"/>
    <x v="11"/>
    <x v="1"/>
    <x v="1"/>
    <x v="0"/>
    <x v="24"/>
    <x v="281"/>
    <x v="0"/>
    <x v="3"/>
  </r>
  <r>
    <x v="321"/>
    <x v="0"/>
    <x v="25"/>
    <x v="0"/>
    <x v="1"/>
    <x v="9"/>
    <x v="20"/>
    <x v="282"/>
    <x v="2"/>
    <x v="1"/>
  </r>
  <r>
    <x v="322"/>
    <x v="4"/>
    <x v="12"/>
    <x v="1"/>
    <x v="1"/>
    <x v="7"/>
    <x v="46"/>
    <x v="283"/>
    <x v="4"/>
    <x v="2"/>
  </r>
  <r>
    <x v="323"/>
    <x v="4"/>
    <x v="16"/>
    <x v="3"/>
    <x v="0"/>
    <x v="8"/>
    <x v="36"/>
    <x v="284"/>
    <x v="6"/>
    <x v="3"/>
  </r>
  <r>
    <x v="324"/>
    <x v="4"/>
    <x v="23"/>
    <x v="3"/>
    <x v="1"/>
    <x v="3"/>
    <x v="22"/>
    <x v="285"/>
    <x v="8"/>
    <x v="2"/>
  </r>
  <r>
    <x v="325"/>
    <x v="0"/>
    <x v="24"/>
    <x v="0"/>
    <x v="1"/>
    <x v="1"/>
    <x v="51"/>
    <x v="286"/>
    <x v="3"/>
    <x v="1"/>
  </r>
  <r>
    <x v="326"/>
    <x v="0"/>
    <x v="3"/>
    <x v="2"/>
    <x v="0"/>
    <x v="2"/>
    <x v="7"/>
    <x v="287"/>
    <x v="4"/>
    <x v="2"/>
  </r>
  <r>
    <x v="327"/>
    <x v="2"/>
    <x v="11"/>
    <x v="1"/>
    <x v="1"/>
    <x v="7"/>
    <x v="26"/>
    <x v="128"/>
    <x v="5"/>
    <x v="2"/>
  </r>
  <r>
    <x v="328"/>
    <x v="3"/>
    <x v="6"/>
    <x v="2"/>
    <x v="0"/>
    <x v="7"/>
    <x v="24"/>
    <x v="288"/>
    <x v="2"/>
    <x v="2"/>
  </r>
  <r>
    <x v="329"/>
    <x v="1"/>
    <x v="24"/>
    <x v="0"/>
    <x v="1"/>
    <x v="3"/>
    <x v="17"/>
    <x v="289"/>
    <x v="8"/>
    <x v="0"/>
  </r>
  <r>
    <x v="330"/>
    <x v="0"/>
    <x v="23"/>
    <x v="3"/>
    <x v="0"/>
    <x v="0"/>
    <x v="12"/>
    <x v="290"/>
    <x v="4"/>
    <x v="2"/>
  </r>
  <r>
    <x v="331"/>
    <x v="2"/>
    <x v="3"/>
    <x v="2"/>
    <x v="1"/>
    <x v="1"/>
    <x v="17"/>
    <x v="20"/>
    <x v="5"/>
    <x v="1"/>
  </r>
  <r>
    <x v="332"/>
    <x v="3"/>
    <x v="0"/>
    <x v="0"/>
    <x v="1"/>
    <x v="9"/>
    <x v="2"/>
    <x v="2"/>
    <x v="5"/>
    <x v="1"/>
  </r>
  <r>
    <x v="333"/>
    <x v="2"/>
    <x v="2"/>
    <x v="1"/>
    <x v="1"/>
    <x v="2"/>
    <x v="13"/>
    <x v="291"/>
    <x v="7"/>
    <x v="1"/>
  </r>
  <r>
    <x v="334"/>
    <x v="2"/>
    <x v="4"/>
    <x v="1"/>
    <x v="0"/>
    <x v="9"/>
    <x v="26"/>
    <x v="292"/>
    <x v="3"/>
    <x v="0"/>
  </r>
  <r>
    <x v="335"/>
    <x v="2"/>
    <x v="14"/>
    <x v="0"/>
    <x v="1"/>
    <x v="7"/>
    <x v="17"/>
    <x v="293"/>
    <x v="1"/>
    <x v="0"/>
  </r>
  <r>
    <x v="336"/>
    <x v="1"/>
    <x v="15"/>
    <x v="1"/>
    <x v="0"/>
    <x v="8"/>
    <x v="34"/>
    <x v="294"/>
    <x v="0"/>
    <x v="2"/>
  </r>
  <r>
    <x v="337"/>
    <x v="3"/>
    <x v="5"/>
    <x v="1"/>
    <x v="1"/>
    <x v="0"/>
    <x v="37"/>
    <x v="295"/>
    <x v="8"/>
    <x v="3"/>
  </r>
  <r>
    <x v="338"/>
    <x v="2"/>
    <x v="27"/>
    <x v="1"/>
    <x v="0"/>
    <x v="6"/>
    <x v="2"/>
    <x v="92"/>
    <x v="6"/>
    <x v="1"/>
  </r>
  <r>
    <x v="339"/>
    <x v="2"/>
    <x v="12"/>
    <x v="1"/>
    <x v="2"/>
    <x v="9"/>
    <x v="14"/>
    <x v="21"/>
    <x v="0"/>
    <x v="2"/>
  </r>
  <r>
    <x v="340"/>
    <x v="1"/>
    <x v="9"/>
    <x v="0"/>
    <x v="0"/>
    <x v="6"/>
    <x v="55"/>
    <x v="296"/>
    <x v="0"/>
    <x v="0"/>
  </r>
  <r>
    <x v="341"/>
    <x v="4"/>
    <x v="11"/>
    <x v="1"/>
    <x v="1"/>
    <x v="4"/>
    <x v="38"/>
    <x v="297"/>
    <x v="4"/>
    <x v="1"/>
  </r>
  <r>
    <x v="342"/>
    <x v="0"/>
    <x v="21"/>
    <x v="2"/>
    <x v="1"/>
    <x v="2"/>
    <x v="34"/>
    <x v="294"/>
    <x v="3"/>
    <x v="2"/>
  </r>
  <r>
    <x v="343"/>
    <x v="2"/>
    <x v="9"/>
    <x v="0"/>
    <x v="0"/>
    <x v="8"/>
    <x v="32"/>
    <x v="298"/>
    <x v="1"/>
    <x v="2"/>
  </r>
  <r>
    <x v="344"/>
    <x v="4"/>
    <x v="14"/>
    <x v="0"/>
    <x v="1"/>
    <x v="8"/>
    <x v="21"/>
    <x v="116"/>
    <x v="4"/>
    <x v="2"/>
  </r>
  <r>
    <x v="345"/>
    <x v="2"/>
    <x v="6"/>
    <x v="2"/>
    <x v="1"/>
    <x v="5"/>
    <x v="31"/>
    <x v="299"/>
    <x v="2"/>
    <x v="2"/>
  </r>
  <r>
    <x v="346"/>
    <x v="4"/>
    <x v="0"/>
    <x v="0"/>
    <x v="1"/>
    <x v="6"/>
    <x v="12"/>
    <x v="300"/>
    <x v="5"/>
    <x v="0"/>
  </r>
  <r>
    <x v="347"/>
    <x v="0"/>
    <x v="32"/>
    <x v="1"/>
    <x v="0"/>
    <x v="4"/>
    <x v="30"/>
    <x v="301"/>
    <x v="2"/>
    <x v="2"/>
  </r>
  <r>
    <x v="348"/>
    <x v="2"/>
    <x v="0"/>
    <x v="0"/>
    <x v="1"/>
    <x v="1"/>
    <x v="15"/>
    <x v="302"/>
    <x v="5"/>
    <x v="0"/>
  </r>
  <r>
    <x v="349"/>
    <x v="4"/>
    <x v="32"/>
    <x v="1"/>
    <x v="0"/>
    <x v="0"/>
    <x v="23"/>
    <x v="303"/>
    <x v="8"/>
    <x v="0"/>
  </r>
  <r>
    <x v="350"/>
    <x v="3"/>
    <x v="6"/>
    <x v="2"/>
    <x v="0"/>
    <x v="4"/>
    <x v="5"/>
    <x v="304"/>
    <x v="3"/>
    <x v="1"/>
  </r>
  <r>
    <x v="351"/>
    <x v="2"/>
    <x v="24"/>
    <x v="0"/>
    <x v="1"/>
    <x v="9"/>
    <x v="50"/>
    <x v="164"/>
    <x v="1"/>
    <x v="2"/>
  </r>
  <r>
    <x v="352"/>
    <x v="1"/>
    <x v="12"/>
    <x v="1"/>
    <x v="0"/>
    <x v="9"/>
    <x v="45"/>
    <x v="305"/>
    <x v="1"/>
    <x v="3"/>
  </r>
  <r>
    <x v="353"/>
    <x v="0"/>
    <x v="9"/>
    <x v="0"/>
    <x v="1"/>
    <x v="2"/>
    <x v="48"/>
    <x v="256"/>
    <x v="0"/>
    <x v="1"/>
  </r>
  <r>
    <x v="354"/>
    <x v="0"/>
    <x v="27"/>
    <x v="1"/>
    <x v="0"/>
    <x v="6"/>
    <x v="55"/>
    <x v="306"/>
    <x v="4"/>
    <x v="1"/>
  </r>
  <r>
    <x v="355"/>
    <x v="1"/>
    <x v="10"/>
    <x v="2"/>
    <x v="1"/>
    <x v="8"/>
    <x v="51"/>
    <x v="307"/>
    <x v="6"/>
    <x v="1"/>
  </r>
  <r>
    <x v="356"/>
    <x v="4"/>
    <x v="17"/>
    <x v="1"/>
    <x v="0"/>
    <x v="2"/>
    <x v="44"/>
    <x v="308"/>
    <x v="7"/>
    <x v="2"/>
  </r>
  <r>
    <x v="357"/>
    <x v="1"/>
    <x v="0"/>
    <x v="0"/>
    <x v="0"/>
    <x v="4"/>
    <x v="25"/>
    <x v="309"/>
    <x v="1"/>
    <x v="0"/>
  </r>
  <r>
    <x v="358"/>
    <x v="2"/>
    <x v="20"/>
    <x v="2"/>
    <x v="0"/>
    <x v="4"/>
    <x v="51"/>
    <x v="310"/>
    <x v="8"/>
    <x v="2"/>
  </r>
  <r>
    <x v="359"/>
    <x v="3"/>
    <x v="7"/>
    <x v="2"/>
    <x v="0"/>
    <x v="0"/>
    <x v="15"/>
    <x v="18"/>
    <x v="3"/>
    <x v="2"/>
  </r>
  <r>
    <x v="360"/>
    <x v="1"/>
    <x v="4"/>
    <x v="1"/>
    <x v="1"/>
    <x v="4"/>
    <x v="52"/>
    <x v="311"/>
    <x v="3"/>
    <x v="0"/>
  </r>
  <r>
    <x v="361"/>
    <x v="0"/>
    <x v="32"/>
    <x v="1"/>
    <x v="0"/>
    <x v="1"/>
    <x v="12"/>
    <x v="312"/>
    <x v="3"/>
    <x v="2"/>
  </r>
  <r>
    <x v="362"/>
    <x v="2"/>
    <x v="24"/>
    <x v="0"/>
    <x v="1"/>
    <x v="9"/>
    <x v="17"/>
    <x v="313"/>
    <x v="2"/>
    <x v="2"/>
  </r>
  <r>
    <x v="363"/>
    <x v="0"/>
    <x v="17"/>
    <x v="1"/>
    <x v="0"/>
    <x v="0"/>
    <x v="38"/>
    <x v="314"/>
    <x v="2"/>
    <x v="2"/>
  </r>
  <r>
    <x v="364"/>
    <x v="4"/>
    <x v="13"/>
    <x v="0"/>
    <x v="0"/>
    <x v="2"/>
    <x v="13"/>
    <x v="315"/>
    <x v="2"/>
    <x v="0"/>
  </r>
  <r>
    <x v="365"/>
    <x v="1"/>
    <x v="12"/>
    <x v="1"/>
    <x v="1"/>
    <x v="0"/>
    <x v="26"/>
    <x v="316"/>
    <x v="2"/>
    <x v="2"/>
  </r>
  <r>
    <x v="366"/>
    <x v="4"/>
    <x v="6"/>
    <x v="2"/>
    <x v="1"/>
    <x v="7"/>
    <x v="41"/>
    <x v="67"/>
    <x v="0"/>
    <x v="0"/>
  </r>
  <r>
    <x v="367"/>
    <x v="2"/>
    <x v="32"/>
    <x v="1"/>
    <x v="1"/>
    <x v="5"/>
    <x v="27"/>
    <x v="317"/>
    <x v="3"/>
    <x v="1"/>
  </r>
  <r>
    <x v="368"/>
    <x v="0"/>
    <x v="9"/>
    <x v="0"/>
    <x v="0"/>
    <x v="6"/>
    <x v="52"/>
    <x v="318"/>
    <x v="5"/>
    <x v="2"/>
  </r>
  <r>
    <x v="369"/>
    <x v="4"/>
    <x v="4"/>
    <x v="1"/>
    <x v="0"/>
    <x v="7"/>
    <x v="54"/>
    <x v="166"/>
    <x v="6"/>
    <x v="2"/>
  </r>
  <r>
    <x v="370"/>
    <x v="2"/>
    <x v="20"/>
    <x v="2"/>
    <x v="0"/>
    <x v="2"/>
    <x v="0"/>
    <x v="319"/>
    <x v="7"/>
    <x v="1"/>
  </r>
  <r>
    <x v="371"/>
    <x v="4"/>
    <x v="23"/>
    <x v="3"/>
    <x v="1"/>
    <x v="6"/>
    <x v="35"/>
    <x v="50"/>
    <x v="5"/>
    <x v="0"/>
  </r>
  <r>
    <x v="372"/>
    <x v="1"/>
    <x v="14"/>
    <x v="0"/>
    <x v="1"/>
    <x v="9"/>
    <x v="33"/>
    <x v="320"/>
    <x v="5"/>
    <x v="2"/>
  </r>
  <r>
    <x v="373"/>
    <x v="1"/>
    <x v="0"/>
    <x v="0"/>
    <x v="1"/>
    <x v="7"/>
    <x v="19"/>
    <x v="321"/>
    <x v="6"/>
    <x v="2"/>
  </r>
  <r>
    <x v="374"/>
    <x v="1"/>
    <x v="13"/>
    <x v="0"/>
    <x v="0"/>
    <x v="9"/>
    <x v="54"/>
    <x v="322"/>
    <x v="0"/>
    <x v="2"/>
  </r>
  <r>
    <x v="375"/>
    <x v="2"/>
    <x v="6"/>
    <x v="2"/>
    <x v="0"/>
    <x v="4"/>
    <x v="16"/>
    <x v="323"/>
    <x v="4"/>
    <x v="2"/>
  </r>
  <r>
    <x v="376"/>
    <x v="1"/>
    <x v="9"/>
    <x v="0"/>
    <x v="0"/>
    <x v="2"/>
    <x v="40"/>
    <x v="324"/>
    <x v="1"/>
    <x v="1"/>
  </r>
  <r>
    <x v="377"/>
    <x v="2"/>
    <x v="32"/>
    <x v="1"/>
    <x v="1"/>
    <x v="9"/>
    <x v="12"/>
    <x v="325"/>
    <x v="5"/>
    <x v="1"/>
  </r>
  <r>
    <x v="378"/>
    <x v="2"/>
    <x v="12"/>
    <x v="1"/>
    <x v="1"/>
    <x v="6"/>
    <x v="46"/>
    <x v="326"/>
    <x v="2"/>
    <x v="1"/>
  </r>
  <r>
    <x v="379"/>
    <x v="3"/>
    <x v="26"/>
    <x v="0"/>
    <x v="0"/>
    <x v="6"/>
    <x v="58"/>
    <x v="327"/>
    <x v="7"/>
    <x v="2"/>
  </r>
  <r>
    <x v="380"/>
    <x v="2"/>
    <x v="0"/>
    <x v="0"/>
    <x v="1"/>
    <x v="4"/>
    <x v="53"/>
    <x v="328"/>
    <x v="4"/>
    <x v="3"/>
  </r>
  <r>
    <x v="381"/>
    <x v="2"/>
    <x v="9"/>
    <x v="0"/>
    <x v="1"/>
    <x v="0"/>
    <x v="40"/>
    <x v="329"/>
    <x v="7"/>
    <x v="2"/>
  </r>
  <r>
    <x v="382"/>
    <x v="2"/>
    <x v="16"/>
    <x v="3"/>
    <x v="0"/>
    <x v="3"/>
    <x v="31"/>
    <x v="220"/>
    <x v="2"/>
    <x v="2"/>
  </r>
  <r>
    <x v="383"/>
    <x v="0"/>
    <x v="15"/>
    <x v="1"/>
    <x v="1"/>
    <x v="5"/>
    <x v="24"/>
    <x v="330"/>
    <x v="5"/>
    <x v="2"/>
  </r>
  <r>
    <x v="384"/>
    <x v="0"/>
    <x v="6"/>
    <x v="2"/>
    <x v="1"/>
    <x v="0"/>
    <x v="7"/>
    <x v="331"/>
    <x v="7"/>
    <x v="1"/>
  </r>
  <r>
    <x v="385"/>
    <x v="2"/>
    <x v="1"/>
    <x v="1"/>
    <x v="0"/>
    <x v="4"/>
    <x v="55"/>
    <x v="332"/>
    <x v="7"/>
    <x v="0"/>
  </r>
  <r>
    <x v="386"/>
    <x v="0"/>
    <x v="10"/>
    <x v="2"/>
    <x v="0"/>
    <x v="4"/>
    <x v="59"/>
    <x v="333"/>
    <x v="2"/>
    <x v="0"/>
  </r>
  <r>
    <x v="387"/>
    <x v="1"/>
    <x v="3"/>
    <x v="2"/>
    <x v="0"/>
    <x v="5"/>
    <x v="26"/>
    <x v="334"/>
    <x v="0"/>
    <x v="0"/>
  </r>
  <r>
    <x v="388"/>
    <x v="0"/>
    <x v="3"/>
    <x v="2"/>
    <x v="0"/>
    <x v="7"/>
    <x v="24"/>
    <x v="335"/>
    <x v="2"/>
    <x v="1"/>
  </r>
  <r>
    <x v="389"/>
    <x v="1"/>
    <x v="0"/>
    <x v="0"/>
    <x v="0"/>
    <x v="4"/>
    <x v="51"/>
    <x v="146"/>
    <x v="0"/>
    <x v="0"/>
  </r>
  <r>
    <x v="390"/>
    <x v="3"/>
    <x v="24"/>
    <x v="0"/>
    <x v="1"/>
    <x v="2"/>
    <x v="19"/>
    <x v="336"/>
    <x v="4"/>
    <x v="0"/>
  </r>
  <r>
    <x v="391"/>
    <x v="0"/>
    <x v="12"/>
    <x v="1"/>
    <x v="0"/>
    <x v="5"/>
    <x v="19"/>
    <x v="336"/>
    <x v="5"/>
    <x v="2"/>
  </r>
  <r>
    <x v="392"/>
    <x v="3"/>
    <x v="12"/>
    <x v="1"/>
    <x v="0"/>
    <x v="6"/>
    <x v="46"/>
    <x v="217"/>
    <x v="3"/>
    <x v="1"/>
  </r>
  <r>
    <x v="393"/>
    <x v="1"/>
    <x v="32"/>
    <x v="1"/>
    <x v="0"/>
    <x v="9"/>
    <x v="41"/>
    <x v="337"/>
    <x v="5"/>
    <x v="2"/>
  </r>
  <r>
    <x v="394"/>
    <x v="0"/>
    <x v="6"/>
    <x v="2"/>
    <x v="0"/>
    <x v="9"/>
    <x v="19"/>
    <x v="338"/>
    <x v="5"/>
    <x v="0"/>
  </r>
  <r>
    <x v="395"/>
    <x v="0"/>
    <x v="31"/>
    <x v="3"/>
    <x v="0"/>
    <x v="4"/>
    <x v="37"/>
    <x v="339"/>
    <x v="5"/>
    <x v="0"/>
  </r>
  <r>
    <x v="396"/>
    <x v="2"/>
    <x v="6"/>
    <x v="2"/>
    <x v="1"/>
    <x v="0"/>
    <x v="44"/>
    <x v="340"/>
    <x v="7"/>
    <x v="0"/>
  </r>
  <r>
    <x v="397"/>
    <x v="2"/>
    <x v="21"/>
    <x v="2"/>
    <x v="0"/>
    <x v="5"/>
    <x v="47"/>
    <x v="341"/>
    <x v="5"/>
    <x v="1"/>
  </r>
  <r>
    <x v="398"/>
    <x v="3"/>
    <x v="23"/>
    <x v="3"/>
    <x v="1"/>
    <x v="2"/>
    <x v="31"/>
    <x v="342"/>
    <x v="6"/>
    <x v="3"/>
  </r>
  <r>
    <x v="399"/>
    <x v="1"/>
    <x v="22"/>
    <x v="0"/>
    <x v="1"/>
    <x v="7"/>
    <x v="45"/>
    <x v="343"/>
    <x v="3"/>
    <x v="0"/>
  </r>
  <r>
    <x v="400"/>
    <x v="1"/>
    <x v="22"/>
    <x v="0"/>
    <x v="0"/>
    <x v="6"/>
    <x v="58"/>
    <x v="344"/>
    <x v="0"/>
    <x v="2"/>
  </r>
  <r>
    <x v="401"/>
    <x v="3"/>
    <x v="16"/>
    <x v="3"/>
    <x v="0"/>
    <x v="0"/>
    <x v="23"/>
    <x v="345"/>
    <x v="5"/>
    <x v="1"/>
  </r>
  <r>
    <x v="402"/>
    <x v="2"/>
    <x v="16"/>
    <x v="3"/>
    <x v="0"/>
    <x v="4"/>
    <x v="35"/>
    <x v="346"/>
    <x v="6"/>
    <x v="1"/>
  </r>
  <r>
    <x v="403"/>
    <x v="1"/>
    <x v="25"/>
    <x v="0"/>
    <x v="0"/>
    <x v="4"/>
    <x v="51"/>
    <x v="347"/>
    <x v="8"/>
    <x v="0"/>
  </r>
  <r>
    <x v="404"/>
    <x v="1"/>
    <x v="17"/>
    <x v="1"/>
    <x v="0"/>
    <x v="7"/>
    <x v="32"/>
    <x v="348"/>
    <x v="0"/>
    <x v="2"/>
  </r>
  <r>
    <x v="405"/>
    <x v="3"/>
    <x v="1"/>
    <x v="1"/>
    <x v="0"/>
    <x v="7"/>
    <x v="17"/>
    <x v="349"/>
    <x v="2"/>
    <x v="1"/>
  </r>
  <r>
    <x v="406"/>
    <x v="0"/>
    <x v="12"/>
    <x v="1"/>
    <x v="1"/>
    <x v="5"/>
    <x v="17"/>
    <x v="350"/>
    <x v="4"/>
    <x v="1"/>
  </r>
  <r>
    <x v="407"/>
    <x v="0"/>
    <x v="30"/>
    <x v="2"/>
    <x v="1"/>
    <x v="3"/>
    <x v="10"/>
    <x v="351"/>
    <x v="0"/>
    <x v="0"/>
  </r>
  <r>
    <x v="408"/>
    <x v="4"/>
    <x v="20"/>
    <x v="2"/>
    <x v="1"/>
    <x v="8"/>
    <x v="14"/>
    <x v="352"/>
    <x v="6"/>
    <x v="0"/>
  </r>
  <r>
    <x v="409"/>
    <x v="0"/>
    <x v="4"/>
    <x v="1"/>
    <x v="1"/>
    <x v="5"/>
    <x v="57"/>
    <x v="353"/>
    <x v="2"/>
    <x v="0"/>
  </r>
  <r>
    <x v="410"/>
    <x v="1"/>
    <x v="26"/>
    <x v="0"/>
    <x v="1"/>
    <x v="0"/>
    <x v="21"/>
    <x v="354"/>
    <x v="8"/>
    <x v="3"/>
  </r>
  <r>
    <x v="411"/>
    <x v="0"/>
    <x v="11"/>
    <x v="1"/>
    <x v="0"/>
    <x v="7"/>
    <x v="40"/>
    <x v="280"/>
    <x v="4"/>
    <x v="2"/>
  </r>
  <r>
    <x v="412"/>
    <x v="4"/>
    <x v="11"/>
    <x v="1"/>
    <x v="1"/>
    <x v="2"/>
    <x v="6"/>
    <x v="355"/>
    <x v="4"/>
    <x v="0"/>
  </r>
  <r>
    <x v="413"/>
    <x v="2"/>
    <x v="7"/>
    <x v="2"/>
    <x v="0"/>
    <x v="2"/>
    <x v="49"/>
    <x v="142"/>
    <x v="5"/>
    <x v="2"/>
  </r>
  <r>
    <x v="414"/>
    <x v="4"/>
    <x v="2"/>
    <x v="1"/>
    <x v="0"/>
    <x v="4"/>
    <x v="7"/>
    <x v="356"/>
    <x v="5"/>
    <x v="3"/>
  </r>
  <r>
    <x v="415"/>
    <x v="4"/>
    <x v="2"/>
    <x v="1"/>
    <x v="1"/>
    <x v="6"/>
    <x v="47"/>
    <x v="357"/>
    <x v="2"/>
    <x v="2"/>
  </r>
  <r>
    <x v="416"/>
    <x v="2"/>
    <x v="28"/>
    <x v="3"/>
    <x v="0"/>
    <x v="1"/>
    <x v="16"/>
    <x v="358"/>
    <x v="8"/>
    <x v="0"/>
  </r>
  <r>
    <x v="417"/>
    <x v="0"/>
    <x v="19"/>
    <x v="0"/>
    <x v="1"/>
    <x v="2"/>
    <x v="52"/>
    <x v="359"/>
    <x v="4"/>
    <x v="2"/>
  </r>
  <r>
    <x v="418"/>
    <x v="1"/>
    <x v="14"/>
    <x v="0"/>
    <x v="2"/>
    <x v="4"/>
    <x v="35"/>
    <x v="360"/>
    <x v="5"/>
    <x v="1"/>
  </r>
  <r>
    <x v="419"/>
    <x v="1"/>
    <x v="25"/>
    <x v="0"/>
    <x v="0"/>
    <x v="9"/>
    <x v="9"/>
    <x v="361"/>
    <x v="7"/>
    <x v="0"/>
  </r>
  <r>
    <x v="420"/>
    <x v="3"/>
    <x v="12"/>
    <x v="1"/>
    <x v="0"/>
    <x v="9"/>
    <x v="32"/>
    <x v="44"/>
    <x v="2"/>
    <x v="2"/>
  </r>
  <r>
    <x v="421"/>
    <x v="2"/>
    <x v="31"/>
    <x v="3"/>
    <x v="1"/>
    <x v="1"/>
    <x v="59"/>
    <x v="362"/>
    <x v="3"/>
    <x v="1"/>
  </r>
  <r>
    <x v="422"/>
    <x v="0"/>
    <x v="0"/>
    <x v="0"/>
    <x v="0"/>
    <x v="3"/>
    <x v="51"/>
    <x v="363"/>
    <x v="6"/>
    <x v="1"/>
  </r>
  <r>
    <x v="423"/>
    <x v="4"/>
    <x v="20"/>
    <x v="2"/>
    <x v="0"/>
    <x v="0"/>
    <x v="26"/>
    <x v="364"/>
    <x v="3"/>
    <x v="2"/>
  </r>
  <r>
    <x v="424"/>
    <x v="0"/>
    <x v="13"/>
    <x v="0"/>
    <x v="1"/>
    <x v="5"/>
    <x v="26"/>
    <x v="365"/>
    <x v="4"/>
    <x v="1"/>
  </r>
  <r>
    <x v="425"/>
    <x v="2"/>
    <x v="6"/>
    <x v="2"/>
    <x v="1"/>
    <x v="9"/>
    <x v="37"/>
    <x v="366"/>
    <x v="8"/>
    <x v="1"/>
  </r>
  <r>
    <x v="426"/>
    <x v="1"/>
    <x v="15"/>
    <x v="1"/>
    <x v="0"/>
    <x v="4"/>
    <x v="27"/>
    <x v="88"/>
    <x v="8"/>
    <x v="1"/>
  </r>
  <r>
    <x v="427"/>
    <x v="4"/>
    <x v="0"/>
    <x v="0"/>
    <x v="0"/>
    <x v="5"/>
    <x v="24"/>
    <x v="281"/>
    <x v="6"/>
    <x v="1"/>
  </r>
  <r>
    <x v="428"/>
    <x v="2"/>
    <x v="17"/>
    <x v="1"/>
    <x v="0"/>
    <x v="5"/>
    <x v="23"/>
    <x v="367"/>
    <x v="0"/>
    <x v="2"/>
  </r>
  <r>
    <x v="429"/>
    <x v="1"/>
    <x v="33"/>
    <x v="3"/>
    <x v="1"/>
    <x v="1"/>
    <x v="22"/>
    <x v="368"/>
    <x v="3"/>
    <x v="0"/>
  </r>
  <r>
    <x v="430"/>
    <x v="4"/>
    <x v="36"/>
    <x v="4"/>
    <x v="1"/>
    <x v="4"/>
    <x v="39"/>
    <x v="369"/>
    <x v="5"/>
    <x v="2"/>
  </r>
  <r>
    <x v="431"/>
    <x v="1"/>
    <x v="27"/>
    <x v="1"/>
    <x v="1"/>
    <x v="4"/>
    <x v="7"/>
    <x v="370"/>
    <x v="4"/>
    <x v="1"/>
  </r>
  <r>
    <x v="432"/>
    <x v="2"/>
    <x v="4"/>
    <x v="1"/>
    <x v="0"/>
    <x v="8"/>
    <x v="57"/>
    <x v="371"/>
    <x v="3"/>
    <x v="1"/>
  </r>
  <r>
    <x v="433"/>
    <x v="2"/>
    <x v="24"/>
    <x v="0"/>
    <x v="0"/>
    <x v="9"/>
    <x v="54"/>
    <x v="372"/>
    <x v="5"/>
    <x v="0"/>
  </r>
  <r>
    <x v="434"/>
    <x v="0"/>
    <x v="1"/>
    <x v="1"/>
    <x v="0"/>
    <x v="8"/>
    <x v="20"/>
    <x v="373"/>
    <x v="2"/>
    <x v="1"/>
  </r>
  <r>
    <x v="435"/>
    <x v="2"/>
    <x v="9"/>
    <x v="0"/>
    <x v="0"/>
    <x v="2"/>
    <x v="25"/>
    <x v="374"/>
    <x v="3"/>
    <x v="2"/>
  </r>
  <r>
    <x v="436"/>
    <x v="3"/>
    <x v="15"/>
    <x v="1"/>
    <x v="1"/>
    <x v="1"/>
    <x v="32"/>
    <x v="375"/>
    <x v="2"/>
    <x v="2"/>
  </r>
  <r>
    <x v="437"/>
    <x v="3"/>
    <x v="27"/>
    <x v="1"/>
    <x v="0"/>
    <x v="2"/>
    <x v="19"/>
    <x v="376"/>
    <x v="5"/>
    <x v="2"/>
  </r>
  <r>
    <x v="438"/>
    <x v="0"/>
    <x v="25"/>
    <x v="0"/>
    <x v="1"/>
    <x v="9"/>
    <x v="28"/>
    <x v="377"/>
    <x v="2"/>
    <x v="2"/>
  </r>
  <r>
    <x v="439"/>
    <x v="0"/>
    <x v="0"/>
    <x v="0"/>
    <x v="0"/>
    <x v="7"/>
    <x v="44"/>
    <x v="378"/>
    <x v="6"/>
    <x v="1"/>
  </r>
  <r>
    <x v="440"/>
    <x v="0"/>
    <x v="6"/>
    <x v="2"/>
    <x v="1"/>
    <x v="5"/>
    <x v="3"/>
    <x v="379"/>
    <x v="1"/>
    <x v="0"/>
  </r>
  <r>
    <x v="441"/>
    <x v="0"/>
    <x v="25"/>
    <x v="0"/>
    <x v="2"/>
    <x v="8"/>
    <x v="8"/>
    <x v="380"/>
    <x v="7"/>
    <x v="2"/>
  </r>
  <r>
    <x v="442"/>
    <x v="2"/>
    <x v="10"/>
    <x v="2"/>
    <x v="1"/>
    <x v="5"/>
    <x v="46"/>
    <x v="381"/>
    <x v="8"/>
    <x v="0"/>
  </r>
  <r>
    <x v="443"/>
    <x v="2"/>
    <x v="17"/>
    <x v="1"/>
    <x v="1"/>
    <x v="3"/>
    <x v="28"/>
    <x v="382"/>
    <x v="7"/>
    <x v="0"/>
  </r>
  <r>
    <x v="444"/>
    <x v="1"/>
    <x v="12"/>
    <x v="1"/>
    <x v="1"/>
    <x v="3"/>
    <x v="57"/>
    <x v="383"/>
    <x v="6"/>
    <x v="2"/>
  </r>
  <r>
    <x v="445"/>
    <x v="3"/>
    <x v="31"/>
    <x v="3"/>
    <x v="1"/>
    <x v="9"/>
    <x v="2"/>
    <x v="384"/>
    <x v="6"/>
    <x v="2"/>
  </r>
  <r>
    <x v="446"/>
    <x v="0"/>
    <x v="5"/>
    <x v="1"/>
    <x v="1"/>
    <x v="0"/>
    <x v="25"/>
    <x v="385"/>
    <x v="1"/>
    <x v="2"/>
  </r>
  <r>
    <x v="447"/>
    <x v="4"/>
    <x v="2"/>
    <x v="1"/>
    <x v="0"/>
    <x v="2"/>
    <x v="55"/>
    <x v="386"/>
    <x v="5"/>
    <x v="0"/>
  </r>
  <r>
    <x v="448"/>
    <x v="2"/>
    <x v="7"/>
    <x v="2"/>
    <x v="1"/>
    <x v="5"/>
    <x v="29"/>
    <x v="387"/>
    <x v="4"/>
    <x v="1"/>
  </r>
  <r>
    <x v="449"/>
    <x v="3"/>
    <x v="6"/>
    <x v="2"/>
    <x v="1"/>
    <x v="3"/>
    <x v="56"/>
    <x v="388"/>
    <x v="2"/>
    <x v="1"/>
  </r>
  <r>
    <x v="450"/>
    <x v="2"/>
    <x v="1"/>
    <x v="1"/>
    <x v="0"/>
    <x v="1"/>
    <x v="14"/>
    <x v="389"/>
    <x v="2"/>
    <x v="2"/>
  </r>
  <r>
    <x v="451"/>
    <x v="3"/>
    <x v="0"/>
    <x v="0"/>
    <x v="1"/>
    <x v="7"/>
    <x v="28"/>
    <x v="382"/>
    <x v="4"/>
    <x v="1"/>
  </r>
  <r>
    <x v="452"/>
    <x v="0"/>
    <x v="34"/>
    <x v="3"/>
    <x v="0"/>
    <x v="7"/>
    <x v="11"/>
    <x v="390"/>
    <x v="3"/>
    <x v="2"/>
  </r>
  <r>
    <x v="453"/>
    <x v="1"/>
    <x v="0"/>
    <x v="0"/>
    <x v="1"/>
    <x v="6"/>
    <x v="33"/>
    <x v="391"/>
    <x v="4"/>
    <x v="1"/>
  </r>
  <r>
    <x v="454"/>
    <x v="0"/>
    <x v="22"/>
    <x v="0"/>
    <x v="1"/>
    <x v="5"/>
    <x v="25"/>
    <x v="206"/>
    <x v="5"/>
    <x v="1"/>
  </r>
  <r>
    <x v="455"/>
    <x v="2"/>
    <x v="11"/>
    <x v="1"/>
    <x v="0"/>
    <x v="6"/>
    <x v="36"/>
    <x v="392"/>
    <x v="7"/>
    <x v="0"/>
  </r>
  <r>
    <x v="456"/>
    <x v="1"/>
    <x v="24"/>
    <x v="0"/>
    <x v="0"/>
    <x v="6"/>
    <x v="56"/>
    <x v="393"/>
    <x v="5"/>
    <x v="1"/>
  </r>
  <r>
    <x v="457"/>
    <x v="4"/>
    <x v="15"/>
    <x v="1"/>
    <x v="1"/>
    <x v="9"/>
    <x v="17"/>
    <x v="349"/>
    <x v="0"/>
    <x v="3"/>
  </r>
  <r>
    <x v="458"/>
    <x v="2"/>
    <x v="4"/>
    <x v="1"/>
    <x v="1"/>
    <x v="2"/>
    <x v="2"/>
    <x v="394"/>
    <x v="8"/>
    <x v="2"/>
  </r>
  <r>
    <x v="459"/>
    <x v="0"/>
    <x v="5"/>
    <x v="1"/>
    <x v="0"/>
    <x v="8"/>
    <x v="43"/>
    <x v="120"/>
    <x v="0"/>
    <x v="2"/>
  </r>
  <r>
    <x v="460"/>
    <x v="1"/>
    <x v="0"/>
    <x v="0"/>
    <x v="0"/>
    <x v="9"/>
    <x v="38"/>
    <x v="314"/>
    <x v="2"/>
    <x v="0"/>
  </r>
  <r>
    <x v="461"/>
    <x v="2"/>
    <x v="15"/>
    <x v="1"/>
    <x v="0"/>
    <x v="7"/>
    <x v="0"/>
    <x v="395"/>
    <x v="2"/>
    <x v="3"/>
  </r>
  <r>
    <x v="462"/>
    <x v="4"/>
    <x v="12"/>
    <x v="1"/>
    <x v="1"/>
    <x v="6"/>
    <x v="8"/>
    <x v="396"/>
    <x v="6"/>
    <x v="2"/>
  </r>
  <r>
    <x v="463"/>
    <x v="1"/>
    <x v="17"/>
    <x v="1"/>
    <x v="2"/>
    <x v="4"/>
    <x v="3"/>
    <x v="397"/>
    <x v="1"/>
    <x v="1"/>
  </r>
  <r>
    <x v="464"/>
    <x v="0"/>
    <x v="10"/>
    <x v="2"/>
    <x v="0"/>
    <x v="6"/>
    <x v="41"/>
    <x v="398"/>
    <x v="2"/>
    <x v="0"/>
  </r>
  <r>
    <x v="465"/>
    <x v="1"/>
    <x v="25"/>
    <x v="0"/>
    <x v="2"/>
    <x v="3"/>
    <x v="30"/>
    <x v="277"/>
    <x v="2"/>
    <x v="2"/>
  </r>
  <r>
    <x v="466"/>
    <x v="0"/>
    <x v="26"/>
    <x v="0"/>
    <x v="1"/>
    <x v="1"/>
    <x v="16"/>
    <x v="112"/>
    <x v="6"/>
    <x v="2"/>
  </r>
  <r>
    <x v="467"/>
    <x v="1"/>
    <x v="27"/>
    <x v="1"/>
    <x v="1"/>
    <x v="5"/>
    <x v="46"/>
    <x v="399"/>
    <x v="4"/>
    <x v="0"/>
  </r>
  <r>
    <x v="468"/>
    <x v="1"/>
    <x v="27"/>
    <x v="1"/>
    <x v="1"/>
    <x v="9"/>
    <x v="42"/>
    <x v="86"/>
    <x v="0"/>
    <x v="1"/>
  </r>
  <r>
    <x v="469"/>
    <x v="3"/>
    <x v="4"/>
    <x v="1"/>
    <x v="0"/>
    <x v="1"/>
    <x v="12"/>
    <x v="193"/>
    <x v="7"/>
    <x v="1"/>
  </r>
  <r>
    <x v="470"/>
    <x v="0"/>
    <x v="26"/>
    <x v="0"/>
    <x v="0"/>
    <x v="5"/>
    <x v="25"/>
    <x v="400"/>
    <x v="4"/>
    <x v="2"/>
  </r>
  <r>
    <x v="471"/>
    <x v="1"/>
    <x v="29"/>
    <x v="0"/>
    <x v="0"/>
    <x v="7"/>
    <x v="58"/>
    <x v="401"/>
    <x v="0"/>
    <x v="2"/>
  </r>
  <r>
    <x v="472"/>
    <x v="2"/>
    <x v="14"/>
    <x v="0"/>
    <x v="0"/>
    <x v="0"/>
    <x v="46"/>
    <x v="402"/>
    <x v="0"/>
    <x v="2"/>
  </r>
  <r>
    <x v="473"/>
    <x v="3"/>
    <x v="4"/>
    <x v="1"/>
    <x v="0"/>
    <x v="9"/>
    <x v="24"/>
    <x v="196"/>
    <x v="8"/>
    <x v="0"/>
  </r>
  <r>
    <x v="474"/>
    <x v="1"/>
    <x v="10"/>
    <x v="2"/>
    <x v="1"/>
    <x v="9"/>
    <x v="11"/>
    <x v="403"/>
    <x v="1"/>
    <x v="2"/>
  </r>
  <r>
    <x v="475"/>
    <x v="2"/>
    <x v="4"/>
    <x v="1"/>
    <x v="0"/>
    <x v="6"/>
    <x v="40"/>
    <x v="404"/>
    <x v="2"/>
    <x v="2"/>
  </r>
  <r>
    <x v="476"/>
    <x v="1"/>
    <x v="15"/>
    <x v="1"/>
    <x v="0"/>
    <x v="6"/>
    <x v="5"/>
    <x v="405"/>
    <x v="6"/>
    <x v="0"/>
  </r>
  <r>
    <x v="477"/>
    <x v="3"/>
    <x v="6"/>
    <x v="2"/>
    <x v="0"/>
    <x v="0"/>
    <x v="7"/>
    <x v="406"/>
    <x v="2"/>
    <x v="0"/>
  </r>
  <r>
    <x v="478"/>
    <x v="2"/>
    <x v="5"/>
    <x v="1"/>
    <x v="1"/>
    <x v="8"/>
    <x v="15"/>
    <x v="109"/>
    <x v="4"/>
    <x v="0"/>
  </r>
  <r>
    <x v="479"/>
    <x v="1"/>
    <x v="29"/>
    <x v="0"/>
    <x v="1"/>
    <x v="4"/>
    <x v="45"/>
    <x v="407"/>
    <x v="6"/>
    <x v="2"/>
  </r>
  <r>
    <x v="480"/>
    <x v="1"/>
    <x v="4"/>
    <x v="1"/>
    <x v="0"/>
    <x v="6"/>
    <x v="35"/>
    <x v="60"/>
    <x v="0"/>
    <x v="2"/>
  </r>
  <r>
    <x v="481"/>
    <x v="4"/>
    <x v="22"/>
    <x v="0"/>
    <x v="1"/>
    <x v="7"/>
    <x v="47"/>
    <x v="408"/>
    <x v="2"/>
    <x v="1"/>
  </r>
  <r>
    <x v="482"/>
    <x v="3"/>
    <x v="10"/>
    <x v="2"/>
    <x v="1"/>
    <x v="4"/>
    <x v="32"/>
    <x v="409"/>
    <x v="0"/>
    <x v="0"/>
  </r>
  <r>
    <x v="483"/>
    <x v="2"/>
    <x v="6"/>
    <x v="2"/>
    <x v="0"/>
    <x v="0"/>
    <x v="44"/>
    <x v="410"/>
    <x v="4"/>
    <x v="1"/>
  </r>
  <r>
    <x v="484"/>
    <x v="1"/>
    <x v="1"/>
    <x v="1"/>
    <x v="0"/>
    <x v="5"/>
    <x v="31"/>
    <x v="411"/>
    <x v="3"/>
    <x v="1"/>
  </r>
  <r>
    <x v="485"/>
    <x v="1"/>
    <x v="11"/>
    <x v="1"/>
    <x v="1"/>
    <x v="6"/>
    <x v="40"/>
    <x v="149"/>
    <x v="4"/>
    <x v="2"/>
  </r>
  <r>
    <x v="486"/>
    <x v="2"/>
    <x v="6"/>
    <x v="2"/>
    <x v="0"/>
    <x v="8"/>
    <x v="20"/>
    <x v="412"/>
    <x v="0"/>
    <x v="0"/>
  </r>
  <r>
    <x v="487"/>
    <x v="0"/>
    <x v="1"/>
    <x v="1"/>
    <x v="1"/>
    <x v="4"/>
    <x v="5"/>
    <x v="144"/>
    <x v="6"/>
    <x v="1"/>
  </r>
  <r>
    <x v="488"/>
    <x v="0"/>
    <x v="6"/>
    <x v="2"/>
    <x v="1"/>
    <x v="2"/>
    <x v="48"/>
    <x v="413"/>
    <x v="8"/>
    <x v="3"/>
  </r>
  <r>
    <x v="489"/>
    <x v="1"/>
    <x v="10"/>
    <x v="2"/>
    <x v="1"/>
    <x v="8"/>
    <x v="1"/>
    <x v="414"/>
    <x v="0"/>
    <x v="1"/>
  </r>
  <r>
    <x v="490"/>
    <x v="1"/>
    <x v="0"/>
    <x v="0"/>
    <x v="1"/>
    <x v="6"/>
    <x v="34"/>
    <x v="415"/>
    <x v="8"/>
    <x v="0"/>
  </r>
  <r>
    <x v="491"/>
    <x v="3"/>
    <x v="4"/>
    <x v="1"/>
    <x v="0"/>
    <x v="8"/>
    <x v="22"/>
    <x v="368"/>
    <x v="3"/>
    <x v="1"/>
  </r>
  <r>
    <x v="492"/>
    <x v="1"/>
    <x v="20"/>
    <x v="2"/>
    <x v="0"/>
    <x v="9"/>
    <x v="8"/>
    <x v="416"/>
    <x v="8"/>
    <x v="1"/>
  </r>
  <r>
    <x v="493"/>
    <x v="1"/>
    <x v="29"/>
    <x v="0"/>
    <x v="1"/>
    <x v="7"/>
    <x v="58"/>
    <x v="417"/>
    <x v="3"/>
    <x v="0"/>
  </r>
  <r>
    <x v="494"/>
    <x v="0"/>
    <x v="26"/>
    <x v="0"/>
    <x v="1"/>
    <x v="8"/>
    <x v="3"/>
    <x v="397"/>
    <x v="1"/>
    <x v="2"/>
  </r>
  <r>
    <x v="495"/>
    <x v="0"/>
    <x v="7"/>
    <x v="2"/>
    <x v="0"/>
    <x v="3"/>
    <x v="43"/>
    <x v="418"/>
    <x v="8"/>
    <x v="0"/>
  </r>
  <r>
    <x v="496"/>
    <x v="2"/>
    <x v="17"/>
    <x v="1"/>
    <x v="0"/>
    <x v="7"/>
    <x v="32"/>
    <x v="419"/>
    <x v="4"/>
    <x v="2"/>
  </r>
  <r>
    <x v="497"/>
    <x v="1"/>
    <x v="0"/>
    <x v="0"/>
    <x v="0"/>
    <x v="7"/>
    <x v="13"/>
    <x v="420"/>
    <x v="6"/>
    <x v="2"/>
  </r>
  <r>
    <x v="498"/>
    <x v="3"/>
    <x v="6"/>
    <x v="2"/>
    <x v="1"/>
    <x v="6"/>
    <x v="3"/>
    <x v="3"/>
    <x v="4"/>
    <x v="0"/>
  </r>
  <r>
    <x v="499"/>
    <x v="0"/>
    <x v="34"/>
    <x v="3"/>
    <x v="1"/>
    <x v="2"/>
    <x v="16"/>
    <x v="55"/>
    <x v="1"/>
    <x v="2"/>
  </r>
  <r>
    <x v="500"/>
    <x v="1"/>
    <x v="11"/>
    <x v="1"/>
    <x v="0"/>
    <x v="3"/>
    <x v="57"/>
    <x v="421"/>
    <x v="6"/>
    <x v="0"/>
  </r>
  <r>
    <x v="501"/>
    <x v="2"/>
    <x v="2"/>
    <x v="1"/>
    <x v="0"/>
    <x v="8"/>
    <x v="59"/>
    <x v="422"/>
    <x v="8"/>
    <x v="2"/>
  </r>
  <r>
    <x v="502"/>
    <x v="0"/>
    <x v="6"/>
    <x v="2"/>
    <x v="0"/>
    <x v="7"/>
    <x v="57"/>
    <x v="423"/>
    <x v="6"/>
    <x v="1"/>
  </r>
  <r>
    <x v="503"/>
    <x v="2"/>
    <x v="14"/>
    <x v="0"/>
    <x v="1"/>
    <x v="3"/>
    <x v="53"/>
    <x v="275"/>
    <x v="3"/>
    <x v="0"/>
  </r>
  <r>
    <x v="504"/>
    <x v="2"/>
    <x v="12"/>
    <x v="1"/>
    <x v="1"/>
    <x v="6"/>
    <x v="32"/>
    <x v="298"/>
    <x v="7"/>
    <x v="2"/>
  </r>
  <r>
    <x v="505"/>
    <x v="4"/>
    <x v="24"/>
    <x v="0"/>
    <x v="0"/>
    <x v="2"/>
    <x v="11"/>
    <x v="424"/>
    <x v="2"/>
    <x v="3"/>
  </r>
  <r>
    <x v="506"/>
    <x v="1"/>
    <x v="0"/>
    <x v="0"/>
    <x v="1"/>
    <x v="9"/>
    <x v="46"/>
    <x v="381"/>
    <x v="8"/>
    <x v="0"/>
  </r>
  <r>
    <x v="507"/>
    <x v="2"/>
    <x v="15"/>
    <x v="1"/>
    <x v="1"/>
    <x v="7"/>
    <x v="38"/>
    <x v="59"/>
    <x v="4"/>
    <x v="2"/>
  </r>
  <r>
    <x v="508"/>
    <x v="0"/>
    <x v="15"/>
    <x v="1"/>
    <x v="1"/>
    <x v="2"/>
    <x v="23"/>
    <x v="425"/>
    <x v="2"/>
    <x v="0"/>
  </r>
  <r>
    <x v="509"/>
    <x v="2"/>
    <x v="3"/>
    <x v="2"/>
    <x v="0"/>
    <x v="4"/>
    <x v="52"/>
    <x v="155"/>
    <x v="3"/>
    <x v="2"/>
  </r>
  <r>
    <x v="510"/>
    <x v="2"/>
    <x v="17"/>
    <x v="1"/>
    <x v="1"/>
    <x v="0"/>
    <x v="38"/>
    <x v="426"/>
    <x v="4"/>
    <x v="0"/>
  </r>
  <r>
    <x v="511"/>
    <x v="0"/>
    <x v="15"/>
    <x v="1"/>
    <x v="0"/>
    <x v="8"/>
    <x v="31"/>
    <x v="77"/>
    <x v="1"/>
    <x v="2"/>
  </r>
  <r>
    <x v="512"/>
    <x v="2"/>
    <x v="6"/>
    <x v="2"/>
    <x v="1"/>
    <x v="1"/>
    <x v="34"/>
    <x v="427"/>
    <x v="1"/>
    <x v="0"/>
  </r>
  <r>
    <x v="513"/>
    <x v="0"/>
    <x v="2"/>
    <x v="1"/>
    <x v="1"/>
    <x v="7"/>
    <x v="33"/>
    <x v="428"/>
    <x v="7"/>
    <x v="0"/>
  </r>
  <r>
    <x v="514"/>
    <x v="1"/>
    <x v="16"/>
    <x v="3"/>
    <x v="0"/>
    <x v="7"/>
    <x v="24"/>
    <x v="196"/>
    <x v="6"/>
    <x v="3"/>
  </r>
  <r>
    <x v="515"/>
    <x v="1"/>
    <x v="1"/>
    <x v="1"/>
    <x v="1"/>
    <x v="9"/>
    <x v="47"/>
    <x v="429"/>
    <x v="4"/>
    <x v="1"/>
  </r>
  <r>
    <x v="516"/>
    <x v="0"/>
    <x v="21"/>
    <x v="2"/>
    <x v="1"/>
    <x v="4"/>
    <x v="16"/>
    <x v="430"/>
    <x v="3"/>
    <x v="0"/>
  </r>
  <r>
    <x v="517"/>
    <x v="1"/>
    <x v="13"/>
    <x v="0"/>
    <x v="0"/>
    <x v="2"/>
    <x v="8"/>
    <x v="396"/>
    <x v="6"/>
    <x v="0"/>
  </r>
  <r>
    <x v="518"/>
    <x v="3"/>
    <x v="3"/>
    <x v="2"/>
    <x v="1"/>
    <x v="7"/>
    <x v="40"/>
    <x v="431"/>
    <x v="6"/>
    <x v="2"/>
  </r>
  <r>
    <x v="519"/>
    <x v="1"/>
    <x v="15"/>
    <x v="1"/>
    <x v="0"/>
    <x v="9"/>
    <x v="1"/>
    <x v="432"/>
    <x v="5"/>
    <x v="0"/>
  </r>
  <r>
    <x v="520"/>
    <x v="2"/>
    <x v="20"/>
    <x v="2"/>
    <x v="0"/>
    <x v="7"/>
    <x v="35"/>
    <x v="433"/>
    <x v="4"/>
    <x v="3"/>
  </r>
  <r>
    <x v="521"/>
    <x v="4"/>
    <x v="12"/>
    <x v="1"/>
    <x v="1"/>
    <x v="7"/>
    <x v="57"/>
    <x v="434"/>
    <x v="2"/>
    <x v="1"/>
  </r>
  <r>
    <x v="522"/>
    <x v="4"/>
    <x v="0"/>
    <x v="0"/>
    <x v="0"/>
    <x v="2"/>
    <x v="48"/>
    <x v="435"/>
    <x v="0"/>
    <x v="1"/>
  </r>
  <r>
    <x v="523"/>
    <x v="1"/>
    <x v="32"/>
    <x v="1"/>
    <x v="0"/>
    <x v="2"/>
    <x v="41"/>
    <x v="156"/>
    <x v="3"/>
    <x v="0"/>
  </r>
  <r>
    <x v="524"/>
    <x v="0"/>
    <x v="3"/>
    <x v="2"/>
    <x v="0"/>
    <x v="3"/>
    <x v="0"/>
    <x v="436"/>
    <x v="5"/>
    <x v="0"/>
  </r>
  <r>
    <x v="525"/>
    <x v="1"/>
    <x v="34"/>
    <x v="3"/>
    <x v="0"/>
    <x v="6"/>
    <x v="34"/>
    <x v="437"/>
    <x v="7"/>
    <x v="1"/>
  </r>
  <r>
    <x v="526"/>
    <x v="0"/>
    <x v="6"/>
    <x v="2"/>
    <x v="1"/>
    <x v="9"/>
    <x v="27"/>
    <x v="66"/>
    <x v="0"/>
    <x v="1"/>
  </r>
  <r>
    <x v="527"/>
    <x v="2"/>
    <x v="0"/>
    <x v="0"/>
    <x v="0"/>
    <x v="4"/>
    <x v="50"/>
    <x v="438"/>
    <x v="3"/>
    <x v="0"/>
  </r>
  <r>
    <x v="528"/>
    <x v="0"/>
    <x v="30"/>
    <x v="2"/>
    <x v="0"/>
    <x v="0"/>
    <x v="16"/>
    <x v="439"/>
    <x v="7"/>
    <x v="2"/>
  </r>
  <r>
    <x v="529"/>
    <x v="0"/>
    <x v="6"/>
    <x v="2"/>
    <x v="1"/>
    <x v="7"/>
    <x v="56"/>
    <x v="440"/>
    <x v="8"/>
    <x v="0"/>
  </r>
  <r>
    <x v="530"/>
    <x v="1"/>
    <x v="24"/>
    <x v="0"/>
    <x v="1"/>
    <x v="7"/>
    <x v="14"/>
    <x v="97"/>
    <x v="7"/>
    <x v="0"/>
  </r>
  <r>
    <x v="531"/>
    <x v="4"/>
    <x v="13"/>
    <x v="0"/>
    <x v="0"/>
    <x v="5"/>
    <x v="20"/>
    <x v="218"/>
    <x v="6"/>
    <x v="2"/>
  </r>
  <r>
    <x v="532"/>
    <x v="0"/>
    <x v="6"/>
    <x v="2"/>
    <x v="1"/>
    <x v="0"/>
    <x v="36"/>
    <x v="441"/>
    <x v="1"/>
    <x v="0"/>
  </r>
  <r>
    <x v="533"/>
    <x v="2"/>
    <x v="1"/>
    <x v="1"/>
    <x v="0"/>
    <x v="1"/>
    <x v="2"/>
    <x v="442"/>
    <x v="0"/>
    <x v="2"/>
  </r>
  <r>
    <x v="534"/>
    <x v="0"/>
    <x v="1"/>
    <x v="1"/>
    <x v="0"/>
    <x v="4"/>
    <x v="43"/>
    <x v="72"/>
    <x v="8"/>
    <x v="0"/>
  </r>
  <r>
    <x v="535"/>
    <x v="1"/>
    <x v="11"/>
    <x v="1"/>
    <x v="1"/>
    <x v="3"/>
    <x v="32"/>
    <x v="443"/>
    <x v="4"/>
    <x v="2"/>
  </r>
  <r>
    <x v="536"/>
    <x v="3"/>
    <x v="33"/>
    <x v="3"/>
    <x v="2"/>
    <x v="1"/>
    <x v="53"/>
    <x v="444"/>
    <x v="3"/>
    <x v="2"/>
  </r>
  <r>
    <x v="537"/>
    <x v="0"/>
    <x v="1"/>
    <x v="1"/>
    <x v="0"/>
    <x v="1"/>
    <x v="13"/>
    <x v="445"/>
    <x v="7"/>
    <x v="0"/>
  </r>
  <r>
    <x v="538"/>
    <x v="4"/>
    <x v="0"/>
    <x v="0"/>
    <x v="0"/>
    <x v="8"/>
    <x v="28"/>
    <x v="446"/>
    <x v="3"/>
    <x v="2"/>
  </r>
  <r>
    <x v="539"/>
    <x v="2"/>
    <x v="23"/>
    <x v="3"/>
    <x v="1"/>
    <x v="4"/>
    <x v="14"/>
    <x v="447"/>
    <x v="0"/>
    <x v="0"/>
  </r>
  <r>
    <x v="540"/>
    <x v="0"/>
    <x v="4"/>
    <x v="1"/>
    <x v="0"/>
    <x v="4"/>
    <x v="44"/>
    <x v="448"/>
    <x v="1"/>
    <x v="2"/>
  </r>
  <r>
    <x v="541"/>
    <x v="1"/>
    <x v="29"/>
    <x v="0"/>
    <x v="1"/>
    <x v="1"/>
    <x v="3"/>
    <x v="449"/>
    <x v="5"/>
    <x v="0"/>
  </r>
  <r>
    <x v="542"/>
    <x v="2"/>
    <x v="8"/>
    <x v="3"/>
    <x v="0"/>
    <x v="5"/>
    <x v="22"/>
    <x v="450"/>
    <x v="4"/>
    <x v="2"/>
  </r>
  <r>
    <x v="543"/>
    <x v="1"/>
    <x v="26"/>
    <x v="0"/>
    <x v="0"/>
    <x v="5"/>
    <x v="10"/>
    <x v="351"/>
    <x v="5"/>
    <x v="2"/>
  </r>
  <r>
    <x v="544"/>
    <x v="2"/>
    <x v="22"/>
    <x v="0"/>
    <x v="0"/>
    <x v="5"/>
    <x v="57"/>
    <x v="451"/>
    <x v="1"/>
    <x v="0"/>
  </r>
  <r>
    <x v="545"/>
    <x v="0"/>
    <x v="11"/>
    <x v="1"/>
    <x v="0"/>
    <x v="2"/>
    <x v="46"/>
    <x v="452"/>
    <x v="8"/>
    <x v="2"/>
  </r>
  <r>
    <x v="546"/>
    <x v="4"/>
    <x v="29"/>
    <x v="0"/>
    <x v="0"/>
    <x v="2"/>
    <x v="21"/>
    <x v="453"/>
    <x v="6"/>
    <x v="3"/>
  </r>
  <r>
    <x v="547"/>
    <x v="3"/>
    <x v="10"/>
    <x v="2"/>
    <x v="0"/>
    <x v="1"/>
    <x v="17"/>
    <x v="454"/>
    <x v="0"/>
    <x v="3"/>
  </r>
  <r>
    <x v="548"/>
    <x v="1"/>
    <x v="16"/>
    <x v="3"/>
    <x v="0"/>
    <x v="0"/>
    <x v="40"/>
    <x v="165"/>
    <x v="4"/>
    <x v="0"/>
  </r>
  <r>
    <x v="549"/>
    <x v="2"/>
    <x v="13"/>
    <x v="0"/>
    <x v="0"/>
    <x v="7"/>
    <x v="48"/>
    <x v="455"/>
    <x v="7"/>
    <x v="1"/>
  </r>
  <r>
    <x v="550"/>
    <x v="4"/>
    <x v="27"/>
    <x v="1"/>
    <x v="0"/>
    <x v="3"/>
    <x v="48"/>
    <x v="256"/>
    <x v="0"/>
    <x v="2"/>
  </r>
  <r>
    <x v="551"/>
    <x v="2"/>
    <x v="3"/>
    <x v="2"/>
    <x v="0"/>
    <x v="0"/>
    <x v="55"/>
    <x v="386"/>
    <x v="5"/>
    <x v="2"/>
  </r>
  <r>
    <x v="552"/>
    <x v="2"/>
    <x v="25"/>
    <x v="0"/>
    <x v="1"/>
    <x v="8"/>
    <x v="40"/>
    <x v="456"/>
    <x v="1"/>
    <x v="1"/>
  </r>
  <r>
    <x v="553"/>
    <x v="3"/>
    <x v="13"/>
    <x v="0"/>
    <x v="1"/>
    <x v="6"/>
    <x v="1"/>
    <x v="457"/>
    <x v="6"/>
    <x v="0"/>
  </r>
  <r>
    <x v="554"/>
    <x v="4"/>
    <x v="29"/>
    <x v="0"/>
    <x v="0"/>
    <x v="5"/>
    <x v="33"/>
    <x v="458"/>
    <x v="2"/>
    <x v="2"/>
  </r>
  <r>
    <x v="555"/>
    <x v="1"/>
    <x v="17"/>
    <x v="1"/>
    <x v="1"/>
    <x v="7"/>
    <x v="29"/>
    <x v="459"/>
    <x v="7"/>
    <x v="0"/>
  </r>
  <r>
    <x v="556"/>
    <x v="3"/>
    <x v="7"/>
    <x v="2"/>
    <x v="1"/>
    <x v="9"/>
    <x v="26"/>
    <x v="460"/>
    <x v="5"/>
    <x v="2"/>
  </r>
  <r>
    <x v="557"/>
    <x v="2"/>
    <x v="31"/>
    <x v="3"/>
    <x v="0"/>
    <x v="2"/>
    <x v="43"/>
    <x v="461"/>
    <x v="8"/>
    <x v="1"/>
  </r>
  <r>
    <x v="558"/>
    <x v="1"/>
    <x v="22"/>
    <x v="0"/>
    <x v="0"/>
    <x v="5"/>
    <x v="53"/>
    <x v="275"/>
    <x v="5"/>
    <x v="0"/>
  </r>
  <r>
    <x v="559"/>
    <x v="1"/>
    <x v="6"/>
    <x v="2"/>
    <x v="0"/>
    <x v="4"/>
    <x v="19"/>
    <x v="462"/>
    <x v="4"/>
    <x v="2"/>
  </r>
  <r>
    <x v="560"/>
    <x v="3"/>
    <x v="2"/>
    <x v="1"/>
    <x v="0"/>
    <x v="5"/>
    <x v="48"/>
    <x v="463"/>
    <x v="7"/>
    <x v="2"/>
  </r>
  <r>
    <x v="561"/>
    <x v="0"/>
    <x v="13"/>
    <x v="0"/>
    <x v="0"/>
    <x v="0"/>
    <x v="51"/>
    <x v="286"/>
    <x v="7"/>
    <x v="1"/>
  </r>
  <r>
    <x v="562"/>
    <x v="0"/>
    <x v="10"/>
    <x v="2"/>
    <x v="0"/>
    <x v="6"/>
    <x v="11"/>
    <x v="464"/>
    <x v="2"/>
    <x v="0"/>
  </r>
  <r>
    <x v="563"/>
    <x v="1"/>
    <x v="32"/>
    <x v="1"/>
    <x v="1"/>
    <x v="5"/>
    <x v="1"/>
    <x v="465"/>
    <x v="0"/>
    <x v="0"/>
  </r>
  <r>
    <x v="564"/>
    <x v="0"/>
    <x v="6"/>
    <x v="2"/>
    <x v="0"/>
    <x v="5"/>
    <x v="39"/>
    <x v="466"/>
    <x v="3"/>
    <x v="0"/>
  </r>
  <r>
    <x v="565"/>
    <x v="3"/>
    <x v="24"/>
    <x v="0"/>
    <x v="0"/>
    <x v="1"/>
    <x v="34"/>
    <x v="467"/>
    <x v="6"/>
    <x v="2"/>
  </r>
  <r>
    <x v="566"/>
    <x v="4"/>
    <x v="11"/>
    <x v="1"/>
    <x v="1"/>
    <x v="7"/>
    <x v="52"/>
    <x v="468"/>
    <x v="7"/>
    <x v="2"/>
  </r>
  <r>
    <x v="567"/>
    <x v="0"/>
    <x v="11"/>
    <x v="1"/>
    <x v="1"/>
    <x v="0"/>
    <x v="37"/>
    <x v="469"/>
    <x v="0"/>
    <x v="2"/>
  </r>
  <r>
    <x v="568"/>
    <x v="1"/>
    <x v="6"/>
    <x v="2"/>
    <x v="0"/>
    <x v="9"/>
    <x v="30"/>
    <x v="470"/>
    <x v="7"/>
    <x v="1"/>
  </r>
  <r>
    <x v="569"/>
    <x v="2"/>
    <x v="15"/>
    <x v="1"/>
    <x v="1"/>
    <x v="9"/>
    <x v="50"/>
    <x v="471"/>
    <x v="8"/>
    <x v="0"/>
  </r>
  <r>
    <x v="570"/>
    <x v="2"/>
    <x v="24"/>
    <x v="0"/>
    <x v="0"/>
    <x v="5"/>
    <x v="31"/>
    <x v="411"/>
    <x v="7"/>
    <x v="3"/>
  </r>
  <r>
    <x v="571"/>
    <x v="0"/>
    <x v="27"/>
    <x v="1"/>
    <x v="1"/>
    <x v="4"/>
    <x v="54"/>
    <x v="472"/>
    <x v="4"/>
    <x v="1"/>
  </r>
  <r>
    <x v="572"/>
    <x v="1"/>
    <x v="10"/>
    <x v="2"/>
    <x v="0"/>
    <x v="0"/>
    <x v="31"/>
    <x v="473"/>
    <x v="1"/>
    <x v="0"/>
  </r>
  <r>
    <x v="573"/>
    <x v="0"/>
    <x v="10"/>
    <x v="2"/>
    <x v="0"/>
    <x v="9"/>
    <x v="26"/>
    <x v="474"/>
    <x v="0"/>
    <x v="1"/>
  </r>
  <r>
    <x v="574"/>
    <x v="2"/>
    <x v="10"/>
    <x v="2"/>
    <x v="1"/>
    <x v="7"/>
    <x v="5"/>
    <x v="475"/>
    <x v="1"/>
    <x v="1"/>
  </r>
  <r>
    <x v="575"/>
    <x v="2"/>
    <x v="6"/>
    <x v="2"/>
    <x v="2"/>
    <x v="9"/>
    <x v="28"/>
    <x v="446"/>
    <x v="0"/>
    <x v="2"/>
  </r>
  <r>
    <x v="576"/>
    <x v="4"/>
    <x v="11"/>
    <x v="1"/>
    <x v="1"/>
    <x v="4"/>
    <x v="2"/>
    <x v="92"/>
    <x v="7"/>
    <x v="0"/>
  </r>
  <r>
    <x v="577"/>
    <x v="1"/>
    <x v="20"/>
    <x v="2"/>
    <x v="1"/>
    <x v="0"/>
    <x v="35"/>
    <x v="476"/>
    <x v="0"/>
    <x v="1"/>
  </r>
  <r>
    <x v="578"/>
    <x v="2"/>
    <x v="27"/>
    <x v="1"/>
    <x v="0"/>
    <x v="4"/>
    <x v="35"/>
    <x v="433"/>
    <x v="5"/>
    <x v="0"/>
  </r>
  <r>
    <x v="579"/>
    <x v="4"/>
    <x v="22"/>
    <x v="0"/>
    <x v="0"/>
    <x v="6"/>
    <x v="15"/>
    <x v="477"/>
    <x v="3"/>
    <x v="2"/>
  </r>
  <r>
    <x v="580"/>
    <x v="2"/>
    <x v="32"/>
    <x v="1"/>
    <x v="0"/>
    <x v="4"/>
    <x v="32"/>
    <x v="478"/>
    <x v="5"/>
    <x v="1"/>
  </r>
  <r>
    <x v="581"/>
    <x v="2"/>
    <x v="5"/>
    <x v="1"/>
    <x v="0"/>
    <x v="4"/>
    <x v="48"/>
    <x v="479"/>
    <x v="8"/>
    <x v="0"/>
  </r>
  <r>
    <x v="582"/>
    <x v="1"/>
    <x v="7"/>
    <x v="2"/>
    <x v="1"/>
    <x v="5"/>
    <x v="18"/>
    <x v="480"/>
    <x v="3"/>
    <x v="1"/>
  </r>
  <r>
    <x v="583"/>
    <x v="3"/>
    <x v="28"/>
    <x v="3"/>
    <x v="1"/>
    <x v="5"/>
    <x v="9"/>
    <x v="481"/>
    <x v="0"/>
    <x v="3"/>
  </r>
  <r>
    <x v="584"/>
    <x v="0"/>
    <x v="7"/>
    <x v="2"/>
    <x v="1"/>
    <x v="2"/>
    <x v="24"/>
    <x v="482"/>
    <x v="3"/>
    <x v="2"/>
  </r>
  <r>
    <x v="585"/>
    <x v="1"/>
    <x v="37"/>
    <x v="3"/>
    <x v="1"/>
    <x v="6"/>
    <x v="16"/>
    <x v="483"/>
    <x v="2"/>
    <x v="1"/>
  </r>
  <r>
    <x v="586"/>
    <x v="3"/>
    <x v="17"/>
    <x v="1"/>
    <x v="0"/>
    <x v="6"/>
    <x v="23"/>
    <x v="228"/>
    <x v="8"/>
    <x v="0"/>
  </r>
  <r>
    <x v="587"/>
    <x v="4"/>
    <x v="6"/>
    <x v="2"/>
    <x v="1"/>
    <x v="6"/>
    <x v="26"/>
    <x v="484"/>
    <x v="0"/>
    <x v="0"/>
  </r>
  <r>
    <x v="588"/>
    <x v="1"/>
    <x v="6"/>
    <x v="2"/>
    <x v="0"/>
    <x v="9"/>
    <x v="0"/>
    <x v="485"/>
    <x v="3"/>
    <x v="0"/>
  </r>
  <r>
    <x v="589"/>
    <x v="2"/>
    <x v="2"/>
    <x v="1"/>
    <x v="0"/>
    <x v="1"/>
    <x v="39"/>
    <x v="486"/>
    <x v="3"/>
    <x v="1"/>
  </r>
  <r>
    <x v="590"/>
    <x v="0"/>
    <x v="1"/>
    <x v="1"/>
    <x v="1"/>
    <x v="2"/>
    <x v="12"/>
    <x v="487"/>
    <x v="4"/>
    <x v="3"/>
  </r>
  <r>
    <x v="591"/>
    <x v="2"/>
    <x v="15"/>
    <x v="1"/>
    <x v="1"/>
    <x v="6"/>
    <x v="40"/>
    <x v="488"/>
    <x v="5"/>
    <x v="0"/>
  </r>
  <r>
    <x v="592"/>
    <x v="1"/>
    <x v="8"/>
    <x v="3"/>
    <x v="0"/>
    <x v="4"/>
    <x v="22"/>
    <x v="56"/>
    <x v="1"/>
    <x v="0"/>
  </r>
  <r>
    <x v="593"/>
    <x v="2"/>
    <x v="2"/>
    <x v="1"/>
    <x v="1"/>
    <x v="5"/>
    <x v="12"/>
    <x v="489"/>
    <x v="6"/>
    <x v="0"/>
  </r>
  <r>
    <x v="594"/>
    <x v="0"/>
    <x v="11"/>
    <x v="1"/>
    <x v="1"/>
    <x v="3"/>
    <x v="37"/>
    <x v="490"/>
    <x v="3"/>
    <x v="2"/>
  </r>
  <r>
    <x v="595"/>
    <x v="3"/>
    <x v="17"/>
    <x v="1"/>
    <x v="1"/>
    <x v="3"/>
    <x v="38"/>
    <x v="491"/>
    <x v="6"/>
    <x v="2"/>
  </r>
  <r>
    <x v="596"/>
    <x v="2"/>
    <x v="20"/>
    <x v="2"/>
    <x v="0"/>
    <x v="6"/>
    <x v="39"/>
    <x v="492"/>
    <x v="3"/>
    <x v="2"/>
  </r>
  <r>
    <x v="597"/>
    <x v="0"/>
    <x v="9"/>
    <x v="0"/>
    <x v="0"/>
    <x v="0"/>
    <x v="48"/>
    <x v="493"/>
    <x v="8"/>
    <x v="1"/>
  </r>
  <r>
    <x v="598"/>
    <x v="1"/>
    <x v="14"/>
    <x v="0"/>
    <x v="1"/>
    <x v="8"/>
    <x v="20"/>
    <x v="494"/>
    <x v="6"/>
    <x v="0"/>
  </r>
  <r>
    <x v="599"/>
    <x v="1"/>
    <x v="10"/>
    <x v="2"/>
    <x v="0"/>
    <x v="7"/>
    <x v="33"/>
    <x v="495"/>
    <x v="5"/>
    <x v="2"/>
  </r>
  <r>
    <x v="600"/>
    <x v="2"/>
    <x v="12"/>
    <x v="1"/>
    <x v="0"/>
    <x v="6"/>
    <x v="53"/>
    <x v="271"/>
    <x v="7"/>
    <x v="1"/>
  </r>
  <r>
    <x v="601"/>
    <x v="0"/>
    <x v="12"/>
    <x v="1"/>
    <x v="0"/>
    <x v="8"/>
    <x v="22"/>
    <x v="496"/>
    <x v="7"/>
    <x v="0"/>
  </r>
  <r>
    <x v="602"/>
    <x v="0"/>
    <x v="29"/>
    <x v="0"/>
    <x v="0"/>
    <x v="4"/>
    <x v="35"/>
    <x v="497"/>
    <x v="1"/>
    <x v="2"/>
  </r>
  <r>
    <x v="603"/>
    <x v="2"/>
    <x v="21"/>
    <x v="2"/>
    <x v="1"/>
    <x v="5"/>
    <x v="37"/>
    <x v="498"/>
    <x v="8"/>
    <x v="2"/>
  </r>
  <r>
    <x v="604"/>
    <x v="1"/>
    <x v="14"/>
    <x v="0"/>
    <x v="1"/>
    <x v="5"/>
    <x v="3"/>
    <x v="499"/>
    <x v="6"/>
    <x v="2"/>
  </r>
  <r>
    <x v="605"/>
    <x v="2"/>
    <x v="2"/>
    <x v="1"/>
    <x v="0"/>
    <x v="7"/>
    <x v="10"/>
    <x v="100"/>
    <x v="7"/>
    <x v="0"/>
  </r>
  <r>
    <x v="606"/>
    <x v="4"/>
    <x v="6"/>
    <x v="2"/>
    <x v="0"/>
    <x v="0"/>
    <x v="31"/>
    <x v="500"/>
    <x v="3"/>
    <x v="1"/>
  </r>
  <r>
    <x v="607"/>
    <x v="2"/>
    <x v="6"/>
    <x v="2"/>
    <x v="0"/>
    <x v="5"/>
    <x v="42"/>
    <x v="501"/>
    <x v="3"/>
    <x v="0"/>
  </r>
  <r>
    <x v="608"/>
    <x v="0"/>
    <x v="20"/>
    <x v="2"/>
    <x v="2"/>
    <x v="1"/>
    <x v="26"/>
    <x v="502"/>
    <x v="5"/>
    <x v="0"/>
  </r>
  <r>
    <x v="609"/>
    <x v="0"/>
    <x v="26"/>
    <x v="0"/>
    <x v="1"/>
    <x v="5"/>
    <x v="28"/>
    <x v="194"/>
    <x v="7"/>
    <x v="2"/>
  </r>
  <r>
    <x v="610"/>
    <x v="0"/>
    <x v="10"/>
    <x v="2"/>
    <x v="1"/>
    <x v="8"/>
    <x v="30"/>
    <x v="169"/>
    <x v="8"/>
    <x v="1"/>
  </r>
  <r>
    <x v="611"/>
    <x v="0"/>
    <x v="9"/>
    <x v="0"/>
    <x v="0"/>
    <x v="3"/>
    <x v="58"/>
    <x v="503"/>
    <x v="8"/>
    <x v="1"/>
  </r>
  <r>
    <x v="612"/>
    <x v="0"/>
    <x v="27"/>
    <x v="1"/>
    <x v="1"/>
    <x v="0"/>
    <x v="5"/>
    <x v="504"/>
    <x v="1"/>
    <x v="1"/>
  </r>
  <r>
    <x v="613"/>
    <x v="4"/>
    <x v="32"/>
    <x v="1"/>
    <x v="1"/>
    <x v="0"/>
    <x v="2"/>
    <x v="505"/>
    <x v="5"/>
    <x v="2"/>
  </r>
  <r>
    <x v="614"/>
    <x v="2"/>
    <x v="4"/>
    <x v="1"/>
    <x v="1"/>
    <x v="9"/>
    <x v="31"/>
    <x v="506"/>
    <x v="7"/>
    <x v="3"/>
  </r>
  <r>
    <x v="615"/>
    <x v="3"/>
    <x v="4"/>
    <x v="1"/>
    <x v="0"/>
    <x v="1"/>
    <x v="2"/>
    <x v="2"/>
    <x v="7"/>
    <x v="2"/>
  </r>
  <r>
    <x v="616"/>
    <x v="1"/>
    <x v="0"/>
    <x v="0"/>
    <x v="0"/>
    <x v="6"/>
    <x v="11"/>
    <x v="201"/>
    <x v="7"/>
    <x v="1"/>
  </r>
  <r>
    <x v="617"/>
    <x v="3"/>
    <x v="5"/>
    <x v="1"/>
    <x v="1"/>
    <x v="8"/>
    <x v="53"/>
    <x v="507"/>
    <x v="6"/>
    <x v="0"/>
  </r>
  <r>
    <x v="618"/>
    <x v="4"/>
    <x v="27"/>
    <x v="1"/>
    <x v="0"/>
    <x v="7"/>
    <x v="43"/>
    <x v="72"/>
    <x v="3"/>
    <x v="0"/>
  </r>
  <r>
    <x v="619"/>
    <x v="0"/>
    <x v="6"/>
    <x v="2"/>
    <x v="0"/>
    <x v="2"/>
    <x v="31"/>
    <x v="43"/>
    <x v="8"/>
    <x v="0"/>
  </r>
  <r>
    <x v="620"/>
    <x v="4"/>
    <x v="27"/>
    <x v="1"/>
    <x v="1"/>
    <x v="5"/>
    <x v="30"/>
    <x v="508"/>
    <x v="5"/>
    <x v="3"/>
  </r>
  <r>
    <x v="621"/>
    <x v="0"/>
    <x v="3"/>
    <x v="2"/>
    <x v="0"/>
    <x v="3"/>
    <x v="18"/>
    <x v="509"/>
    <x v="5"/>
    <x v="1"/>
  </r>
  <r>
    <x v="622"/>
    <x v="2"/>
    <x v="13"/>
    <x v="0"/>
    <x v="1"/>
    <x v="5"/>
    <x v="50"/>
    <x v="510"/>
    <x v="6"/>
    <x v="1"/>
  </r>
  <r>
    <x v="623"/>
    <x v="0"/>
    <x v="4"/>
    <x v="1"/>
    <x v="0"/>
    <x v="7"/>
    <x v="42"/>
    <x v="511"/>
    <x v="5"/>
    <x v="1"/>
  </r>
  <r>
    <x v="624"/>
    <x v="1"/>
    <x v="9"/>
    <x v="0"/>
    <x v="1"/>
    <x v="3"/>
    <x v="26"/>
    <x v="512"/>
    <x v="2"/>
    <x v="2"/>
  </r>
  <r>
    <x v="625"/>
    <x v="2"/>
    <x v="23"/>
    <x v="3"/>
    <x v="1"/>
    <x v="6"/>
    <x v="31"/>
    <x v="513"/>
    <x v="6"/>
    <x v="3"/>
  </r>
  <r>
    <x v="626"/>
    <x v="2"/>
    <x v="6"/>
    <x v="2"/>
    <x v="0"/>
    <x v="6"/>
    <x v="39"/>
    <x v="466"/>
    <x v="6"/>
    <x v="1"/>
  </r>
  <r>
    <x v="627"/>
    <x v="2"/>
    <x v="14"/>
    <x v="0"/>
    <x v="0"/>
    <x v="9"/>
    <x v="25"/>
    <x v="514"/>
    <x v="7"/>
    <x v="0"/>
  </r>
  <r>
    <x v="628"/>
    <x v="2"/>
    <x v="6"/>
    <x v="2"/>
    <x v="0"/>
    <x v="2"/>
    <x v="48"/>
    <x v="515"/>
    <x v="6"/>
    <x v="2"/>
  </r>
  <r>
    <x v="629"/>
    <x v="1"/>
    <x v="10"/>
    <x v="2"/>
    <x v="1"/>
    <x v="8"/>
    <x v="6"/>
    <x v="516"/>
    <x v="1"/>
    <x v="3"/>
  </r>
  <r>
    <x v="630"/>
    <x v="0"/>
    <x v="27"/>
    <x v="1"/>
    <x v="0"/>
    <x v="4"/>
    <x v="28"/>
    <x v="517"/>
    <x v="4"/>
    <x v="1"/>
  </r>
  <r>
    <x v="631"/>
    <x v="3"/>
    <x v="22"/>
    <x v="0"/>
    <x v="0"/>
    <x v="0"/>
    <x v="12"/>
    <x v="193"/>
    <x v="8"/>
    <x v="0"/>
  </r>
  <r>
    <x v="632"/>
    <x v="2"/>
    <x v="5"/>
    <x v="1"/>
    <x v="2"/>
    <x v="4"/>
    <x v="15"/>
    <x v="518"/>
    <x v="6"/>
    <x v="2"/>
  </r>
  <r>
    <x v="633"/>
    <x v="2"/>
    <x v="12"/>
    <x v="1"/>
    <x v="1"/>
    <x v="7"/>
    <x v="29"/>
    <x v="238"/>
    <x v="8"/>
    <x v="0"/>
  </r>
  <r>
    <x v="634"/>
    <x v="4"/>
    <x v="20"/>
    <x v="2"/>
    <x v="0"/>
    <x v="1"/>
    <x v="4"/>
    <x v="519"/>
    <x v="5"/>
    <x v="1"/>
  </r>
  <r>
    <x v="635"/>
    <x v="0"/>
    <x v="6"/>
    <x v="2"/>
    <x v="1"/>
    <x v="2"/>
    <x v="10"/>
    <x v="520"/>
    <x v="7"/>
    <x v="0"/>
  </r>
  <r>
    <x v="636"/>
    <x v="0"/>
    <x v="19"/>
    <x v="0"/>
    <x v="1"/>
    <x v="5"/>
    <x v="22"/>
    <x v="521"/>
    <x v="3"/>
    <x v="2"/>
  </r>
  <r>
    <x v="637"/>
    <x v="1"/>
    <x v="6"/>
    <x v="2"/>
    <x v="0"/>
    <x v="4"/>
    <x v="40"/>
    <x v="165"/>
    <x v="5"/>
    <x v="3"/>
  </r>
  <r>
    <x v="638"/>
    <x v="3"/>
    <x v="38"/>
    <x v="3"/>
    <x v="1"/>
    <x v="7"/>
    <x v="24"/>
    <x v="522"/>
    <x v="7"/>
    <x v="2"/>
  </r>
  <r>
    <x v="639"/>
    <x v="2"/>
    <x v="7"/>
    <x v="2"/>
    <x v="0"/>
    <x v="9"/>
    <x v="29"/>
    <x v="523"/>
    <x v="3"/>
    <x v="0"/>
  </r>
  <r>
    <x v="640"/>
    <x v="4"/>
    <x v="2"/>
    <x v="1"/>
    <x v="0"/>
    <x v="8"/>
    <x v="55"/>
    <x v="524"/>
    <x v="7"/>
    <x v="2"/>
  </r>
  <r>
    <x v="641"/>
    <x v="2"/>
    <x v="15"/>
    <x v="1"/>
    <x v="0"/>
    <x v="9"/>
    <x v="19"/>
    <x v="525"/>
    <x v="7"/>
    <x v="0"/>
  </r>
  <r>
    <x v="642"/>
    <x v="0"/>
    <x v="4"/>
    <x v="1"/>
    <x v="0"/>
    <x v="5"/>
    <x v="14"/>
    <x v="526"/>
    <x v="7"/>
    <x v="0"/>
  </r>
  <r>
    <x v="643"/>
    <x v="1"/>
    <x v="22"/>
    <x v="0"/>
    <x v="1"/>
    <x v="6"/>
    <x v="55"/>
    <x v="527"/>
    <x v="4"/>
    <x v="3"/>
  </r>
  <r>
    <x v="644"/>
    <x v="0"/>
    <x v="25"/>
    <x v="0"/>
    <x v="0"/>
    <x v="9"/>
    <x v="17"/>
    <x v="528"/>
    <x v="5"/>
    <x v="2"/>
  </r>
  <r>
    <x v="645"/>
    <x v="1"/>
    <x v="12"/>
    <x v="1"/>
    <x v="1"/>
    <x v="8"/>
    <x v="56"/>
    <x v="529"/>
    <x v="8"/>
    <x v="1"/>
  </r>
  <r>
    <x v="646"/>
    <x v="1"/>
    <x v="1"/>
    <x v="1"/>
    <x v="1"/>
    <x v="6"/>
    <x v="23"/>
    <x v="250"/>
    <x v="7"/>
    <x v="0"/>
  </r>
  <r>
    <x v="647"/>
    <x v="3"/>
    <x v="33"/>
    <x v="3"/>
    <x v="1"/>
    <x v="4"/>
    <x v="21"/>
    <x v="267"/>
    <x v="7"/>
    <x v="2"/>
  </r>
  <r>
    <x v="648"/>
    <x v="0"/>
    <x v="19"/>
    <x v="0"/>
    <x v="0"/>
    <x v="8"/>
    <x v="48"/>
    <x v="530"/>
    <x v="1"/>
    <x v="1"/>
  </r>
  <r>
    <x v="649"/>
    <x v="1"/>
    <x v="24"/>
    <x v="0"/>
    <x v="1"/>
    <x v="3"/>
    <x v="54"/>
    <x v="531"/>
    <x v="2"/>
    <x v="2"/>
  </r>
  <r>
    <x v="650"/>
    <x v="2"/>
    <x v="20"/>
    <x v="2"/>
    <x v="1"/>
    <x v="4"/>
    <x v="21"/>
    <x v="532"/>
    <x v="7"/>
    <x v="0"/>
  </r>
  <r>
    <x v="651"/>
    <x v="2"/>
    <x v="32"/>
    <x v="1"/>
    <x v="0"/>
    <x v="7"/>
    <x v="46"/>
    <x v="381"/>
    <x v="8"/>
    <x v="1"/>
  </r>
  <r>
    <x v="652"/>
    <x v="3"/>
    <x v="2"/>
    <x v="1"/>
    <x v="1"/>
    <x v="6"/>
    <x v="48"/>
    <x v="533"/>
    <x v="7"/>
    <x v="3"/>
  </r>
  <r>
    <x v="653"/>
    <x v="3"/>
    <x v="0"/>
    <x v="0"/>
    <x v="1"/>
    <x v="0"/>
    <x v="46"/>
    <x v="399"/>
    <x v="8"/>
    <x v="0"/>
  </r>
  <r>
    <x v="654"/>
    <x v="2"/>
    <x v="10"/>
    <x v="2"/>
    <x v="0"/>
    <x v="6"/>
    <x v="1"/>
    <x v="534"/>
    <x v="4"/>
    <x v="0"/>
  </r>
  <r>
    <x v="655"/>
    <x v="4"/>
    <x v="23"/>
    <x v="3"/>
    <x v="1"/>
    <x v="9"/>
    <x v="3"/>
    <x v="535"/>
    <x v="3"/>
    <x v="0"/>
  </r>
  <r>
    <x v="656"/>
    <x v="1"/>
    <x v="22"/>
    <x v="0"/>
    <x v="0"/>
    <x v="2"/>
    <x v="21"/>
    <x v="267"/>
    <x v="3"/>
    <x v="2"/>
  </r>
  <r>
    <x v="657"/>
    <x v="0"/>
    <x v="8"/>
    <x v="3"/>
    <x v="1"/>
    <x v="2"/>
    <x v="42"/>
    <x v="536"/>
    <x v="4"/>
    <x v="3"/>
  </r>
  <r>
    <x v="658"/>
    <x v="2"/>
    <x v="17"/>
    <x v="1"/>
    <x v="1"/>
    <x v="5"/>
    <x v="4"/>
    <x v="537"/>
    <x v="6"/>
    <x v="2"/>
  </r>
  <r>
    <x v="659"/>
    <x v="0"/>
    <x v="11"/>
    <x v="1"/>
    <x v="0"/>
    <x v="3"/>
    <x v="29"/>
    <x v="538"/>
    <x v="0"/>
    <x v="0"/>
  </r>
  <r>
    <x v="660"/>
    <x v="1"/>
    <x v="5"/>
    <x v="1"/>
    <x v="1"/>
    <x v="8"/>
    <x v="27"/>
    <x v="76"/>
    <x v="1"/>
    <x v="1"/>
  </r>
  <r>
    <x v="661"/>
    <x v="2"/>
    <x v="4"/>
    <x v="1"/>
    <x v="0"/>
    <x v="9"/>
    <x v="25"/>
    <x v="539"/>
    <x v="8"/>
    <x v="2"/>
  </r>
  <r>
    <x v="662"/>
    <x v="1"/>
    <x v="13"/>
    <x v="0"/>
    <x v="0"/>
    <x v="2"/>
    <x v="10"/>
    <x v="124"/>
    <x v="4"/>
    <x v="0"/>
  </r>
  <r>
    <x v="663"/>
    <x v="0"/>
    <x v="6"/>
    <x v="2"/>
    <x v="1"/>
    <x v="5"/>
    <x v="16"/>
    <x v="323"/>
    <x v="7"/>
    <x v="1"/>
  </r>
  <r>
    <x v="664"/>
    <x v="1"/>
    <x v="4"/>
    <x v="1"/>
    <x v="0"/>
    <x v="9"/>
    <x v="59"/>
    <x v="540"/>
    <x v="1"/>
    <x v="0"/>
  </r>
  <r>
    <x v="665"/>
    <x v="1"/>
    <x v="12"/>
    <x v="1"/>
    <x v="0"/>
    <x v="4"/>
    <x v="54"/>
    <x v="541"/>
    <x v="7"/>
    <x v="1"/>
  </r>
  <r>
    <x v="666"/>
    <x v="1"/>
    <x v="12"/>
    <x v="1"/>
    <x v="1"/>
    <x v="5"/>
    <x v="46"/>
    <x v="542"/>
    <x v="4"/>
    <x v="3"/>
  </r>
  <r>
    <x v="667"/>
    <x v="3"/>
    <x v="5"/>
    <x v="1"/>
    <x v="1"/>
    <x v="3"/>
    <x v="36"/>
    <x v="543"/>
    <x v="6"/>
    <x v="0"/>
  </r>
  <r>
    <x v="668"/>
    <x v="4"/>
    <x v="34"/>
    <x v="3"/>
    <x v="1"/>
    <x v="5"/>
    <x v="42"/>
    <x v="544"/>
    <x v="4"/>
    <x v="1"/>
  </r>
  <r>
    <x v="669"/>
    <x v="1"/>
    <x v="4"/>
    <x v="1"/>
    <x v="0"/>
    <x v="4"/>
    <x v="45"/>
    <x v="545"/>
    <x v="3"/>
    <x v="0"/>
  </r>
  <r>
    <x v="670"/>
    <x v="2"/>
    <x v="3"/>
    <x v="2"/>
    <x v="1"/>
    <x v="4"/>
    <x v="11"/>
    <x v="198"/>
    <x v="7"/>
    <x v="0"/>
  </r>
  <r>
    <x v="671"/>
    <x v="2"/>
    <x v="34"/>
    <x v="3"/>
    <x v="0"/>
    <x v="7"/>
    <x v="53"/>
    <x v="546"/>
    <x v="2"/>
    <x v="1"/>
  </r>
  <r>
    <x v="672"/>
    <x v="1"/>
    <x v="3"/>
    <x v="2"/>
    <x v="0"/>
    <x v="5"/>
    <x v="0"/>
    <x v="547"/>
    <x v="6"/>
    <x v="1"/>
  </r>
  <r>
    <x v="673"/>
    <x v="1"/>
    <x v="17"/>
    <x v="1"/>
    <x v="1"/>
    <x v="2"/>
    <x v="1"/>
    <x v="548"/>
    <x v="1"/>
    <x v="2"/>
  </r>
  <r>
    <x v="674"/>
    <x v="1"/>
    <x v="10"/>
    <x v="2"/>
    <x v="1"/>
    <x v="1"/>
    <x v="31"/>
    <x v="77"/>
    <x v="0"/>
    <x v="0"/>
  </r>
  <r>
    <x v="675"/>
    <x v="2"/>
    <x v="17"/>
    <x v="1"/>
    <x v="1"/>
    <x v="0"/>
    <x v="30"/>
    <x v="549"/>
    <x v="0"/>
    <x v="0"/>
  </r>
  <r>
    <x v="676"/>
    <x v="1"/>
    <x v="6"/>
    <x v="2"/>
    <x v="1"/>
    <x v="1"/>
    <x v="12"/>
    <x v="550"/>
    <x v="4"/>
    <x v="1"/>
  </r>
  <r>
    <x v="677"/>
    <x v="2"/>
    <x v="28"/>
    <x v="3"/>
    <x v="1"/>
    <x v="2"/>
    <x v="27"/>
    <x v="551"/>
    <x v="4"/>
    <x v="3"/>
  </r>
  <r>
    <x v="678"/>
    <x v="3"/>
    <x v="4"/>
    <x v="1"/>
    <x v="1"/>
    <x v="5"/>
    <x v="32"/>
    <x v="298"/>
    <x v="4"/>
    <x v="2"/>
  </r>
  <r>
    <x v="679"/>
    <x v="1"/>
    <x v="25"/>
    <x v="0"/>
    <x v="1"/>
    <x v="9"/>
    <x v="30"/>
    <x v="552"/>
    <x v="3"/>
    <x v="0"/>
  </r>
  <r>
    <x v="680"/>
    <x v="0"/>
    <x v="6"/>
    <x v="2"/>
    <x v="0"/>
    <x v="1"/>
    <x v="51"/>
    <x v="553"/>
    <x v="3"/>
    <x v="0"/>
  </r>
  <r>
    <x v="681"/>
    <x v="1"/>
    <x v="15"/>
    <x v="1"/>
    <x v="0"/>
    <x v="9"/>
    <x v="21"/>
    <x v="554"/>
    <x v="1"/>
    <x v="2"/>
  </r>
  <r>
    <x v="682"/>
    <x v="2"/>
    <x v="20"/>
    <x v="2"/>
    <x v="0"/>
    <x v="6"/>
    <x v="58"/>
    <x v="555"/>
    <x v="5"/>
    <x v="2"/>
  </r>
  <r>
    <x v="683"/>
    <x v="0"/>
    <x v="26"/>
    <x v="0"/>
    <x v="0"/>
    <x v="0"/>
    <x v="36"/>
    <x v="543"/>
    <x v="7"/>
    <x v="2"/>
  </r>
  <r>
    <x v="684"/>
    <x v="2"/>
    <x v="6"/>
    <x v="2"/>
    <x v="2"/>
    <x v="1"/>
    <x v="33"/>
    <x v="48"/>
    <x v="3"/>
    <x v="0"/>
  </r>
  <r>
    <x v="685"/>
    <x v="1"/>
    <x v="21"/>
    <x v="2"/>
    <x v="1"/>
    <x v="7"/>
    <x v="47"/>
    <x v="556"/>
    <x v="5"/>
    <x v="1"/>
  </r>
  <r>
    <x v="686"/>
    <x v="3"/>
    <x v="17"/>
    <x v="1"/>
    <x v="1"/>
    <x v="5"/>
    <x v="5"/>
    <x v="557"/>
    <x v="8"/>
    <x v="2"/>
  </r>
  <r>
    <x v="687"/>
    <x v="2"/>
    <x v="2"/>
    <x v="1"/>
    <x v="1"/>
    <x v="5"/>
    <x v="9"/>
    <x v="558"/>
    <x v="5"/>
    <x v="2"/>
  </r>
  <r>
    <x v="688"/>
    <x v="2"/>
    <x v="6"/>
    <x v="2"/>
    <x v="1"/>
    <x v="4"/>
    <x v="11"/>
    <x v="11"/>
    <x v="8"/>
    <x v="2"/>
  </r>
  <r>
    <x v="689"/>
    <x v="3"/>
    <x v="21"/>
    <x v="2"/>
    <x v="0"/>
    <x v="9"/>
    <x v="38"/>
    <x v="559"/>
    <x v="8"/>
    <x v="1"/>
  </r>
  <r>
    <x v="690"/>
    <x v="0"/>
    <x v="27"/>
    <x v="1"/>
    <x v="1"/>
    <x v="2"/>
    <x v="47"/>
    <x v="560"/>
    <x v="2"/>
    <x v="2"/>
  </r>
  <r>
    <x v="691"/>
    <x v="1"/>
    <x v="5"/>
    <x v="1"/>
    <x v="0"/>
    <x v="5"/>
    <x v="32"/>
    <x v="561"/>
    <x v="7"/>
    <x v="2"/>
  </r>
  <r>
    <x v="692"/>
    <x v="0"/>
    <x v="6"/>
    <x v="2"/>
    <x v="0"/>
    <x v="1"/>
    <x v="12"/>
    <x v="487"/>
    <x v="8"/>
    <x v="1"/>
  </r>
  <r>
    <x v="693"/>
    <x v="3"/>
    <x v="17"/>
    <x v="1"/>
    <x v="0"/>
    <x v="8"/>
    <x v="6"/>
    <x v="355"/>
    <x v="6"/>
    <x v="0"/>
  </r>
  <r>
    <x v="694"/>
    <x v="2"/>
    <x v="16"/>
    <x v="3"/>
    <x v="1"/>
    <x v="4"/>
    <x v="14"/>
    <x v="352"/>
    <x v="6"/>
    <x v="3"/>
  </r>
  <r>
    <x v="695"/>
    <x v="0"/>
    <x v="6"/>
    <x v="2"/>
    <x v="0"/>
    <x v="6"/>
    <x v="35"/>
    <x v="562"/>
    <x v="1"/>
    <x v="3"/>
  </r>
  <r>
    <x v="696"/>
    <x v="1"/>
    <x v="17"/>
    <x v="1"/>
    <x v="0"/>
    <x v="7"/>
    <x v="27"/>
    <x v="563"/>
    <x v="4"/>
    <x v="2"/>
  </r>
  <r>
    <x v="697"/>
    <x v="2"/>
    <x v="1"/>
    <x v="1"/>
    <x v="1"/>
    <x v="1"/>
    <x v="31"/>
    <x v="564"/>
    <x v="5"/>
    <x v="1"/>
  </r>
  <r>
    <x v="698"/>
    <x v="0"/>
    <x v="1"/>
    <x v="1"/>
    <x v="1"/>
    <x v="6"/>
    <x v="49"/>
    <x v="117"/>
    <x v="3"/>
    <x v="1"/>
  </r>
  <r>
    <x v="699"/>
    <x v="1"/>
    <x v="30"/>
    <x v="2"/>
    <x v="1"/>
    <x v="1"/>
    <x v="24"/>
    <x v="330"/>
    <x v="6"/>
    <x v="2"/>
  </r>
  <r>
    <x v="700"/>
    <x v="0"/>
    <x v="6"/>
    <x v="2"/>
    <x v="1"/>
    <x v="3"/>
    <x v="30"/>
    <x v="173"/>
    <x v="0"/>
    <x v="1"/>
  </r>
  <r>
    <x v="701"/>
    <x v="3"/>
    <x v="39"/>
    <x v="4"/>
    <x v="1"/>
    <x v="6"/>
    <x v="50"/>
    <x v="565"/>
    <x v="8"/>
    <x v="0"/>
  </r>
  <r>
    <x v="702"/>
    <x v="2"/>
    <x v="29"/>
    <x v="0"/>
    <x v="1"/>
    <x v="0"/>
    <x v="24"/>
    <x v="566"/>
    <x v="8"/>
    <x v="2"/>
  </r>
  <r>
    <x v="703"/>
    <x v="0"/>
    <x v="14"/>
    <x v="0"/>
    <x v="0"/>
    <x v="8"/>
    <x v="56"/>
    <x v="207"/>
    <x v="0"/>
    <x v="2"/>
  </r>
  <r>
    <x v="704"/>
    <x v="4"/>
    <x v="17"/>
    <x v="1"/>
    <x v="1"/>
    <x v="2"/>
    <x v="44"/>
    <x v="567"/>
    <x v="3"/>
    <x v="3"/>
  </r>
  <r>
    <x v="705"/>
    <x v="2"/>
    <x v="15"/>
    <x v="1"/>
    <x v="0"/>
    <x v="4"/>
    <x v="32"/>
    <x v="409"/>
    <x v="0"/>
    <x v="0"/>
  </r>
  <r>
    <x v="706"/>
    <x v="0"/>
    <x v="0"/>
    <x v="0"/>
    <x v="0"/>
    <x v="8"/>
    <x v="41"/>
    <x v="158"/>
    <x v="5"/>
    <x v="0"/>
  </r>
  <r>
    <x v="707"/>
    <x v="3"/>
    <x v="1"/>
    <x v="1"/>
    <x v="1"/>
    <x v="3"/>
    <x v="8"/>
    <x v="568"/>
    <x v="6"/>
    <x v="3"/>
  </r>
  <r>
    <x v="708"/>
    <x v="4"/>
    <x v="15"/>
    <x v="1"/>
    <x v="2"/>
    <x v="6"/>
    <x v="23"/>
    <x v="569"/>
    <x v="7"/>
    <x v="2"/>
  </r>
  <r>
    <x v="709"/>
    <x v="1"/>
    <x v="15"/>
    <x v="1"/>
    <x v="0"/>
    <x v="3"/>
    <x v="35"/>
    <x v="570"/>
    <x v="0"/>
    <x v="2"/>
  </r>
  <r>
    <x v="710"/>
    <x v="3"/>
    <x v="20"/>
    <x v="2"/>
    <x v="1"/>
    <x v="0"/>
    <x v="51"/>
    <x v="571"/>
    <x v="8"/>
    <x v="0"/>
  </r>
  <r>
    <x v="711"/>
    <x v="2"/>
    <x v="23"/>
    <x v="3"/>
    <x v="1"/>
    <x v="0"/>
    <x v="25"/>
    <x v="572"/>
    <x v="3"/>
    <x v="0"/>
  </r>
  <r>
    <x v="712"/>
    <x v="2"/>
    <x v="2"/>
    <x v="1"/>
    <x v="0"/>
    <x v="3"/>
    <x v="7"/>
    <x v="573"/>
    <x v="4"/>
    <x v="3"/>
  </r>
  <r>
    <x v="713"/>
    <x v="0"/>
    <x v="0"/>
    <x v="0"/>
    <x v="1"/>
    <x v="2"/>
    <x v="11"/>
    <x v="11"/>
    <x v="3"/>
    <x v="2"/>
  </r>
  <r>
    <x v="714"/>
    <x v="2"/>
    <x v="25"/>
    <x v="0"/>
    <x v="0"/>
    <x v="1"/>
    <x v="5"/>
    <x v="574"/>
    <x v="6"/>
    <x v="0"/>
  </r>
  <r>
    <x v="715"/>
    <x v="0"/>
    <x v="13"/>
    <x v="0"/>
    <x v="1"/>
    <x v="9"/>
    <x v="36"/>
    <x v="575"/>
    <x v="3"/>
    <x v="2"/>
  </r>
  <r>
    <x v="716"/>
    <x v="3"/>
    <x v="10"/>
    <x v="2"/>
    <x v="0"/>
    <x v="2"/>
    <x v="16"/>
    <x v="576"/>
    <x v="3"/>
    <x v="0"/>
  </r>
  <r>
    <x v="717"/>
    <x v="2"/>
    <x v="27"/>
    <x v="1"/>
    <x v="1"/>
    <x v="2"/>
    <x v="45"/>
    <x v="305"/>
    <x v="3"/>
    <x v="1"/>
  </r>
  <r>
    <x v="718"/>
    <x v="2"/>
    <x v="6"/>
    <x v="2"/>
    <x v="1"/>
    <x v="7"/>
    <x v="26"/>
    <x v="334"/>
    <x v="6"/>
    <x v="2"/>
  </r>
  <r>
    <x v="719"/>
    <x v="2"/>
    <x v="17"/>
    <x v="1"/>
    <x v="0"/>
    <x v="0"/>
    <x v="5"/>
    <x v="577"/>
    <x v="6"/>
    <x v="2"/>
  </r>
  <r>
    <x v="720"/>
    <x v="4"/>
    <x v="3"/>
    <x v="2"/>
    <x v="0"/>
    <x v="9"/>
    <x v="4"/>
    <x v="578"/>
    <x v="4"/>
    <x v="2"/>
  </r>
  <r>
    <x v="721"/>
    <x v="4"/>
    <x v="27"/>
    <x v="1"/>
    <x v="0"/>
    <x v="5"/>
    <x v="45"/>
    <x v="579"/>
    <x v="8"/>
    <x v="3"/>
  </r>
  <r>
    <x v="722"/>
    <x v="1"/>
    <x v="16"/>
    <x v="3"/>
    <x v="0"/>
    <x v="9"/>
    <x v="32"/>
    <x v="580"/>
    <x v="0"/>
    <x v="2"/>
  </r>
  <r>
    <x v="723"/>
    <x v="2"/>
    <x v="20"/>
    <x v="2"/>
    <x v="1"/>
    <x v="5"/>
    <x v="20"/>
    <x v="581"/>
    <x v="2"/>
    <x v="2"/>
  </r>
  <r>
    <x v="724"/>
    <x v="0"/>
    <x v="7"/>
    <x v="2"/>
    <x v="1"/>
    <x v="0"/>
    <x v="44"/>
    <x v="87"/>
    <x v="4"/>
    <x v="0"/>
  </r>
  <r>
    <x v="725"/>
    <x v="2"/>
    <x v="12"/>
    <x v="1"/>
    <x v="1"/>
    <x v="4"/>
    <x v="51"/>
    <x v="582"/>
    <x v="3"/>
    <x v="0"/>
  </r>
  <r>
    <x v="726"/>
    <x v="1"/>
    <x v="12"/>
    <x v="1"/>
    <x v="1"/>
    <x v="0"/>
    <x v="42"/>
    <x v="583"/>
    <x v="4"/>
    <x v="1"/>
  </r>
  <r>
    <x v="727"/>
    <x v="0"/>
    <x v="20"/>
    <x v="2"/>
    <x v="0"/>
    <x v="4"/>
    <x v="37"/>
    <x v="584"/>
    <x v="5"/>
    <x v="1"/>
  </r>
  <r>
    <x v="728"/>
    <x v="1"/>
    <x v="11"/>
    <x v="1"/>
    <x v="0"/>
    <x v="3"/>
    <x v="2"/>
    <x v="585"/>
    <x v="1"/>
    <x v="3"/>
  </r>
  <r>
    <x v="729"/>
    <x v="1"/>
    <x v="0"/>
    <x v="0"/>
    <x v="1"/>
    <x v="6"/>
    <x v="19"/>
    <x v="586"/>
    <x v="0"/>
    <x v="2"/>
  </r>
  <r>
    <x v="730"/>
    <x v="1"/>
    <x v="16"/>
    <x v="3"/>
    <x v="1"/>
    <x v="9"/>
    <x v="9"/>
    <x v="481"/>
    <x v="3"/>
    <x v="3"/>
  </r>
  <r>
    <x v="731"/>
    <x v="0"/>
    <x v="15"/>
    <x v="1"/>
    <x v="0"/>
    <x v="4"/>
    <x v="25"/>
    <x v="400"/>
    <x v="6"/>
    <x v="2"/>
  </r>
  <r>
    <x v="732"/>
    <x v="3"/>
    <x v="5"/>
    <x v="1"/>
    <x v="0"/>
    <x v="8"/>
    <x v="30"/>
    <x v="587"/>
    <x v="1"/>
    <x v="0"/>
  </r>
  <r>
    <x v="733"/>
    <x v="2"/>
    <x v="21"/>
    <x v="2"/>
    <x v="1"/>
    <x v="3"/>
    <x v="52"/>
    <x v="155"/>
    <x v="3"/>
    <x v="1"/>
  </r>
  <r>
    <x v="734"/>
    <x v="0"/>
    <x v="24"/>
    <x v="0"/>
    <x v="1"/>
    <x v="2"/>
    <x v="0"/>
    <x v="436"/>
    <x v="5"/>
    <x v="2"/>
  </r>
  <r>
    <x v="735"/>
    <x v="3"/>
    <x v="27"/>
    <x v="1"/>
    <x v="1"/>
    <x v="1"/>
    <x v="36"/>
    <x v="392"/>
    <x v="7"/>
    <x v="0"/>
  </r>
  <r>
    <x v="736"/>
    <x v="0"/>
    <x v="7"/>
    <x v="2"/>
    <x v="1"/>
    <x v="0"/>
    <x v="46"/>
    <x v="381"/>
    <x v="0"/>
    <x v="1"/>
  </r>
  <r>
    <x v="737"/>
    <x v="3"/>
    <x v="14"/>
    <x v="0"/>
    <x v="0"/>
    <x v="4"/>
    <x v="18"/>
    <x v="480"/>
    <x v="0"/>
    <x v="1"/>
  </r>
  <r>
    <x v="738"/>
    <x v="1"/>
    <x v="9"/>
    <x v="0"/>
    <x v="0"/>
    <x v="1"/>
    <x v="59"/>
    <x v="588"/>
    <x v="1"/>
    <x v="0"/>
  </r>
  <r>
    <x v="739"/>
    <x v="2"/>
    <x v="1"/>
    <x v="1"/>
    <x v="0"/>
    <x v="4"/>
    <x v="2"/>
    <x v="589"/>
    <x v="0"/>
    <x v="2"/>
  </r>
  <r>
    <x v="740"/>
    <x v="0"/>
    <x v="26"/>
    <x v="0"/>
    <x v="0"/>
    <x v="3"/>
    <x v="59"/>
    <x v="590"/>
    <x v="6"/>
    <x v="1"/>
  </r>
  <r>
    <x v="741"/>
    <x v="2"/>
    <x v="17"/>
    <x v="1"/>
    <x v="1"/>
    <x v="1"/>
    <x v="35"/>
    <x v="591"/>
    <x v="5"/>
    <x v="3"/>
  </r>
  <r>
    <x v="742"/>
    <x v="3"/>
    <x v="5"/>
    <x v="1"/>
    <x v="0"/>
    <x v="0"/>
    <x v="32"/>
    <x v="592"/>
    <x v="6"/>
    <x v="0"/>
  </r>
  <r>
    <x v="743"/>
    <x v="2"/>
    <x v="6"/>
    <x v="2"/>
    <x v="0"/>
    <x v="8"/>
    <x v="59"/>
    <x v="593"/>
    <x v="6"/>
    <x v="1"/>
  </r>
  <r>
    <x v="744"/>
    <x v="0"/>
    <x v="23"/>
    <x v="3"/>
    <x v="0"/>
    <x v="4"/>
    <x v="55"/>
    <x v="594"/>
    <x v="3"/>
    <x v="0"/>
  </r>
  <r>
    <x v="745"/>
    <x v="1"/>
    <x v="12"/>
    <x v="1"/>
    <x v="0"/>
    <x v="4"/>
    <x v="2"/>
    <x v="595"/>
    <x v="7"/>
    <x v="3"/>
  </r>
  <r>
    <x v="746"/>
    <x v="1"/>
    <x v="26"/>
    <x v="0"/>
    <x v="0"/>
    <x v="5"/>
    <x v="54"/>
    <x v="222"/>
    <x v="8"/>
    <x v="0"/>
  </r>
  <r>
    <x v="747"/>
    <x v="2"/>
    <x v="4"/>
    <x v="1"/>
    <x v="0"/>
    <x v="8"/>
    <x v="49"/>
    <x v="596"/>
    <x v="4"/>
    <x v="1"/>
  </r>
  <r>
    <x v="748"/>
    <x v="1"/>
    <x v="13"/>
    <x v="0"/>
    <x v="1"/>
    <x v="7"/>
    <x v="58"/>
    <x v="597"/>
    <x v="2"/>
    <x v="2"/>
  </r>
  <r>
    <x v="749"/>
    <x v="2"/>
    <x v="13"/>
    <x v="0"/>
    <x v="0"/>
    <x v="5"/>
    <x v="19"/>
    <x v="598"/>
    <x v="7"/>
    <x v="2"/>
  </r>
  <r>
    <x v="750"/>
    <x v="4"/>
    <x v="12"/>
    <x v="1"/>
    <x v="1"/>
    <x v="3"/>
    <x v="18"/>
    <x v="599"/>
    <x v="4"/>
    <x v="2"/>
  </r>
  <r>
    <x v="751"/>
    <x v="4"/>
    <x v="6"/>
    <x v="2"/>
    <x v="1"/>
    <x v="6"/>
    <x v="12"/>
    <x v="600"/>
    <x v="8"/>
    <x v="1"/>
  </r>
  <r>
    <x v="752"/>
    <x v="0"/>
    <x v="6"/>
    <x v="2"/>
    <x v="0"/>
    <x v="2"/>
    <x v="17"/>
    <x v="454"/>
    <x v="2"/>
    <x v="2"/>
  </r>
  <r>
    <x v="753"/>
    <x v="0"/>
    <x v="5"/>
    <x v="1"/>
    <x v="0"/>
    <x v="9"/>
    <x v="7"/>
    <x v="601"/>
    <x v="7"/>
    <x v="3"/>
  </r>
  <r>
    <x v="754"/>
    <x v="0"/>
    <x v="21"/>
    <x v="2"/>
    <x v="1"/>
    <x v="7"/>
    <x v="16"/>
    <x v="602"/>
    <x v="1"/>
    <x v="3"/>
  </r>
  <r>
    <x v="755"/>
    <x v="2"/>
    <x v="9"/>
    <x v="0"/>
    <x v="0"/>
    <x v="2"/>
    <x v="18"/>
    <x v="603"/>
    <x v="3"/>
    <x v="1"/>
  </r>
  <r>
    <x v="756"/>
    <x v="3"/>
    <x v="9"/>
    <x v="0"/>
    <x v="1"/>
    <x v="7"/>
    <x v="49"/>
    <x v="604"/>
    <x v="8"/>
    <x v="2"/>
  </r>
  <r>
    <x v="757"/>
    <x v="1"/>
    <x v="2"/>
    <x v="1"/>
    <x v="1"/>
    <x v="5"/>
    <x v="8"/>
    <x v="110"/>
    <x v="7"/>
    <x v="1"/>
  </r>
  <r>
    <x v="758"/>
    <x v="4"/>
    <x v="25"/>
    <x v="0"/>
    <x v="0"/>
    <x v="6"/>
    <x v="9"/>
    <x v="254"/>
    <x v="6"/>
    <x v="0"/>
  </r>
  <r>
    <x v="759"/>
    <x v="0"/>
    <x v="24"/>
    <x v="0"/>
    <x v="1"/>
    <x v="8"/>
    <x v="19"/>
    <x v="605"/>
    <x v="1"/>
    <x v="0"/>
  </r>
  <r>
    <x v="760"/>
    <x v="3"/>
    <x v="23"/>
    <x v="3"/>
    <x v="1"/>
    <x v="5"/>
    <x v="19"/>
    <x v="23"/>
    <x v="4"/>
    <x v="0"/>
  </r>
  <r>
    <x v="761"/>
    <x v="0"/>
    <x v="0"/>
    <x v="0"/>
    <x v="0"/>
    <x v="3"/>
    <x v="14"/>
    <x v="606"/>
    <x v="0"/>
    <x v="1"/>
  </r>
  <r>
    <x v="762"/>
    <x v="1"/>
    <x v="14"/>
    <x v="0"/>
    <x v="1"/>
    <x v="8"/>
    <x v="21"/>
    <x v="607"/>
    <x v="6"/>
    <x v="0"/>
  </r>
  <r>
    <x v="763"/>
    <x v="0"/>
    <x v="6"/>
    <x v="2"/>
    <x v="1"/>
    <x v="2"/>
    <x v="49"/>
    <x v="596"/>
    <x v="1"/>
    <x v="2"/>
  </r>
  <r>
    <x v="764"/>
    <x v="2"/>
    <x v="11"/>
    <x v="1"/>
    <x v="1"/>
    <x v="2"/>
    <x v="7"/>
    <x v="601"/>
    <x v="5"/>
    <x v="1"/>
  </r>
  <r>
    <x v="765"/>
    <x v="1"/>
    <x v="3"/>
    <x v="2"/>
    <x v="0"/>
    <x v="0"/>
    <x v="5"/>
    <x v="608"/>
    <x v="4"/>
    <x v="2"/>
  </r>
  <r>
    <x v="766"/>
    <x v="1"/>
    <x v="14"/>
    <x v="0"/>
    <x v="1"/>
    <x v="4"/>
    <x v="25"/>
    <x v="309"/>
    <x v="5"/>
    <x v="0"/>
  </r>
  <r>
    <x v="767"/>
    <x v="1"/>
    <x v="17"/>
    <x v="1"/>
    <x v="1"/>
    <x v="3"/>
    <x v="25"/>
    <x v="609"/>
    <x v="1"/>
    <x v="0"/>
  </r>
  <r>
    <x v="768"/>
    <x v="0"/>
    <x v="6"/>
    <x v="2"/>
    <x v="1"/>
    <x v="2"/>
    <x v="18"/>
    <x v="599"/>
    <x v="3"/>
    <x v="2"/>
  </r>
  <r>
    <x v="769"/>
    <x v="3"/>
    <x v="32"/>
    <x v="1"/>
    <x v="0"/>
    <x v="9"/>
    <x v="58"/>
    <x v="610"/>
    <x v="7"/>
    <x v="1"/>
  </r>
  <r>
    <x v="770"/>
    <x v="3"/>
    <x v="0"/>
    <x v="0"/>
    <x v="1"/>
    <x v="3"/>
    <x v="31"/>
    <x v="611"/>
    <x v="7"/>
    <x v="2"/>
  </r>
  <r>
    <x v="771"/>
    <x v="2"/>
    <x v="13"/>
    <x v="0"/>
    <x v="2"/>
    <x v="6"/>
    <x v="42"/>
    <x v="612"/>
    <x v="4"/>
    <x v="1"/>
  </r>
  <r>
    <x v="772"/>
    <x v="1"/>
    <x v="1"/>
    <x v="1"/>
    <x v="0"/>
    <x v="1"/>
    <x v="43"/>
    <x v="613"/>
    <x v="0"/>
    <x v="2"/>
  </r>
  <r>
    <x v="773"/>
    <x v="0"/>
    <x v="30"/>
    <x v="2"/>
    <x v="1"/>
    <x v="8"/>
    <x v="25"/>
    <x v="514"/>
    <x v="2"/>
    <x v="1"/>
  </r>
  <r>
    <x v="774"/>
    <x v="1"/>
    <x v="7"/>
    <x v="2"/>
    <x v="0"/>
    <x v="5"/>
    <x v="44"/>
    <x v="448"/>
    <x v="2"/>
    <x v="1"/>
  </r>
  <r>
    <x v="775"/>
    <x v="3"/>
    <x v="15"/>
    <x v="1"/>
    <x v="1"/>
    <x v="1"/>
    <x v="5"/>
    <x v="614"/>
    <x v="2"/>
    <x v="0"/>
  </r>
  <r>
    <x v="776"/>
    <x v="2"/>
    <x v="21"/>
    <x v="2"/>
    <x v="1"/>
    <x v="6"/>
    <x v="12"/>
    <x v="615"/>
    <x v="7"/>
    <x v="1"/>
  </r>
  <r>
    <x v="777"/>
    <x v="0"/>
    <x v="0"/>
    <x v="0"/>
    <x v="0"/>
    <x v="4"/>
    <x v="36"/>
    <x v="616"/>
    <x v="2"/>
    <x v="1"/>
  </r>
  <r>
    <x v="778"/>
    <x v="1"/>
    <x v="30"/>
    <x v="2"/>
    <x v="0"/>
    <x v="7"/>
    <x v="46"/>
    <x v="617"/>
    <x v="8"/>
    <x v="3"/>
  </r>
  <r>
    <x v="779"/>
    <x v="0"/>
    <x v="9"/>
    <x v="0"/>
    <x v="0"/>
    <x v="9"/>
    <x v="2"/>
    <x v="595"/>
    <x v="2"/>
    <x v="2"/>
  </r>
  <r>
    <x v="780"/>
    <x v="3"/>
    <x v="19"/>
    <x v="0"/>
    <x v="1"/>
    <x v="6"/>
    <x v="32"/>
    <x v="580"/>
    <x v="4"/>
    <x v="2"/>
  </r>
  <r>
    <x v="781"/>
    <x v="0"/>
    <x v="30"/>
    <x v="2"/>
    <x v="1"/>
    <x v="8"/>
    <x v="14"/>
    <x v="389"/>
    <x v="4"/>
    <x v="3"/>
  </r>
  <r>
    <x v="782"/>
    <x v="0"/>
    <x v="8"/>
    <x v="3"/>
    <x v="1"/>
    <x v="5"/>
    <x v="53"/>
    <x v="328"/>
    <x v="8"/>
    <x v="3"/>
  </r>
  <r>
    <x v="783"/>
    <x v="4"/>
    <x v="5"/>
    <x v="1"/>
    <x v="1"/>
    <x v="9"/>
    <x v="56"/>
    <x v="207"/>
    <x v="1"/>
    <x v="2"/>
  </r>
  <r>
    <x v="784"/>
    <x v="3"/>
    <x v="12"/>
    <x v="1"/>
    <x v="0"/>
    <x v="2"/>
    <x v="23"/>
    <x v="618"/>
    <x v="7"/>
    <x v="3"/>
  </r>
  <r>
    <x v="785"/>
    <x v="0"/>
    <x v="34"/>
    <x v="3"/>
    <x v="0"/>
    <x v="1"/>
    <x v="59"/>
    <x v="619"/>
    <x v="4"/>
    <x v="0"/>
  </r>
  <r>
    <x v="786"/>
    <x v="2"/>
    <x v="21"/>
    <x v="2"/>
    <x v="0"/>
    <x v="7"/>
    <x v="25"/>
    <x v="620"/>
    <x v="2"/>
    <x v="0"/>
  </r>
  <r>
    <x v="787"/>
    <x v="0"/>
    <x v="11"/>
    <x v="1"/>
    <x v="1"/>
    <x v="7"/>
    <x v="24"/>
    <x v="522"/>
    <x v="0"/>
    <x v="1"/>
  </r>
  <r>
    <x v="788"/>
    <x v="1"/>
    <x v="11"/>
    <x v="1"/>
    <x v="2"/>
    <x v="2"/>
    <x v="9"/>
    <x v="621"/>
    <x v="1"/>
    <x v="2"/>
  </r>
  <r>
    <x v="789"/>
    <x v="0"/>
    <x v="0"/>
    <x v="0"/>
    <x v="0"/>
    <x v="6"/>
    <x v="7"/>
    <x v="601"/>
    <x v="7"/>
    <x v="2"/>
  </r>
  <r>
    <x v="790"/>
    <x v="0"/>
    <x v="21"/>
    <x v="2"/>
    <x v="1"/>
    <x v="3"/>
    <x v="53"/>
    <x v="622"/>
    <x v="0"/>
    <x v="1"/>
  </r>
  <r>
    <x v="791"/>
    <x v="3"/>
    <x v="30"/>
    <x v="2"/>
    <x v="1"/>
    <x v="5"/>
    <x v="53"/>
    <x v="623"/>
    <x v="7"/>
    <x v="3"/>
  </r>
  <r>
    <x v="792"/>
    <x v="1"/>
    <x v="9"/>
    <x v="0"/>
    <x v="0"/>
    <x v="9"/>
    <x v="17"/>
    <x v="624"/>
    <x v="2"/>
    <x v="1"/>
  </r>
  <r>
    <x v="793"/>
    <x v="1"/>
    <x v="3"/>
    <x v="2"/>
    <x v="1"/>
    <x v="6"/>
    <x v="28"/>
    <x v="625"/>
    <x v="0"/>
    <x v="2"/>
  </r>
  <r>
    <x v="794"/>
    <x v="1"/>
    <x v="11"/>
    <x v="1"/>
    <x v="1"/>
    <x v="9"/>
    <x v="46"/>
    <x v="326"/>
    <x v="4"/>
    <x v="1"/>
  </r>
  <r>
    <x v="795"/>
    <x v="2"/>
    <x v="22"/>
    <x v="0"/>
    <x v="0"/>
    <x v="0"/>
    <x v="10"/>
    <x v="626"/>
    <x v="8"/>
    <x v="0"/>
  </r>
  <r>
    <x v="796"/>
    <x v="3"/>
    <x v="1"/>
    <x v="1"/>
    <x v="0"/>
    <x v="3"/>
    <x v="17"/>
    <x v="627"/>
    <x v="2"/>
    <x v="2"/>
  </r>
  <r>
    <x v="797"/>
    <x v="2"/>
    <x v="27"/>
    <x v="1"/>
    <x v="0"/>
    <x v="4"/>
    <x v="4"/>
    <x v="628"/>
    <x v="1"/>
    <x v="0"/>
  </r>
  <r>
    <x v="798"/>
    <x v="2"/>
    <x v="24"/>
    <x v="0"/>
    <x v="0"/>
    <x v="2"/>
    <x v="9"/>
    <x v="133"/>
    <x v="5"/>
    <x v="0"/>
  </r>
  <r>
    <x v="799"/>
    <x v="0"/>
    <x v="23"/>
    <x v="3"/>
    <x v="0"/>
    <x v="6"/>
    <x v="6"/>
    <x v="629"/>
    <x v="1"/>
    <x v="1"/>
  </r>
  <r>
    <x v="800"/>
    <x v="4"/>
    <x v="17"/>
    <x v="1"/>
    <x v="0"/>
    <x v="9"/>
    <x v="12"/>
    <x v="550"/>
    <x v="4"/>
    <x v="2"/>
  </r>
  <r>
    <x v="801"/>
    <x v="1"/>
    <x v="13"/>
    <x v="0"/>
    <x v="1"/>
    <x v="5"/>
    <x v="44"/>
    <x v="214"/>
    <x v="0"/>
    <x v="2"/>
  </r>
  <r>
    <x v="802"/>
    <x v="2"/>
    <x v="9"/>
    <x v="0"/>
    <x v="1"/>
    <x v="3"/>
    <x v="45"/>
    <x v="630"/>
    <x v="0"/>
    <x v="2"/>
  </r>
  <r>
    <x v="803"/>
    <x v="1"/>
    <x v="17"/>
    <x v="1"/>
    <x v="1"/>
    <x v="1"/>
    <x v="56"/>
    <x v="631"/>
    <x v="5"/>
    <x v="1"/>
  </r>
  <r>
    <x v="804"/>
    <x v="0"/>
    <x v="15"/>
    <x v="1"/>
    <x v="1"/>
    <x v="6"/>
    <x v="34"/>
    <x v="230"/>
    <x v="1"/>
    <x v="0"/>
  </r>
  <r>
    <x v="805"/>
    <x v="2"/>
    <x v="0"/>
    <x v="0"/>
    <x v="0"/>
    <x v="3"/>
    <x v="27"/>
    <x v="632"/>
    <x v="0"/>
    <x v="2"/>
  </r>
  <r>
    <x v="806"/>
    <x v="0"/>
    <x v="1"/>
    <x v="1"/>
    <x v="0"/>
    <x v="2"/>
    <x v="56"/>
    <x v="388"/>
    <x v="7"/>
    <x v="2"/>
  </r>
  <r>
    <x v="807"/>
    <x v="0"/>
    <x v="14"/>
    <x v="0"/>
    <x v="1"/>
    <x v="4"/>
    <x v="31"/>
    <x v="500"/>
    <x v="5"/>
    <x v="2"/>
  </r>
  <r>
    <x v="808"/>
    <x v="1"/>
    <x v="1"/>
    <x v="1"/>
    <x v="1"/>
    <x v="6"/>
    <x v="55"/>
    <x v="633"/>
    <x v="3"/>
    <x v="1"/>
  </r>
  <r>
    <x v="809"/>
    <x v="1"/>
    <x v="0"/>
    <x v="0"/>
    <x v="0"/>
    <x v="8"/>
    <x v="50"/>
    <x v="634"/>
    <x v="5"/>
    <x v="1"/>
  </r>
  <r>
    <x v="810"/>
    <x v="1"/>
    <x v="3"/>
    <x v="2"/>
    <x v="1"/>
    <x v="0"/>
    <x v="39"/>
    <x v="635"/>
    <x v="5"/>
    <x v="2"/>
  </r>
  <r>
    <x v="811"/>
    <x v="1"/>
    <x v="29"/>
    <x v="0"/>
    <x v="1"/>
    <x v="6"/>
    <x v="58"/>
    <x v="636"/>
    <x v="1"/>
    <x v="0"/>
  </r>
  <r>
    <x v="812"/>
    <x v="0"/>
    <x v="26"/>
    <x v="0"/>
    <x v="1"/>
    <x v="9"/>
    <x v="22"/>
    <x v="637"/>
    <x v="2"/>
    <x v="1"/>
  </r>
  <r>
    <x v="813"/>
    <x v="1"/>
    <x v="11"/>
    <x v="1"/>
    <x v="1"/>
    <x v="4"/>
    <x v="56"/>
    <x v="182"/>
    <x v="1"/>
    <x v="3"/>
  </r>
  <r>
    <x v="814"/>
    <x v="0"/>
    <x v="6"/>
    <x v="2"/>
    <x v="0"/>
    <x v="8"/>
    <x v="25"/>
    <x v="206"/>
    <x v="5"/>
    <x v="1"/>
  </r>
  <r>
    <x v="815"/>
    <x v="1"/>
    <x v="0"/>
    <x v="0"/>
    <x v="0"/>
    <x v="5"/>
    <x v="3"/>
    <x v="638"/>
    <x v="4"/>
    <x v="3"/>
  </r>
  <r>
    <x v="816"/>
    <x v="0"/>
    <x v="29"/>
    <x v="0"/>
    <x v="0"/>
    <x v="2"/>
    <x v="5"/>
    <x v="608"/>
    <x v="3"/>
    <x v="2"/>
  </r>
  <r>
    <x v="817"/>
    <x v="4"/>
    <x v="2"/>
    <x v="1"/>
    <x v="1"/>
    <x v="7"/>
    <x v="50"/>
    <x v="639"/>
    <x v="8"/>
    <x v="2"/>
  </r>
  <r>
    <x v="818"/>
    <x v="2"/>
    <x v="20"/>
    <x v="2"/>
    <x v="1"/>
    <x v="9"/>
    <x v="40"/>
    <x v="165"/>
    <x v="0"/>
    <x v="1"/>
  </r>
  <r>
    <x v="819"/>
    <x v="1"/>
    <x v="4"/>
    <x v="1"/>
    <x v="1"/>
    <x v="8"/>
    <x v="59"/>
    <x v="540"/>
    <x v="7"/>
    <x v="2"/>
  </r>
  <r>
    <x v="820"/>
    <x v="0"/>
    <x v="6"/>
    <x v="2"/>
    <x v="1"/>
    <x v="1"/>
    <x v="7"/>
    <x v="406"/>
    <x v="4"/>
    <x v="1"/>
  </r>
  <r>
    <x v="821"/>
    <x v="3"/>
    <x v="29"/>
    <x v="0"/>
    <x v="1"/>
    <x v="5"/>
    <x v="18"/>
    <x v="640"/>
    <x v="4"/>
    <x v="3"/>
  </r>
  <r>
    <x v="822"/>
    <x v="4"/>
    <x v="1"/>
    <x v="1"/>
    <x v="0"/>
    <x v="8"/>
    <x v="59"/>
    <x v="641"/>
    <x v="2"/>
    <x v="1"/>
  </r>
  <r>
    <x v="823"/>
    <x v="1"/>
    <x v="25"/>
    <x v="0"/>
    <x v="1"/>
    <x v="3"/>
    <x v="42"/>
    <x v="642"/>
    <x v="5"/>
    <x v="1"/>
  </r>
  <r>
    <x v="824"/>
    <x v="1"/>
    <x v="5"/>
    <x v="1"/>
    <x v="1"/>
    <x v="4"/>
    <x v="59"/>
    <x v="643"/>
    <x v="6"/>
    <x v="2"/>
  </r>
  <r>
    <x v="825"/>
    <x v="4"/>
    <x v="24"/>
    <x v="0"/>
    <x v="0"/>
    <x v="8"/>
    <x v="3"/>
    <x v="644"/>
    <x v="2"/>
    <x v="0"/>
  </r>
  <r>
    <x v="826"/>
    <x v="3"/>
    <x v="23"/>
    <x v="3"/>
    <x v="0"/>
    <x v="1"/>
    <x v="3"/>
    <x v="3"/>
    <x v="1"/>
    <x v="2"/>
  </r>
  <r>
    <x v="827"/>
    <x v="2"/>
    <x v="2"/>
    <x v="1"/>
    <x v="0"/>
    <x v="8"/>
    <x v="17"/>
    <x v="293"/>
    <x v="4"/>
    <x v="3"/>
  </r>
  <r>
    <x v="828"/>
    <x v="0"/>
    <x v="17"/>
    <x v="1"/>
    <x v="1"/>
    <x v="3"/>
    <x v="12"/>
    <x v="645"/>
    <x v="5"/>
    <x v="0"/>
  </r>
  <r>
    <x v="829"/>
    <x v="2"/>
    <x v="14"/>
    <x v="0"/>
    <x v="1"/>
    <x v="2"/>
    <x v="49"/>
    <x v="596"/>
    <x v="2"/>
    <x v="2"/>
  </r>
  <r>
    <x v="830"/>
    <x v="2"/>
    <x v="6"/>
    <x v="2"/>
    <x v="0"/>
    <x v="6"/>
    <x v="47"/>
    <x v="560"/>
    <x v="5"/>
    <x v="0"/>
  </r>
  <r>
    <x v="831"/>
    <x v="0"/>
    <x v="23"/>
    <x v="3"/>
    <x v="0"/>
    <x v="9"/>
    <x v="34"/>
    <x v="253"/>
    <x v="8"/>
    <x v="2"/>
  </r>
  <r>
    <x v="832"/>
    <x v="3"/>
    <x v="12"/>
    <x v="1"/>
    <x v="1"/>
    <x v="1"/>
    <x v="57"/>
    <x v="646"/>
    <x v="6"/>
    <x v="0"/>
  </r>
  <r>
    <x v="833"/>
    <x v="4"/>
    <x v="3"/>
    <x v="2"/>
    <x v="0"/>
    <x v="1"/>
    <x v="1"/>
    <x v="647"/>
    <x v="1"/>
    <x v="2"/>
  </r>
  <r>
    <x v="834"/>
    <x v="0"/>
    <x v="2"/>
    <x v="1"/>
    <x v="1"/>
    <x v="7"/>
    <x v="7"/>
    <x v="648"/>
    <x v="8"/>
    <x v="0"/>
  </r>
  <r>
    <x v="835"/>
    <x v="2"/>
    <x v="15"/>
    <x v="1"/>
    <x v="0"/>
    <x v="4"/>
    <x v="33"/>
    <x v="649"/>
    <x v="8"/>
    <x v="3"/>
  </r>
  <r>
    <x v="836"/>
    <x v="2"/>
    <x v="17"/>
    <x v="1"/>
    <x v="1"/>
    <x v="7"/>
    <x v="34"/>
    <x v="650"/>
    <x v="5"/>
    <x v="2"/>
  </r>
  <r>
    <x v="837"/>
    <x v="0"/>
    <x v="2"/>
    <x v="1"/>
    <x v="1"/>
    <x v="1"/>
    <x v="46"/>
    <x v="542"/>
    <x v="5"/>
    <x v="2"/>
  </r>
  <r>
    <x v="838"/>
    <x v="4"/>
    <x v="29"/>
    <x v="0"/>
    <x v="0"/>
    <x v="6"/>
    <x v="2"/>
    <x v="651"/>
    <x v="1"/>
    <x v="0"/>
  </r>
  <r>
    <x v="839"/>
    <x v="3"/>
    <x v="17"/>
    <x v="1"/>
    <x v="1"/>
    <x v="1"/>
    <x v="53"/>
    <x v="652"/>
    <x v="5"/>
    <x v="2"/>
  </r>
  <r>
    <x v="840"/>
    <x v="0"/>
    <x v="3"/>
    <x v="2"/>
    <x v="1"/>
    <x v="1"/>
    <x v="1"/>
    <x v="653"/>
    <x v="5"/>
    <x v="1"/>
  </r>
  <r>
    <x v="841"/>
    <x v="0"/>
    <x v="4"/>
    <x v="1"/>
    <x v="0"/>
    <x v="5"/>
    <x v="9"/>
    <x v="654"/>
    <x v="4"/>
    <x v="1"/>
  </r>
  <r>
    <x v="842"/>
    <x v="3"/>
    <x v="21"/>
    <x v="2"/>
    <x v="1"/>
    <x v="1"/>
    <x v="34"/>
    <x v="230"/>
    <x v="3"/>
    <x v="0"/>
  </r>
  <r>
    <x v="843"/>
    <x v="0"/>
    <x v="4"/>
    <x v="1"/>
    <x v="1"/>
    <x v="0"/>
    <x v="46"/>
    <x v="655"/>
    <x v="1"/>
    <x v="3"/>
  </r>
  <r>
    <x v="844"/>
    <x v="0"/>
    <x v="27"/>
    <x v="1"/>
    <x v="1"/>
    <x v="5"/>
    <x v="50"/>
    <x v="656"/>
    <x v="2"/>
    <x v="2"/>
  </r>
  <r>
    <x v="845"/>
    <x v="2"/>
    <x v="3"/>
    <x v="2"/>
    <x v="0"/>
    <x v="1"/>
    <x v="20"/>
    <x v="412"/>
    <x v="7"/>
    <x v="1"/>
  </r>
  <r>
    <x v="846"/>
    <x v="0"/>
    <x v="7"/>
    <x v="2"/>
    <x v="0"/>
    <x v="2"/>
    <x v="4"/>
    <x v="657"/>
    <x v="5"/>
    <x v="0"/>
  </r>
  <r>
    <x v="847"/>
    <x v="4"/>
    <x v="6"/>
    <x v="2"/>
    <x v="0"/>
    <x v="2"/>
    <x v="18"/>
    <x v="658"/>
    <x v="2"/>
    <x v="1"/>
  </r>
  <r>
    <x v="848"/>
    <x v="2"/>
    <x v="19"/>
    <x v="0"/>
    <x v="0"/>
    <x v="5"/>
    <x v="18"/>
    <x v="659"/>
    <x v="4"/>
    <x v="2"/>
  </r>
  <r>
    <x v="849"/>
    <x v="2"/>
    <x v="0"/>
    <x v="0"/>
    <x v="0"/>
    <x v="0"/>
    <x v="43"/>
    <x v="120"/>
    <x v="2"/>
    <x v="2"/>
  </r>
  <r>
    <x v="850"/>
    <x v="0"/>
    <x v="1"/>
    <x v="1"/>
    <x v="0"/>
    <x v="3"/>
    <x v="26"/>
    <x v="32"/>
    <x v="5"/>
    <x v="2"/>
  </r>
  <r>
    <x v="851"/>
    <x v="1"/>
    <x v="17"/>
    <x v="1"/>
    <x v="0"/>
    <x v="8"/>
    <x v="31"/>
    <x v="220"/>
    <x v="1"/>
    <x v="2"/>
  </r>
  <r>
    <x v="852"/>
    <x v="3"/>
    <x v="13"/>
    <x v="0"/>
    <x v="2"/>
    <x v="1"/>
    <x v="3"/>
    <x v="660"/>
    <x v="0"/>
    <x v="2"/>
  </r>
  <r>
    <x v="853"/>
    <x v="0"/>
    <x v="30"/>
    <x v="2"/>
    <x v="0"/>
    <x v="3"/>
    <x v="16"/>
    <x v="661"/>
    <x v="7"/>
    <x v="2"/>
  </r>
  <r>
    <x v="854"/>
    <x v="2"/>
    <x v="5"/>
    <x v="1"/>
    <x v="1"/>
    <x v="5"/>
    <x v="37"/>
    <x v="662"/>
    <x v="5"/>
    <x v="2"/>
  </r>
  <r>
    <x v="855"/>
    <x v="3"/>
    <x v="7"/>
    <x v="2"/>
    <x v="0"/>
    <x v="7"/>
    <x v="10"/>
    <x v="663"/>
    <x v="8"/>
    <x v="1"/>
  </r>
  <r>
    <x v="856"/>
    <x v="0"/>
    <x v="32"/>
    <x v="1"/>
    <x v="0"/>
    <x v="7"/>
    <x v="28"/>
    <x v="664"/>
    <x v="5"/>
    <x v="0"/>
  </r>
  <r>
    <x v="857"/>
    <x v="4"/>
    <x v="10"/>
    <x v="2"/>
    <x v="2"/>
    <x v="1"/>
    <x v="52"/>
    <x v="665"/>
    <x v="2"/>
    <x v="2"/>
  </r>
  <r>
    <x v="858"/>
    <x v="1"/>
    <x v="15"/>
    <x v="1"/>
    <x v="0"/>
    <x v="9"/>
    <x v="15"/>
    <x v="666"/>
    <x v="4"/>
    <x v="2"/>
  </r>
  <r>
    <x v="859"/>
    <x v="2"/>
    <x v="7"/>
    <x v="2"/>
    <x v="0"/>
    <x v="4"/>
    <x v="2"/>
    <x v="667"/>
    <x v="3"/>
    <x v="2"/>
  </r>
  <r>
    <x v="860"/>
    <x v="2"/>
    <x v="32"/>
    <x v="1"/>
    <x v="0"/>
    <x v="8"/>
    <x v="56"/>
    <x v="668"/>
    <x v="2"/>
    <x v="0"/>
  </r>
  <r>
    <x v="861"/>
    <x v="4"/>
    <x v="12"/>
    <x v="1"/>
    <x v="0"/>
    <x v="7"/>
    <x v="54"/>
    <x v="222"/>
    <x v="5"/>
    <x v="0"/>
  </r>
  <r>
    <x v="862"/>
    <x v="2"/>
    <x v="10"/>
    <x v="2"/>
    <x v="1"/>
    <x v="6"/>
    <x v="26"/>
    <x v="474"/>
    <x v="0"/>
    <x v="3"/>
  </r>
  <r>
    <x v="863"/>
    <x v="2"/>
    <x v="15"/>
    <x v="1"/>
    <x v="1"/>
    <x v="2"/>
    <x v="17"/>
    <x v="669"/>
    <x v="6"/>
    <x v="3"/>
  </r>
  <r>
    <x v="864"/>
    <x v="4"/>
    <x v="27"/>
    <x v="1"/>
    <x v="0"/>
    <x v="9"/>
    <x v="6"/>
    <x v="14"/>
    <x v="4"/>
    <x v="3"/>
  </r>
  <r>
    <x v="865"/>
    <x v="4"/>
    <x v="14"/>
    <x v="0"/>
    <x v="0"/>
    <x v="8"/>
    <x v="19"/>
    <x v="586"/>
    <x v="4"/>
    <x v="0"/>
  </r>
  <r>
    <x v="866"/>
    <x v="1"/>
    <x v="22"/>
    <x v="0"/>
    <x v="1"/>
    <x v="9"/>
    <x v="37"/>
    <x v="670"/>
    <x v="8"/>
    <x v="2"/>
  </r>
  <r>
    <x v="867"/>
    <x v="2"/>
    <x v="28"/>
    <x v="3"/>
    <x v="0"/>
    <x v="5"/>
    <x v="49"/>
    <x v="671"/>
    <x v="8"/>
    <x v="2"/>
  </r>
  <r>
    <x v="868"/>
    <x v="1"/>
    <x v="12"/>
    <x v="1"/>
    <x v="1"/>
    <x v="9"/>
    <x v="41"/>
    <x v="672"/>
    <x v="5"/>
    <x v="2"/>
  </r>
  <r>
    <x v="869"/>
    <x v="0"/>
    <x v="11"/>
    <x v="1"/>
    <x v="1"/>
    <x v="6"/>
    <x v="22"/>
    <x v="673"/>
    <x v="4"/>
    <x v="1"/>
  </r>
  <r>
    <x v="870"/>
    <x v="0"/>
    <x v="9"/>
    <x v="0"/>
    <x v="0"/>
    <x v="8"/>
    <x v="4"/>
    <x v="674"/>
    <x v="3"/>
    <x v="3"/>
  </r>
  <r>
    <x v="871"/>
    <x v="2"/>
    <x v="25"/>
    <x v="0"/>
    <x v="0"/>
    <x v="1"/>
    <x v="17"/>
    <x v="675"/>
    <x v="1"/>
    <x v="1"/>
  </r>
  <r>
    <x v="872"/>
    <x v="1"/>
    <x v="12"/>
    <x v="1"/>
    <x v="1"/>
    <x v="1"/>
    <x v="11"/>
    <x v="90"/>
    <x v="2"/>
    <x v="0"/>
  </r>
  <r>
    <x v="873"/>
    <x v="3"/>
    <x v="9"/>
    <x v="0"/>
    <x v="0"/>
    <x v="3"/>
    <x v="18"/>
    <x v="640"/>
    <x v="5"/>
    <x v="3"/>
  </r>
  <r>
    <x v="874"/>
    <x v="1"/>
    <x v="3"/>
    <x v="2"/>
    <x v="1"/>
    <x v="1"/>
    <x v="24"/>
    <x v="676"/>
    <x v="8"/>
    <x v="1"/>
  </r>
  <r>
    <x v="875"/>
    <x v="3"/>
    <x v="6"/>
    <x v="2"/>
    <x v="0"/>
    <x v="9"/>
    <x v="39"/>
    <x v="635"/>
    <x v="2"/>
    <x v="1"/>
  </r>
  <r>
    <x v="876"/>
    <x v="2"/>
    <x v="2"/>
    <x v="1"/>
    <x v="1"/>
    <x v="0"/>
    <x v="12"/>
    <x v="677"/>
    <x v="4"/>
    <x v="2"/>
  </r>
  <r>
    <x v="877"/>
    <x v="1"/>
    <x v="6"/>
    <x v="2"/>
    <x v="1"/>
    <x v="5"/>
    <x v="46"/>
    <x v="678"/>
    <x v="0"/>
    <x v="2"/>
  </r>
  <r>
    <x v="878"/>
    <x v="2"/>
    <x v="12"/>
    <x v="1"/>
    <x v="1"/>
    <x v="7"/>
    <x v="19"/>
    <x v="23"/>
    <x v="5"/>
    <x v="3"/>
  </r>
  <r>
    <x v="879"/>
    <x v="0"/>
    <x v="9"/>
    <x v="0"/>
    <x v="0"/>
    <x v="4"/>
    <x v="16"/>
    <x v="262"/>
    <x v="7"/>
    <x v="0"/>
  </r>
  <r>
    <x v="880"/>
    <x v="1"/>
    <x v="27"/>
    <x v="1"/>
    <x v="1"/>
    <x v="1"/>
    <x v="5"/>
    <x v="679"/>
    <x v="1"/>
    <x v="2"/>
  </r>
  <r>
    <x v="881"/>
    <x v="3"/>
    <x v="6"/>
    <x v="2"/>
    <x v="1"/>
    <x v="8"/>
    <x v="42"/>
    <x v="680"/>
    <x v="4"/>
    <x v="0"/>
  </r>
  <r>
    <x v="882"/>
    <x v="0"/>
    <x v="0"/>
    <x v="0"/>
    <x v="0"/>
    <x v="1"/>
    <x v="10"/>
    <x v="520"/>
    <x v="0"/>
    <x v="2"/>
  </r>
  <r>
    <x v="883"/>
    <x v="1"/>
    <x v="3"/>
    <x v="2"/>
    <x v="1"/>
    <x v="4"/>
    <x v="32"/>
    <x v="681"/>
    <x v="7"/>
    <x v="0"/>
  </r>
  <r>
    <x v="884"/>
    <x v="0"/>
    <x v="32"/>
    <x v="1"/>
    <x v="0"/>
    <x v="9"/>
    <x v="7"/>
    <x v="331"/>
    <x v="5"/>
    <x v="2"/>
  </r>
  <r>
    <x v="885"/>
    <x v="3"/>
    <x v="10"/>
    <x v="2"/>
    <x v="1"/>
    <x v="2"/>
    <x v="38"/>
    <x v="682"/>
    <x v="3"/>
    <x v="1"/>
  </r>
  <r>
    <x v="886"/>
    <x v="4"/>
    <x v="1"/>
    <x v="1"/>
    <x v="0"/>
    <x v="5"/>
    <x v="20"/>
    <x v="683"/>
    <x v="4"/>
    <x v="2"/>
  </r>
  <r>
    <x v="887"/>
    <x v="4"/>
    <x v="24"/>
    <x v="0"/>
    <x v="0"/>
    <x v="3"/>
    <x v="41"/>
    <x v="684"/>
    <x v="2"/>
    <x v="1"/>
  </r>
  <r>
    <x v="888"/>
    <x v="1"/>
    <x v="0"/>
    <x v="0"/>
    <x v="0"/>
    <x v="2"/>
    <x v="27"/>
    <x v="685"/>
    <x v="4"/>
    <x v="3"/>
  </r>
  <r>
    <x v="889"/>
    <x v="2"/>
    <x v="29"/>
    <x v="0"/>
    <x v="1"/>
    <x v="8"/>
    <x v="6"/>
    <x v="686"/>
    <x v="3"/>
    <x v="3"/>
  </r>
  <r>
    <x v="890"/>
    <x v="0"/>
    <x v="15"/>
    <x v="1"/>
    <x v="1"/>
    <x v="6"/>
    <x v="20"/>
    <x v="62"/>
    <x v="1"/>
    <x v="0"/>
  </r>
  <r>
    <x v="891"/>
    <x v="4"/>
    <x v="17"/>
    <x v="1"/>
    <x v="0"/>
    <x v="0"/>
    <x v="9"/>
    <x v="687"/>
    <x v="2"/>
    <x v="1"/>
  </r>
  <r>
    <x v="892"/>
    <x v="1"/>
    <x v="4"/>
    <x v="1"/>
    <x v="0"/>
    <x v="0"/>
    <x v="37"/>
    <x v="688"/>
    <x v="7"/>
    <x v="2"/>
  </r>
  <r>
    <x v="893"/>
    <x v="2"/>
    <x v="32"/>
    <x v="1"/>
    <x v="1"/>
    <x v="5"/>
    <x v="47"/>
    <x v="560"/>
    <x v="4"/>
    <x v="1"/>
  </r>
  <r>
    <x v="894"/>
    <x v="3"/>
    <x v="12"/>
    <x v="1"/>
    <x v="1"/>
    <x v="2"/>
    <x v="2"/>
    <x v="689"/>
    <x v="6"/>
    <x v="1"/>
  </r>
  <r>
    <x v="895"/>
    <x v="0"/>
    <x v="28"/>
    <x v="3"/>
    <x v="0"/>
    <x v="6"/>
    <x v="55"/>
    <x v="524"/>
    <x v="3"/>
    <x v="0"/>
  </r>
  <r>
    <x v="896"/>
    <x v="3"/>
    <x v="9"/>
    <x v="0"/>
    <x v="1"/>
    <x v="4"/>
    <x v="23"/>
    <x v="690"/>
    <x v="5"/>
    <x v="2"/>
  </r>
  <r>
    <x v="897"/>
    <x v="0"/>
    <x v="1"/>
    <x v="1"/>
    <x v="2"/>
    <x v="5"/>
    <x v="37"/>
    <x v="691"/>
    <x v="3"/>
    <x v="0"/>
  </r>
  <r>
    <x v="898"/>
    <x v="1"/>
    <x v="25"/>
    <x v="0"/>
    <x v="1"/>
    <x v="1"/>
    <x v="26"/>
    <x v="692"/>
    <x v="6"/>
    <x v="1"/>
  </r>
  <r>
    <x v="899"/>
    <x v="1"/>
    <x v="30"/>
    <x v="2"/>
    <x v="1"/>
    <x v="4"/>
    <x v="36"/>
    <x v="693"/>
    <x v="3"/>
    <x v="2"/>
  </r>
  <r>
    <x v="900"/>
    <x v="0"/>
    <x v="23"/>
    <x v="3"/>
    <x v="0"/>
    <x v="4"/>
    <x v="32"/>
    <x v="561"/>
    <x v="2"/>
    <x v="2"/>
  </r>
  <r>
    <x v="901"/>
    <x v="4"/>
    <x v="27"/>
    <x v="1"/>
    <x v="0"/>
    <x v="4"/>
    <x v="1"/>
    <x v="694"/>
    <x v="5"/>
    <x v="0"/>
  </r>
  <r>
    <x v="902"/>
    <x v="0"/>
    <x v="6"/>
    <x v="2"/>
    <x v="0"/>
    <x v="9"/>
    <x v="57"/>
    <x v="695"/>
    <x v="0"/>
    <x v="0"/>
  </r>
  <r>
    <x v="903"/>
    <x v="0"/>
    <x v="12"/>
    <x v="1"/>
    <x v="0"/>
    <x v="8"/>
    <x v="43"/>
    <x v="696"/>
    <x v="5"/>
    <x v="2"/>
  </r>
  <r>
    <x v="904"/>
    <x v="3"/>
    <x v="14"/>
    <x v="0"/>
    <x v="0"/>
    <x v="2"/>
    <x v="49"/>
    <x v="697"/>
    <x v="5"/>
    <x v="2"/>
  </r>
  <r>
    <x v="905"/>
    <x v="1"/>
    <x v="22"/>
    <x v="0"/>
    <x v="2"/>
    <x v="5"/>
    <x v="59"/>
    <x v="698"/>
    <x v="2"/>
    <x v="2"/>
  </r>
  <r>
    <x v="906"/>
    <x v="1"/>
    <x v="1"/>
    <x v="1"/>
    <x v="0"/>
    <x v="6"/>
    <x v="49"/>
    <x v="699"/>
    <x v="0"/>
    <x v="1"/>
  </r>
  <r>
    <x v="907"/>
    <x v="0"/>
    <x v="27"/>
    <x v="1"/>
    <x v="0"/>
    <x v="4"/>
    <x v="58"/>
    <x v="700"/>
    <x v="1"/>
    <x v="0"/>
  </r>
  <r>
    <x v="908"/>
    <x v="0"/>
    <x v="12"/>
    <x v="1"/>
    <x v="1"/>
    <x v="0"/>
    <x v="49"/>
    <x v="701"/>
    <x v="2"/>
    <x v="3"/>
  </r>
  <r>
    <x v="909"/>
    <x v="1"/>
    <x v="6"/>
    <x v="2"/>
    <x v="1"/>
    <x v="1"/>
    <x v="50"/>
    <x v="438"/>
    <x v="7"/>
    <x v="2"/>
  </r>
  <r>
    <x v="910"/>
    <x v="2"/>
    <x v="27"/>
    <x v="1"/>
    <x v="1"/>
    <x v="3"/>
    <x v="6"/>
    <x v="516"/>
    <x v="2"/>
    <x v="1"/>
  </r>
  <r>
    <x v="911"/>
    <x v="1"/>
    <x v="11"/>
    <x v="1"/>
    <x v="0"/>
    <x v="6"/>
    <x v="49"/>
    <x v="260"/>
    <x v="7"/>
    <x v="2"/>
  </r>
  <r>
    <x v="912"/>
    <x v="2"/>
    <x v="24"/>
    <x v="0"/>
    <x v="1"/>
    <x v="6"/>
    <x v="30"/>
    <x v="702"/>
    <x v="3"/>
    <x v="3"/>
  </r>
  <r>
    <x v="913"/>
    <x v="3"/>
    <x v="32"/>
    <x v="1"/>
    <x v="0"/>
    <x v="3"/>
    <x v="13"/>
    <x v="703"/>
    <x v="8"/>
    <x v="2"/>
  </r>
  <r>
    <x v="914"/>
    <x v="2"/>
    <x v="0"/>
    <x v="0"/>
    <x v="1"/>
    <x v="3"/>
    <x v="59"/>
    <x v="422"/>
    <x v="6"/>
    <x v="2"/>
  </r>
  <r>
    <x v="915"/>
    <x v="0"/>
    <x v="3"/>
    <x v="2"/>
    <x v="0"/>
    <x v="0"/>
    <x v="30"/>
    <x v="704"/>
    <x v="6"/>
    <x v="1"/>
  </r>
  <r>
    <x v="916"/>
    <x v="1"/>
    <x v="6"/>
    <x v="2"/>
    <x v="1"/>
    <x v="8"/>
    <x v="4"/>
    <x v="705"/>
    <x v="5"/>
    <x v="2"/>
  </r>
  <r>
    <x v="917"/>
    <x v="2"/>
    <x v="16"/>
    <x v="3"/>
    <x v="1"/>
    <x v="8"/>
    <x v="42"/>
    <x v="706"/>
    <x v="1"/>
    <x v="2"/>
  </r>
  <r>
    <x v="918"/>
    <x v="3"/>
    <x v="29"/>
    <x v="0"/>
    <x v="0"/>
    <x v="9"/>
    <x v="51"/>
    <x v="707"/>
    <x v="1"/>
    <x v="1"/>
  </r>
  <r>
    <x v="919"/>
    <x v="1"/>
    <x v="6"/>
    <x v="2"/>
    <x v="0"/>
    <x v="1"/>
    <x v="25"/>
    <x v="309"/>
    <x v="5"/>
    <x v="1"/>
  </r>
  <r>
    <x v="920"/>
    <x v="0"/>
    <x v="2"/>
    <x v="1"/>
    <x v="1"/>
    <x v="1"/>
    <x v="24"/>
    <x v="281"/>
    <x v="3"/>
    <x v="1"/>
  </r>
  <r>
    <x v="921"/>
    <x v="2"/>
    <x v="32"/>
    <x v="1"/>
    <x v="0"/>
    <x v="1"/>
    <x v="21"/>
    <x v="708"/>
    <x v="4"/>
    <x v="0"/>
  </r>
  <r>
    <x v="922"/>
    <x v="4"/>
    <x v="10"/>
    <x v="2"/>
    <x v="0"/>
    <x v="2"/>
    <x v="28"/>
    <x v="709"/>
    <x v="5"/>
    <x v="0"/>
  </r>
  <r>
    <x v="923"/>
    <x v="2"/>
    <x v="12"/>
    <x v="1"/>
    <x v="0"/>
    <x v="8"/>
    <x v="19"/>
    <x v="710"/>
    <x v="6"/>
    <x v="2"/>
  </r>
  <r>
    <x v="924"/>
    <x v="0"/>
    <x v="6"/>
    <x v="2"/>
    <x v="0"/>
    <x v="0"/>
    <x v="59"/>
    <x v="422"/>
    <x v="1"/>
    <x v="3"/>
  </r>
  <r>
    <x v="925"/>
    <x v="1"/>
    <x v="32"/>
    <x v="1"/>
    <x v="0"/>
    <x v="2"/>
    <x v="35"/>
    <x v="711"/>
    <x v="4"/>
    <x v="0"/>
  </r>
  <r>
    <x v="926"/>
    <x v="1"/>
    <x v="12"/>
    <x v="1"/>
    <x v="1"/>
    <x v="7"/>
    <x v="58"/>
    <x v="712"/>
    <x v="4"/>
    <x v="1"/>
  </r>
  <r>
    <x v="927"/>
    <x v="0"/>
    <x v="15"/>
    <x v="1"/>
    <x v="0"/>
    <x v="3"/>
    <x v="43"/>
    <x v="461"/>
    <x v="5"/>
    <x v="1"/>
  </r>
  <r>
    <x v="928"/>
    <x v="3"/>
    <x v="5"/>
    <x v="1"/>
    <x v="1"/>
    <x v="8"/>
    <x v="24"/>
    <x v="196"/>
    <x v="7"/>
    <x v="1"/>
  </r>
  <r>
    <x v="929"/>
    <x v="0"/>
    <x v="28"/>
    <x v="3"/>
    <x v="0"/>
    <x v="5"/>
    <x v="18"/>
    <x v="480"/>
    <x v="4"/>
    <x v="2"/>
  </r>
  <r>
    <x v="930"/>
    <x v="0"/>
    <x v="11"/>
    <x v="1"/>
    <x v="1"/>
    <x v="2"/>
    <x v="47"/>
    <x v="713"/>
    <x v="8"/>
    <x v="1"/>
  </r>
  <r>
    <x v="931"/>
    <x v="3"/>
    <x v="4"/>
    <x v="1"/>
    <x v="0"/>
    <x v="2"/>
    <x v="32"/>
    <x v="348"/>
    <x v="3"/>
    <x v="0"/>
  </r>
  <r>
    <x v="932"/>
    <x v="1"/>
    <x v="11"/>
    <x v="1"/>
    <x v="0"/>
    <x v="0"/>
    <x v="33"/>
    <x v="495"/>
    <x v="2"/>
    <x v="2"/>
  </r>
  <r>
    <x v="933"/>
    <x v="0"/>
    <x v="14"/>
    <x v="0"/>
    <x v="0"/>
    <x v="9"/>
    <x v="17"/>
    <x v="350"/>
    <x v="4"/>
    <x v="3"/>
  </r>
  <r>
    <x v="934"/>
    <x v="0"/>
    <x v="4"/>
    <x v="1"/>
    <x v="1"/>
    <x v="5"/>
    <x v="58"/>
    <x v="714"/>
    <x v="7"/>
    <x v="1"/>
  </r>
  <r>
    <x v="935"/>
    <x v="3"/>
    <x v="6"/>
    <x v="2"/>
    <x v="1"/>
    <x v="3"/>
    <x v="1"/>
    <x v="432"/>
    <x v="3"/>
    <x v="2"/>
  </r>
  <r>
    <x v="936"/>
    <x v="2"/>
    <x v="27"/>
    <x v="1"/>
    <x v="0"/>
    <x v="6"/>
    <x v="19"/>
    <x v="235"/>
    <x v="1"/>
    <x v="2"/>
  </r>
  <r>
    <x v="937"/>
    <x v="4"/>
    <x v="11"/>
    <x v="1"/>
    <x v="1"/>
    <x v="2"/>
    <x v="32"/>
    <x v="478"/>
    <x v="5"/>
    <x v="0"/>
  </r>
  <r>
    <x v="938"/>
    <x v="4"/>
    <x v="10"/>
    <x v="2"/>
    <x v="1"/>
    <x v="4"/>
    <x v="30"/>
    <x v="173"/>
    <x v="4"/>
    <x v="1"/>
  </r>
  <r>
    <x v="939"/>
    <x v="1"/>
    <x v="23"/>
    <x v="3"/>
    <x v="0"/>
    <x v="0"/>
    <x v="52"/>
    <x v="715"/>
    <x v="4"/>
    <x v="2"/>
  </r>
  <r>
    <x v="940"/>
    <x v="4"/>
    <x v="0"/>
    <x v="0"/>
    <x v="0"/>
    <x v="0"/>
    <x v="28"/>
    <x v="716"/>
    <x v="3"/>
    <x v="3"/>
  </r>
  <r>
    <x v="941"/>
    <x v="3"/>
    <x v="14"/>
    <x v="0"/>
    <x v="0"/>
    <x v="0"/>
    <x v="16"/>
    <x v="717"/>
    <x v="8"/>
    <x v="0"/>
  </r>
  <r>
    <x v="942"/>
    <x v="2"/>
    <x v="9"/>
    <x v="0"/>
    <x v="1"/>
    <x v="3"/>
    <x v="43"/>
    <x v="718"/>
    <x v="3"/>
    <x v="0"/>
  </r>
  <r>
    <x v="943"/>
    <x v="3"/>
    <x v="17"/>
    <x v="1"/>
    <x v="0"/>
    <x v="1"/>
    <x v="25"/>
    <x v="719"/>
    <x v="1"/>
    <x v="2"/>
  </r>
  <r>
    <x v="944"/>
    <x v="0"/>
    <x v="3"/>
    <x v="2"/>
    <x v="0"/>
    <x v="9"/>
    <x v="50"/>
    <x v="639"/>
    <x v="8"/>
    <x v="1"/>
  </r>
  <r>
    <x v="945"/>
    <x v="2"/>
    <x v="6"/>
    <x v="2"/>
    <x v="1"/>
    <x v="6"/>
    <x v="7"/>
    <x v="720"/>
    <x v="6"/>
    <x v="2"/>
  </r>
  <r>
    <x v="946"/>
    <x v="1"/>
    <x v="6"/>
    <x v="2"/>
    <x v="0"/>
    <x v="9"/>
    <x v="37"/>
    <x v="721"/>
    <x v="8"/>
    <x v="3"/>
  </r>
  <r>
    <x v="947"/>
    <x v="2"/>
    <x v="29"/>
    <x v="0"/>
    <x v="1"/>
    <x v="0"/>
    <x v="3"/>
    <x v="722"/>
    <x v="1"/>
    <x v="2"/>
  </r>
  <r>
    <x v="948"/>
    <x v="2"/>
    <x v="23"/>
    <x v="3"/>
    <x v="1"/>
    <x v="1"/>
    <x v="7"/>
    <x v="356"/>
    <x v="5"/>
    <x v="1"/>
  </r>
  <r>
    <x v="949"/>
    <x v="0"/>
    <x v="13"/>
    <x v="0"/>
    <x v="1"/>
    <x v="1"/>
    <x v="4"/>
    <x v="674"/>
    <x v="4"/>
    <x v="0"/>
  </r>
  <r>
    <x v="950"/>
    <x v="2"/>
    <x v="4"/>
    <x v="1"/>
    <x v="0"/>
    <x v="8"/>
    <x v="11"/>
    <x v="723"/>
    <x v="8"/>
    <x v="3"/>
  </r>
  <r>
    <x v="951"/>
    <x v="2"/>
    <x v="10"/>
    <x v="2"/>
    <x v="0"/>
    <x v="8"/>
    <x v="17"/>
    <x v="167"/>
    <x v="2"/>
    <x v="2"/>
  </r>
  <r>
    <x v="952"/>
    <x v="2"/>
    <x v="0"/>
    <x v="0"/>
    <x v="0"/>
    <x v="8"/>
    <x v="55"/>
    <x v="724"/>
    <x v="6"/>
    <x v="1"/>
  </r>
  <r>
    <x v="953"/>
    <x v="3"/>
    <x v="9"/>
    <x v="0"/>
    <x v="1"/>
    <x v="7"/>
    <x v="46"/>
    <x v="381"/>
    <x v="0"/>
    <x v="0"/>
  </r>
  <r>
    <x v="954"/>
    <x v="0"/>
    <x v="12"/>
    <x v="1"/>
    <x v="1"/>
    <x v="0"/>
    <x v="11"/>
    <x v="725"/>
    <x v="2"/>
    <x v="0"/>
  </r>
  <r>
    <x v="955"/>
    <x v="1"/>
    <x v="6"/>
    <x v="2"/>
    <x v="1"/>
    <x v="8"/>
    <x v="1"/>
    <x v="414"/>
    <x v="0"/>
    <x v="0"/>
  </r>
  <r>
    <x v="956"/>
    <x v="2"/>
    <x v="4"/>
    <x v="1"/>
    <x v="1"/>
    <x v="8"/>
    <x v="50"/>
    <x v="726"/>
    <x v="8"/>
    <x v="2"/>
  </r>
  <r>
    <x v="957"/>
    <x v="1"/>
    <x v="6"/>
    <x v="2"/>
    <x v="1"/>
    <x v="1"/>
    <x v="4"/>
    <x v="727"/>
    <x v="4"/>
    <x v="2"/>
  </r>
  <r>
    <x v="958"/>
    <x v="2"/>
    <x v="15"/>
    <x v="1"/>
    <x v="1"/>
    <x v="2"/>
    <x v="53"/>
    <x v="728"/>
    <x v="4"/>
    <x v="2"/>
  </r>
  <r>
    <x v="959"/>
    <x v="1"/>
    <x v="11"/>
    <x v="1"/>
    <x v="0"/>
    <x v="9"/>
    <x v="40"/>
    <x v="168"/>
    <x v="8"/>
    <x v="2"/>
  </r>
  <r>
    <x v="960"/>
    <x v="0"/>
    <x v="33"/>
    <x v="3"/>
    <x v="0"/>
    <x v="3"/>
    <x v="56"/>
    <x v="729"/>
    <x v="2"/>
    <x v="0"/>
  </r>
  <r>
    <x v="961"/>
    <x v="0"/>
    <x v="20"/>
    <x v="2"/>
    <x v="1"/>
    <x v="6"/>
    <x v="35"/>
    <x v="50"/>
    <x v="8"/>
    <x v="2"/>
  </r>
  <r>
    <x v="962"/>
    <x v="2"/>
    <x v="21"/>
    <x v="2"/>
    <x v="0"/>
    <x v="4"/>
    <x v="41"/>
    <x v="730"/>
    <x v="4"/>
    <x v="1"/>
  </r>
  <r>
    <x v="963"/>
    <x v="2"/>
    <x v="32"/>
    <x v="1"/>
    <x v="0"/>
    <x v="2"/>
    <x v="28"/>
    <x v="270"/>
    <x v="5"/>
    <x v="1"/>
  </r>
  <r>
    <x v="964"/>
    <x v="3"/>
    <x v="17"/>
    <x v="1"/>
    <x v="0"/>
    <x v="8"/>
    <x v="5"/>
    <x v="731"/>
    <x v="6"/>
    <x v="0"/>
  </r>
  <r>
    <x v="965"/>
    <x v="3"/>
    <x v="10"/>
    <x v="2"/>
    <x v="1"/>
    <x v="8"/>
    <x v="9"/>
    <x v="732"/>
    <x v="1"/>
    <x v="2"/>
  </r>
  <r>
    <x v="966"/>
    <x v="4"/>
    <x v="13"/>
    <x v="0"/>
    <x v="0"/>
    <x v="0"/>
    <x v="39"/>
    <x v="733"/>
    <x v="6"/>
    <x v="2"/>
  </r>
  <r>
    <x v="967"/>
    <x v="1"/>
    <x v="4"/>
    <x v="1"/>
    <x v="0"/>
    <x v="2"/>
    <x v="45"/>
    <x v="734"/>
    <x v="2"/>
    <x v="0"/>
  </r>
  <r>
    <x v="968"/>
    <x v="2"/>
    <x v="14"/>
    <x v="0"/>
    <x v="0"/>
    <x v="7"/>
    <x v="58"/>
    <x v="197"/>
    <x v="7"/>
    <x v="1"/>
  </r>
  <r>
    <x v="969"/>
    <x v="1"/>
    <x v="20"/>
    <x v="2"/>
    <x v="0"/>
    <x v="3"/>
    <x v="12"/>
    <x v="160"/>
    <x v="6"/>
    <x v="3"/>
  </r>
  <r>
    <x v="970"/>
    <x v="0"/>
    <x v="28"/>
    <x v="3"/>
    <x v="0"/>
    <x v="7"/>
    <x v="35"/>
    <x v="735"/>
    <x v="4"/>
    <x v="0"/>
  </r>
  <r>
    <x v="971"/>
    <x v="1"/>
    <x v="37"/>
    <x v="3"/>
    <x v="2"/>
    <x v="6"/>
    <x v="25"/>
    <x v="736"/>
    <x v="7"/>
    <x v="2"/>
  </r>
  <r>
    <x v="972"/>
    <x v="2"/>
    <x v="27"/>
    <x v="1"/>
    <x v="0"/>
    <x v="6"/>
    <x v="55"/>
    <x v="737"/>
    <x v="7"/>
    <x v="2"/>
  </r>
  <r>
    <x v="973"/>
    <x v="2"/>
    <x v="5"/>
    <x v="1"/>
    <x v="0"/>
    <x v="5"/>
    <x v="4"/>
    <x v="738"/>
    <x v="2"/>
    <x v="3"/>
  </r>
  <r>
    <x v="974"/>
    <x v="4"/>
    <x v="15"/>
    <x v="1"/>
    <x v="0"/>
    <x v="3"/>
    <x v="41"/>
    <x v="739"/>
    <x v="4"/>
    <x v="2"/>
  </r>
  <r>
    <x v="975"/>
    <x v="3"/>
    <x v="14"/>
    <x v="0"/>
    <x v="0"/>
    <x v="0"/>
    <x v="18"/>
    <x v="22"/>
    <x v="8"/>
    <x v="2"/>
  </r>
  <r>
    <x v="976"/>
    <x v="4"/>
    <x v="15"/>
    <x v="1"/>
    <x v="0"/>
    <x v="6"/>
    <x v="54"/>
    <x v="740"/>
    <x v="8"/>
    <x v="2"/>
  </r>
  <r>
    <x v="977"/>
    <x v="1"/>
    <x v="19"/>
    <x v="0"/>
    <x v="1"/>
    <x v="8"/>
    <x v="29"/>
    <x v="741"/>
    <x v="7"/>
    <x v="0"/>
  </r>
  <r>
    <x v="978"/>
    <x v="1"/>
    <x v="6"/>
    <x v="2"/>
    <x v="0"/>
    <x v="1"/>
    <x v="23"/>
    <x v="742"/>
    <x v="5"/>
    <x v="2"/>
  </r>
  <r>
    <x v="979"/>
    <x v="4"/>
    <x v="6"/>
    <x v="2"/>
    <x v="1"/>
    <x v="6"/>
    <x v="15"/>
    <x v="743"/>
    <x v="6"/>
    <x v="2"/>
  </r>
  <r>
    <x v="980"/>
    <x v="1"/>
    <x v="14"/>
    <x v="0"/>
    <x v="0"/>
    <x v="9"/>
    <x v="24"/>
    <x v="744"/>
    <x v="6"/>
    <x v="2"/>
  </r>
  <r>
    <x v="981"/>
    <x v="2"/>
    <x v="13"/>
    <x v="0"/>
    <x v="1"/>
    <x v="6"/>
    <x v="13"/>
    <x v="315"/>
    <x v="2"/>
    <x v="2"/>
  </r>
  <r>
    <x v="982"/>
    <x v="0"/>
    <x v="10"/>
    <x v="2"/>
    <x v="1"/>
    <x v="7"/>
    <x v="22"/>
    <x v="745"/>
    <x v="1"/>
    <x v="0"/>
  </r>
  <r>
    <x v="983"/>
    <x v="0"/>
    <x v="10"/>
    <x v="2"/>
    <x v="0"/>
    <x v="2"/>
    <x v="27"/>
    <x v="746"/>
    <x v="3"/>
    <x v="0"/>
  </r>
  <r>
    <x v="984"/>
    <x v="2"/>
    <x v="32"/>
    <x v="1"/>
    <x v="1"/>
    <x v="3"/>
    <x v="2"/>
    <x v="747"/>
    <x v="1"/>
    <x v="3"/>
  </r>
  <r>
    <x v="985"/>
    <x v="1"/>
    <x v="13"/>
    <x v="0"/>
    <x v="1"/>
    <x v="4"/>
    <x v="40"/>
    <x v="227"/>
    <x v="7"/>
    <x v="1"/>
  </r>
  <r>
    <x v="986"/>
    <x v="2"/>
    <x v="27"/>
    <x v="1"/>
    <x v="1"/>
    <x v="6"/>
    <x v="56"/>
    <x v="748"/>
    <x v="7"/>
    <x v="0"/>
  </r>
  <r>
    <x v="987"/>
    <x v="1"/>
    <x v="7"/>
    <x v="2"/>
    <x v="1"/>
    <x v="7"/>
    <x v="10"/>
    <x v="749"/>
    <x v="4"/>
    <x v="1"/>
  </r>
  <r>
    <x v="988"/>
    <x v="0"/>
    <x v="6"/>
    <x v="2"/>
    <x v="0"/>
    <x v="8"/>
    <x v="26"/>
    <x v="750"/>
    <x v="0"/>
    <x v="2"/>
  </r>
  <r>
    <x v="989"/>
    <x v="2"/>
    <x v="0"/>
    <x v="0"/>
    <x v="1"/>
    <x v="5"/>
    <x v="28"/>
    <x v="751"/>
    <x v="7"/>
    <x v="3"/>
  </r>
  <r>
    <x v="990"/>
    <x v="3"/>
    <x v="6"/>
    <x v="2"/>
    <x v="1"/>
    <x v="9"/>
    <x v="56"/>
    <x v="752"/>
    <x v="7"/>
    <x v="0"/>
  </r>
  <r>
    <x v="991"/>
    <x v="0"/>
    <x v="2"/>
    <x v="1"/>
    <x v="1"/>
    <x v="8"/>
    <x v="59"/>
    <x v="643"/>
    <x v="8"/>
    <x v="1"/>
  </r>
  <r>
    <x v="992"/>
    <x v="1"/>
    <x v="6"/>
    <x v="2"/>
    <x v="0"/>
    <x v="1"/>
    <x v="53"/>
    <x v="728"/>
    <x v="8"/>
    <x v="1"/>
  </r>
  <r>
    <x v="993"/>
    <x v="0"/>
    <x v="24"/>
    <x v="0"/>
    <x v="0"/>
    <x v="0"/>
    <x v="52"/>
    <x v="753"/>
    <x v="1"/>
    <x v="2"/>
  </r>
  <r>
    <x v="994"/>
    <x v="2"/>
    <x v="26"/>
    <x v="0"/>
    <x v="0"/>
    <x v="5"/>
    <x v="43"/>
    <x v="754"/>
    <x v="6"/>
    <x v="3"/>
  </r>
  <r>
    <x v="995"/>
    <x v="0"/>
    <x v="15"/>
    <x v="1"/>
    <x v="1"/>
    <x v="4"/>
    <x v="52"/>
    <x v="755"/>
    <x v="1"/>
    <x v="1"/>
  </r>
  <r>
    <x v="996"/>
    <x v="4"/>
    <x v="1"/>
    <x v="1"/>
    <x v="1"/>
    <x v="5"/>
    <x v="12"/>
    <x v="300"/>
    <x v="5"/>
    <x v="2"/>
  </r>
  <r>
    <x v="997"/>
    <x v="1"/>
    <x v="17"/>
    <x v="1"/>
    <x v="1"/>
    <x v="8"/>
    <x v="4"/>
    <x v="756"/>
    <x v="5"/>
    <x v="0"/>
  </r>
  <r>
    <x v="998"/>
    <x v="0"/>
    <x v="2"/>
    <x v="1"/>
    <x v="0"/>
    <x v="7"/>
    <x v="48"/>
    <x v="515"/>
    <x v="4"/>
    <x v="0"/>
  </r>
  <r>
    <x v="999"/>
    <x v="4"/>
    <x v="6"/>
    <x v="2"/>
    <x v="1"/>
    <x v="5"/>
    <x v="5"/>
    <x v="119"/>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531E54-E0B9-427F-B0A2-E7018A7BD04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3:F40" firstHeaderRow="1" firstDataRow="2"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1"/>
        <item x="0"/>
        <item x="2"/>
        <item x="3"/>
        <item x="4"/>
        <item t="default"/>
      </items>
    </pivotField>
    <pivotField numFmtId="1" showAll="0">
      <items count="41">
        <item x="6"/>
        <item x="30"/>
        <item x="3"/>
        <item x="21"/>
        <item x="20"/>
        <item x="7"/>
        <item x="10"/>
        <item x="17"/>
        <item x="1"/>
        <item x="2"/>
        <item x="4"/>
        <item x="15"/>
        <item x="11"/>
        <item x="27"/>
        <item x="5"/>
        <item x="12"/>
        <item x="32"/>
        <item x="14"/>
        <item x="0"/>
        <item x="9"/>
        <item x="24"/>
        <item x="13"/>
        <item x="22"/>
        <item x="29"/>
        <item x="19"/>
        <item x="25"/>
        <item x="26"/>
        <item x="23"/>
        <item x="8"/>
        <item x="16"/>
        <item x="34"/>
        <item x="31"/>
        <item x="37"/>
        <item x="28"/>
        <item x="18"/>
        <item x="33"/>
        <item x="38"/>
        <item x="35"/>
        <item x="36"/>
        <item x="39"/>
        <item t="default"/>
      </items>
    </pivotField>
    <pivotField showAll="0">
      <items count="6">
        <item x="2"/>
        <item x="1"/>
        <item x="0"/>
        <item x="3"/>
        <item x="4"/>
        <item t="default"/>
      </items>
    </pivotField>
    <pivotField showAll="0">
      <items count="4">
        <item x="1"/>
        <item x="0"/>
        <item x="2"/>
        <item t="default"/>
      </items>
    </pivotField>
    <pivotField showAll="0">
      <items count="11">
        <item x="4"/>
        <item x="6"/>
        <item x="1"/>
        <item x="5"/>
        <item x="7"/>
        <item x="3"/>
        <item x="0"/>
        <item x="9"/>
        <item x="2"/>
        <item x="8"/>
        <item t="default"/>
      </items>
    </pivotField>
    <pivotField showAll="0">
      <items count="61">
        <item x="36"/>
        <item x="59"/>
        <item x="19"/>
        <item x="15"/>
        <item x="13"/>
        <item x="24"/>
        <item x="54"/>
        <item x="31"/>
        <item x="42"/>
        <item x="5"/>
        <item x="6"/>
        <item x="12"/>
        <item x="57"/>
        <item x="55"/>
        <item x="4"/>
        <item x="45"/>
        <item x="0"/>
        <item x="56"/>
        <item x="14"/>
        <item x="35"/>
        <item x="32"/>
        <item x="49"/>
        <item x="18"/>
        <item x="44"/>
        <item x="20"/>
        <item x="39"/>
        <item x="53"/>
        <item x="29"/>
        <item x="21"/>
        <item x="33"/>
        <item x="1"/>
        <item x="58"/>
        <item x="28"/>
        <item x="30"/>
        <item x="22"/>
        <item x="34"/>
        <item x="26"/>
        <item x="41"/>
        <item x="8"/>
        <item x="16"/>
        <item x="27"/>
        <item x="23"/>
        <item x="17"/>
        <item x="48"/>
        <item x="40"/>
        <item x="52"/>
        <item x="38"/>
        <item x="37"/>
        <item x="10"/>
        <item x="2"/>
        <item x="51"/>
        <item x="9"/>
        <item x="7"/>
        <item x="50"/>
        <item x="47"/>
        <item x="11"/>
        <item x="25"/>
        <item x="46"/>
        <item x="43"/>
        <item x="3"/>
        <item t="default"/>
      </items>
    </pivotField>
    <pivotField numFmtId="164" showAll="0">
      <items count="758">
        <item x="258"/>
        <item x="644"/>
        <item x="660"/>
        <item x="722"/>
        <item x="123"/>
        <item x="113"/>
        <item x="397"/>
        <item x="638"/>
        <item x="449"/>
        <item x="75"/>
        <item x="223"/>
        <item x="379"/>
        <item x="74"/>
        <item x="535"/>
        <item x="3"/>
        <item x="499"/>
        <item x="418"/>
        <item x="461"/>
        <item x="269"/>
        <item x="718"/>
        <item x="613"/>
        <item x="120"/>
        <item x="754"/>
        <item x="72"/>
        <item x="696"/>
        <item x="266"/>
        <item x="103"/>
        <item x="209"/>
        <item x="283"/>
        <item x="617"/>
        <item x="678"/>
        <item x="542"/>
        <item x="655"/>
        <item x="402"/>
        <item x="381"/>
        <item x="91"/>
        <item x="326"/>
        <item x="399"/>
        <item x="452"/>
        <item x="217"/>
        <item x="34"/>
        <item x="31"/>
        <item x="400"/>
        <item x="514"/>
        <item x="374"/>
        <item x="609"/>
        <item x="309"/>
        <item x="237"/>
        <item x="719"/>
        <item x="572"/>
        <item x="539"/>
        <item x="736"/>
        <item x="206"/>
        <item x="385"/>
        <item x="620"/>
        <item x="279"/>
        <item x="198"/>
        <item x="201"/>
        <item x="90"/>
        <item x="464"/>
        <item x="257"/>
        <item x="219"/>
        <item x="231"/>
        <item x="107"/>
        <item x="723"/>
        <item x="424"/>
        <item x="390"/>
        <item x="84"/>
        <item x="725"/>
        <item x="272"/>
        <item x="403"/>
        <item x="11"/>
        <item x="63"/>
        <item x="560"/>
        <item x="556"/>
        <item x="357"/>
        <item x="429"/>
        <item x="341"/>
        <item x="408"/>
        <item x="713"/>
        <item x="96"/>
        <item x="438"/>
        <item x="639"/>
        <item x="726"/>
        <item x="510"/>
        <item x="164"/>
        <item x="118"/>
        <item x="239"/>
        <item x="634"/>
        <item x="471"/>
        <item x="565"/>
        <item x="656"/>
        <item x="61"/>
        <item x="38"/>
        <item x="720"/>
        <item x="287"/>
        <item x="170"/>
        <item x="406"/>
        <item x="331"/>
        <item x="7"/>
        <item x="356"/>
        <item x="601"/>
        <item x="648"/>
        <item x="573"/>
        <item x="370"/>
        <item x="133"/>
        <item x="42"/>
        <item x="40"/>
        <item x="246"/>
        <item x="361"/>
        <item x="558"/>
        <item x="9"/>
        <item x="654"/>
        <item x="481"/>
        <item x="732"/>
        <item x="621"/>
        <item x="28"/>
        <item x="687"/>
        <item x="254"/>
        <item x="115"/>
        <item x="125"/>
        <item x="276"/>
        <item x="553"/>
        <item x="582"/>
        <item x="307"/>
        <item x="571"/>
        <item x="707"/>
        <item x="146"/>
        <item x="286"/>
        <item x="347"/>
        <item x="363"/>
        <item x="310"/>
        <item x="163"/>
        <item x="2"/>
        <item x="747"/>
        <item x="667"/>
        <item x="589"/>
        <item x="595"/>
        <item x="92"/>
        <item x="384"/>
        <item x="131"/>
        <item x="442"/>
        <item x="689"/>
        <item x="585"/>
        <item x="505"/>
        <item x="651"/>
        <item x="192"/>
        <item x="394"/>
        <item x="663"/>
        <item x="124"/>
        <item x="626"/>
        <item x="520"/>
        <item x="100"/>
        <item x="749"/>
        <item x="351"/>
        <item x="10"/>
        <item x="46"/>
        <item x="132"/>
        <item x="691"/>
        <item x="670"/>
        <item x="498"/>
        <item x="584"/>
        <item x="469"/>
        <item x="490"/>
        <item x="688"/>
        <item x="721"/>
        <item x="662"/>
        <item x="57"/>
        <item x="339"/>
        <item x="366"/>
        <item x="295"/>
        <item x="297"/>
        <item x="157"/>
        <item x="314"/>
        <item x="491"/>
        <item x="59"/>
        <item x="204"/>
        <item x="426"/>
        <item x="244"/>
        <item x="85"/>
        <item x="152"/>
        <item x="682"/>
        <item x="559"/>
        <item x="155"/>
        <item x="753"/>
        <item x="311"/>
        <item x="755"/>
        <item x="359"/>
        <item x="468"/>
        <item x="715"/>
        <item x="665"/>
        <item x="318"/>
        <item x="129"/>
        <item x="243"/>
        <item x="227"/>
        <item x="488"/>
        <item x="324"/>
        <item x="404"/>
        <item x="280"/>
        <item x="329"/>
        <item x="138"/>
        <item x="431"/>
        <item x="165"/>
        <item x="65"/>
        <item x="456"/>
        <item x="149"/>
        <item x="241"/>
        <item x="168"/>
        <item x="463"/>
        <item x="493"/>
        <item x="515"/>
        <item x="479"/>
        <item x="256"/>
        <item x="102"/>
        <item x="435"/>
        <item x="533"/>
        <item x="530"/>
        <item x="212"/>
        <item x="413"/>
        <item x="455"/>
        <item x="313"/>
        <item x="627"/>
        <item x="167"/>
        <item x="162"/>
        <item x="349"/>
        <item x="624"/>
        <item x="293"/>
        <item x="454"/>
        <item x="669"/>
        <item x="675"/>
        <item x="20"/>
        <item x="350"/>
        <item x="528"/>
        <item x="289"/>
        <item x="83"/>
        <item x="29"/>
        <item x="303"/>
        <item x="742"/>
        <item x="114"/>
        <item x="45"/>
        <item x="425"/>
        <item x="569"/>
        <item x="690"/>
        <item x="618"/>
        <item x="345"/>
        <item x="252"/>
        <item x="228"/>
        <item x="367"/>
        <item x="250"/>
        <item x="317"/>
        <item x="88"/>
        <item x="76"/>
        <item x="551"/>
        <item x="33"/>
        <item x="632"/>
        <item x="80"/>
        <item x="563"/>
        <item x="746"/>
        <item x="66"/>
        <item x="685"/>
        <item x="717"/>
        <item x="112"/>
        <item x="358"/>
        <item x="19"/>
        <item x="439"/>
        <item x="661"/>
        <item x="576"/>
        <item x="430"/>
        <item x="483"/>
        <item x="79"/>
        <item x="602"/>
        <item x="93"/>
        <item x="323"/>
        <item x="55"/>
        <item x="262"/>
        <item x="380"/>
        <item x="203"/>
        <item x="568"/>
        <item x="8"/>
        <item x="416"/>
        <item x="396"/>
        <item x="110"/>
        <item x="398"/>
        <item x="156"/>
        <item x="94"/>
        <item x="730"/>
        <item x="684"/>
        <item x="233"/>
        <item x="158"/>
        <item x="739"/>
        <item x="337"/>
        <item x="67"/>
        <item x="247"/>
        <item x="672"/>
        <item x="135"/>
        <item x="261"/>
        <item x="334"/>
        <item x="128"/>
        <item x="32"/>
        <item x="171"/>
        <item x="460"/>
        <item x="484"/>
        <item x="474"/>
        <item x="365"/>
        <item x="512"/>
        <item x="502"/>
        <item x="316"/>
        <item x="292"/>
        <item x="692"/>
        <item x="364"/>
        <item x="750"/>
        <item x="437"/>
        <item x="650"/>
        <item x="268"/>
        <item x="427"/>
        <item x="230"/>
        <item x="467"/>
        <item x="294"/>
        <item x="415"/>
        <item x="253"/>
        <item x="49"/>
        <item x="172"/>
        <item x="249"/>
        <item x="285"/>
        <item x="26"/>
        <item x="745"/>
        <item x="673"/>
        <item x="368"/>
        <item x="450"/>
        <item x="229"/>
        <item x="637"/>
        <item x="56"/>
        <item x="496"/>
        <item x="140"/>
        <item x="263"/>
        <item x="521"/>
        <item x="301"/>
        <item x="702"/>
        <item x="173"/>
        <item x="549"/>
        <item x="169"/>
        <item x="39"/>
        <item x="587"/>
        <item x="704"/>
        <item x="508"/>
        <item x="211"/>
        <item x="277"/>
        <item x="470"/>
        <item x="552"/>
        <item x="105"/>
        <item x="194"/>
        <item x="248"/>
        <item x="148"/>
        <item x="446"/>
        <item x="716"/>
        <item x="517"/>
        <item x="664"/>
        <item x="709"/>
        <item x="382"/>
        <item x="751"/>
        <item x="35"/>
        <item x="625"/>
        <item x="255"/>
        <item x="377"/>
        <item x="270"/>
        <item x="712"/>
        <item x="555"/>
        <item x="197"/>
        <item x="327"/>
        <item x="401"/>
        <item x="700"/>
        <item x="597"/>
        <item x="344"/>
        <item x="636"/>
        <item x="610"/>
        <item x="503"/>
        <item x="714"/>
        <item x="417"/>
        <item x="534"/>
        <item x="647"/>
        <item x="694"/>
        <item x="70"/>
        <item x="465"/>
        <item x="264"/>
        <item x="278"/>
        <item x="1"/>
        <item x="12"/>
        <item x="224"/>
        <item x="414"/>
        <item x="432"/>
        <item x="653"/>
        <item x="457"/>
        <item x="548"/>
        <item x="391"/>
        <item x="147"/>
        <item x="649"/>
        <item x="179"/>
        <item x="58"/>
        <item x="428"/>
        <item x="48"/>
        <item x="495"/>
        <item x="458"/>
        <item x="320"/>
        <item x="708"/>
        <item x="453"/>
        <item x="25"/>
        <item x="208"/>
        <item x="554"/>
        <item x="354"/>
        <item x="607"/>
        <item x="200"/>
        <item x="267"/>
        <item x="116"/>
        <item x="532"/>
        <item x="238"/>
        <item x="387"/>
        <item x="741"/>
        <item x="538"/>
        <item x="523"/>
        <item x="106"/>
        <item x="459"/>
        <item x="36"/>
        <item x="271"/>
        <item x="622"/>
        <item x="652"/>
        <item x="444"/>
        <item x="728"/>
        <item x="130"/>
        <item x="232"/>
        <item x="546"/>
        <item x="275"/>
        <item x="507"/>
        <item x="623"/>
        <item x="328"/>
        <item x="145"/>
        <item x="134"/>
        <item x="486"/>
        <item x="466"/>
        <item x="215"/>
        <item x="126"/>
        <item x="733"/>
        <item x="492"/>
        <item x="175"/>
        <item x="635"/>
        <item x="64"/>
        <item x="122"/>
        <item x="369"/>
        <item x="245"/>
        <item x="62"/>
        <item x="24"/>
        <item x="683"/>
        <item x="581"/>
        <item x="51"/>
        <item x="412"/>
        <item x="218"/>
        <item x="282"/>
        <item x="373"/>
        <item x="141"/>
        <item x="265"/>
        <item x="494"/>
        <item x="108"/>
        <item x="378"/>
        <item x="151"/>
        <item x="340"/>
        <item x="448"/>
        <item x="567"/>
        <item x="186"/>
        <item x="214"/>
        <item x="87"/>
        <item x="410"/>
        <item x="308"/>
        <item x="104"/>
        <item x="509"/>
        <item x="659"/>
        <item x="234"/>
        <item x="41"/>
        <item x="274"/>
        <item x="22"/>
        <item x="640"/>
        <item x="480"/>
        <item x="658"/>
        <item x="603"/>
        <item x="82"/>
        <item x="599"/>
        <item x="699"/>
        <item x="671"/>
        <item x="117"/>
        <item x="236"/>
        <item x="701"/>
        <item x="111"/>
        <item x="142"/>
        <item x="260"/>
        <item x="604"/>
        <item x="596"/>
        <item x="697"/>
        <item x="419"/>
        <item x="298"/>
        <item x="44"/>
        <item x="409"/>
        <item x="478"/>
        <item x="121"/>
        <item x="592"/>
        <item x="681"/>
        <item x="561"/>
        <item x="443"/>
        <item x="240"/>
        <item x="159"/>
        <item x="348"/>
        <item x="375"/>
        <item x="580"/>
        <item x="570"/>
        <item x="433"/>
        <item x="591"/>
        <item x="497"/>
        <item x="360"/>
        <item x="50"/>
        <item x="60"/>
        <item x="711"/>
        <item x="735"/>
        <item x="54"/>
        <item x="476"/>
        <item x="346"/>
        <item x="562"/>
        <item x="606"/>
        <item x="352"/>
        <item x="447"/>
        <item x="389"/>
        <item x="526"/>
        <item x="97"/>
        <item x="21"/>
        <item x="17"/>
        <item x="529"/>
        <item x="154"/>
        <item x="207"/>
        <item x="393"/>
        <item x="183"/>
        <item x="199"/>
        <item x="631"/>
        <item x="729"/>
        <item x="440"/>
        <item x="752"/>
        <item x="668"/>
        <item x="388"/>
        <item x="748"/>
        <item x="182"/>
        <item x="485"/>
        <item x="436"/>
        <item x="0"/>
        <item x="174"/>
        <item x="53"/>
        <item x="547"/>
        <item x="16"/>
        <item x="195"/>
        <item x="81"/>
        <item x="319"/>
        <item x="395"/>
        <item x="89"/>
        <item x="305"/>
        <item x="407"/>
        <item x="630"/>
        <item x="343"/>
        <item x="734"/>
        <item x="213"/>
        <item x="545"/>
        <item x="579"/>
        <item x="210"/>
        <item x="150"/>
        <item x="4"/>
        <item x="738"/>
        <item x="727"/>
        <item x="537"/>
        <item x="657"/>
        <item x="519"/>
        <item x="705"/>
        <item x="756"/>
        <item x="578"/>
        <item x="628"/>
        <item x="225"/>
        <item x="674"/>
        <item x="68"/>
        <item x="724"/>
        <item x="594"/>
        <item x="251"/>
        <item x="386"/>
        <item x="332"/>
        <item x="216"/>
        <item x="524"/>
        <item x="527"/>
        <item x="153"/>
        <item x="737"/>
        <item x="306"/>
        <item x="633"/>
        <item x="296"/>
        <item x="434"/>
        <item x="371"/>
        <item x="353"/>
        <item x="202"/>
        <item x="273"/>
        <item x="695"/>
        <item x="646"/>
        <item x="423"/>
        <item x="383"/>
        <item x="421"/>
        <item x="451"/>
        <item x="188"/>
        <item x="677"/>
        <item x="325"/>
        <item x="312"/>
        <item x="487"/>
        <item x="550"/>
        <item x="645"/>
        <item x="290"/>
        <item x="13"/>
        <item x="160"/>
        <item x="489"/>
        <item x="600"/>
        <item x="615"/>
        <item x="193"/>
        <item x="300"/>
        <item x="190"/>
        <item x="516"/>
        <item x="180"/>
        <item x="14"/>
        <item x="6"/>
        <item x="686"/>
        <item x="355"/>
        <item x="27"/>
        <item x="629"/>
        <item x="144"/>
        <item x="475"/>
        <item x="679"/>
        <item x="577"/>
        <item x="5"/>
        <item x="178"/>
        <item x="608"/>
        <item x="557"/>
        <item x="614"/>
        <item x="731"/>
        <item x="161"/>
        <item x="405"/>
        <item x="304"/>
        <item x="119"/>
        <item x="95"/>
        <item x="504"/>
        <item x="574"/>
        <item x="69"/>
        <item x="501"/>
        <item x="612"/>
        <item x="86"/>
        <item x="511"/>
        <item x="191"/>
        <item x="544"/>
        <item x="680"/>
        <item x="642"/>
        <item x="78"/>
        <item x="706"/>
        <item x="583"/>
        <item x="536"/>
        <item x="473"/>
        <item x="299"/>
        <item x="99"/>
        <item x="221"/>
        <item x="500"/>
        <item x="77"/>
        <item x="513"/>
        <item x="611"/>
        <item x="137"/>
        <item x="506"/>
        <item x="411"/>
        <item x="564"/>
        <item x="342"/>
        <item x="220"/>
        <item x="43"/>
        <item x="372"/>
        <item x="187"/>
        <item x="531"/>
        <item x="740"/>
        <item x="222"/>
        <item x="541"/>
        <item x="143"/>
        <item x="472"/>
        <item x="166"/>
        <item x="322"/>
        <item x="676"/>
        <item x="330"/>
        <item x="482"/>
        <item x="522"/>
        <item x="288"/>
        <item x="744"/>
        <item x="196"/>
        <item x="335"/>
        <item x="98"/>
        <item x="281"/>
        <item x="30"/>
        <item x="259"/>
        <item x="566"/>
        <item x="71"/>
        <item x="242"/>
        <item x="445"/>
        <item x="37"/>
        <item x="15"/>
        <item x="420"/>
        <item x="73"/>
        <item x="291"/>
        <item x="101"/>
        <item x="315"/>
        <item x="703"/>
        <item x="185"/>
        <item x="136"/>
        <item x="47"/>
        <item x="189"/>
        <item x="477"/>
        <item x="666"/>
        <item x="743"/>
        <item x="109"/>
        <item x="205"/>
        <item x="302"/>
        <item x="518"/>
        <item x="18"/>
        <item x="605"/>
        <item x="139"/>
        <item x="586"/>
        <item x="338"/>
        <item x="181"/>
        <item x="235"/>
        <item x="598"/>
        <item x="23"/>
        <item x="336"/>
        <item x="462"/>
        <item x="321"/>
        <item x="376"/>
        <item x="127"/>
        <item x="525"/>
        <item x="710"/>
        <item x="184"/>
        <item x="588"/>
        <item x="362"/>
        <item x="641"/>
        <item x="422"/>
        <item x="540"/>
        <item x="593"/>
        <item x="590"/>
        <item x="333"/>
        <item x="619"/>
        <item x="698"/>
        <item x="643"/>
        <item x="52"/>
        <item x="575"/>
        <item x="693"/>
        <item x="616"/>
        <item x="441"/>
        <item x="176"/>
        <item x="177"/>
        <item x="543"/>
        <item x="392"/>
        <item x="226"/>
        <item x="284"/>
        <item t="default"/>
      </items>
    </pivotField>
    <pivotField showAll="0">
      <items count="10">
        <item x="1"/>
        <item x="3"/>
        <item x="8"/>
        <item x="6"/>
        <item x="7"/>
        <item x="2"/>
        <item x="4"/>
        <item x="5"/>
        <item x="0"/>
        <item t="default"/>
      </items>
    </pivotField>
    <pivotField axis="axisCol" showAll="0">
      <items count="5">
        <item x="0"/>
        <item x="3"/>
        <item x="1"/>
        <item x="2"/>
        <item t="default"/>
      </items>
    </pivotField>
  </pivotFields>
  <rowFields count="1">
    <field x="1"/>
  </rowFields>
  <rowItems count="6">
    <i>
      <x/>
    </i>
    <i>
      <x v="1"/>
    </i>
    <i>
      <x v="2"/>
    </i>
    <i>
      <x v="3"/>
    </i>
    <i>
      <x v="4"/>
    </i>
    <i t="grand">
      <x/>
    </i>
  </rowItems>
  <colFields count="1">
    <field x="9"/>
  </colFields>
  <colItems count="5">
    <i>
      <x/>
    </i>
    <i>
      <x v="1"/>
    </i>
    <i>
      <x v="2"/>
    </i>
    <i>
      <x v="3"/>
    </i>
    <i t="grand">
      <x/>
    </i>
  </colItems>
  <dataFields count="1">
    <dataField name="Count of CustomerID" fld="0" subtotal="count" baseField="0" baseItem="0"/>
  </dataFields>
  <chartFormats count="12">
    <chartFormat chart="14" format="6" series="1">
      <pivotArea type="data" outline="0" fieldPosition="0">
        <references count="1">
          <reference field="9" count="1" selected="0">
            <x v="0"/>
          </reference>
        </references>
      </pivotArea>
    </chartFormat>
    <chartFormat chart="14" format="7" series="1">
      <pivotArea type="data" outline="0" fieldPosition="0">
        <references count="1">
          <reference field="9" count="1" selected="0">
            <x v="1"/>
          </reference>
        </references>
      </pivotArea>
    </chartFormat>
    <chartFormat chart="14" format="8" series="1">
      <pivotArea type="data" outline="0" fieldPosition="0">
        <references count="1">
          <reference field="9" count="1" selected="0">
            <x v="2"/>
          </reference>
        </references>
      </pivotArea>
    </chartFormat>
    <chartFormat chart="14" format="9" series="1">
      <pivotArea type="data" outline="0" fieldPosition="0">
        <references count="1">
          <reference field="9" count="1" selected="0">
            <x v="3"/>
          </reference>
        </references>
      </pivotArea>
    </chartFormat>
    <chartFormat chart="14" format="10" series="1">
      <pivotArea type="data" outline="0" fieldPosition="0">
        <references count="2">
          <reference field="4294967294" count="1" selected="0">
            <x v="0"/>
          </reference>
          <reference field="9" count="1" selected="0">
            <x v="0"/>
          </reference>
        </references>
      </pivotArea>
    </chartFormat>
    <chartFormat chart="14" format="11" series="1">
      <pivotArea type="data" outline="0" fieldPosition="0">
        <references count="2">
          <reference field="4294967294" count="1" selected="0">
            <x v="0"/>
          </reference>
          <reference field="9" count="1" selected="0">
            <x v="1"/>
          </reference>
        </references>
      </pivotArea>
    </chartFormat>
    <chartFormat chart="14" format="12" series="1">
      <pivotArea type="data" outline="0" fieldPosition="0">
        <references count="2">
          <reference field="4294967294" count="1" selected="0">
            <x v="0"/>
          </reference>
          <reference field="9" count="1" selected="0">
            <x v="2"/>
          </reference>
        </references>
      </pivotArea>
    </chartFormat>
    <chartFormat chart="14" format="13" series="1">
      <pivotArea type="data" outline="0" fieldPosition="0">
        <references count="2">
          <reference field="4294967294" count="1" selected="0">
            <x v="0"/>
          </reference>
          <reference field="9" count="1" selected="0">
            <x v="3"/>
          </reference>
        </references>
      </pivotArea>
    </chartFormat>
    <chartFormat chart="25" format="18" series="1">
      <pivotArea type="data" outline="0" fieldPosition="0">
        <references count="2">
          <reference field="4294967294" count="1" selected="0">
            <x v="0"/>
          </reference>
          <reference field="9" count="1" selected="0">
            <x v="0"/>
          </reference>
        </references>
      </pivotArea>
    </chartFormat>
    <chartFormat chart="25" format="19" series="1">
      <pivotArea type="data" outline="0" fieldPosition="0">
        <references count="2">
          <reference field="4294967294" count="1" selected="0">
            <x v="0"/>
          </reference>
          <reference field="9" count="1" selected="0">
            <x v="1"/>
          </reference>
        </references>
      </pivotArea>
    </chartFormat>
    <chartFormat chart="25" format="20" series="1">
      <pivotArea type="data" outline="0" fieldPosition="0">
        <references count="2">
          <reference field="4294967294" count="1" selected="0">
            <x v="0"/>
          </reference>
          <reference field="9" count="1" selected="0">
            <x v="2"/>
          </reference>
        </references>
      </pivotArea>
    </chartFormat>
    <chartFormat chart="25" format="2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797577-3B95-4655-8E67-29798309829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21:B27" firstHeaderRow="1" firstDataRow="1"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1"/>
        <item x="0"/>
        <item x="2"/>
        <item x="3"/>
        <item x="4"/>
        <item t="default"/>
      </items>
    </pivotField>
    <pivotField numFmtId="1" showAll="0">
      <items count="41">
        <item x="6"/>
        <item x="30"/>
        <item x="3"/>
        <item x="21"/>
        <item x="20"/>
        <item x="7"/>
        <item x="10"/>
        <item x="17"/>
        <item x="1"/>
        <item x="2"/>
        <item x="4"/>
        <item x="15"/>
        <item x="11"/>
        <item x="27"/>
        <item x="5"/>
        <item x="12"/>
        <item x="32"/>
        <item x="14"/>
        <item x="0"/>
        <item x="9"/>
        <item x="24"/>
        <item x="13"/>
        <item x="22"/>
        <item x="29"/>
        <item x="19"/>
        <item x="25"/>
        <item x="26"/>
        <item x="23"/>
        <item x="8"/>
        <item x="16"/>
        <item x="34"/>
        <item x="31"/>
        <item x="37"/>
        <item x="28"/>
        <item x="18"/>
        <item x="33"/>
        <item x="38"/>
        <item x="35"/>
        <item x="36"/>
        <item x="39"/>
        <item t="default"/>
      </items>
    </pivotField>
    <pivotField axis="axisRow" showAll="0">
      <items count="6">
        <item x="2"/>
        <item x="1"/>
        <item x="0"/>
        <item x="3"/>
        <item x="4"/>
        <item t="default"/>
      </items>
    </pivotField>
    <pivotField showAll="0">
      <items count="4">
        <item x="1"/>
        <item x="0"/>
        <item x="2"/>
        <item t="default"/>
      </items>
    </pivotField>
    <pivotField showAll="0">
      <items count="11">
        <item x="4"/>
        <item x="6"/>
        <item x="1"/>
        <item x="5"/>
        <item x="7"/>
        <item x="3"/>
        <item x="0"/>
        <item x="9"/>
        <item x="2"/>
        <item x="8"/>
        <item t="default"/>
      </items>
    </pivotField>
    <pivotField showAll="0">
      <items count="61">
        <item x="36"/>
        <item x="59"/>
        <item x="19"/>
        <item x="15"/>
        <item x="13"/>
        <item x="24"/>
        <item x="54"/>
        <item x="31"/>
        <item x="42"/>
        <item x="5"/>
        <item x="6"/>
        <item x="12"/>
        <item x="57"/>
        <item x="55"/>
        <item x="4"/>
        <item x="45"/>
        <item x="0"/>
        <item x="56"/>
        <item x="14"/>
        <item x="35"/>
        <item x="32"/>
        <item x="49"/>
        <item x="18"/>
        <item x="44"/>
        <item x="20"/>
        <item x="39"/>
        <item x="53"/>
        <item x="29"/>
        <item x="21"/>
        <item x="33"/>
        <item x="1"/>
        <item x="58"/>
        <item x="28"/>
        <item x="30"/>
        <item x="22"/>
        <item x="34"/>
        <item x="26"/>
        <item x="41"/>
        <item x="8"/>
        <item x="16"/>
        <item x="27"/>
        <item x="23"/>
        <item x="17"/>
        <item x="48"/>
        <item x="40"/>
        <item x="52"/>
        <item x="38"/>
        <item x="37"/>
        <item x="10"/>
        <item x="2"/>
        <item x="51"/>
        <item x="9"/>
        <item x="7"/>
        <item x="50"/>
        <item x="47"/>
        <item x="11"/>
        <item x="25"/>
        <item x="46"/>
        <item x="43"/>
        <item x="3"/>
        <item t="default"/>
      </items>
    </pivotField>
    <pivotField numFmtId="164" showAll="0">
      <items count="758">
        <item x="258"/>
        <item x="644"/>
        <item x="660"/>
        <item x="722"/>
        <item x="123"/>
        <item x="113"/>
        <item x="397"/>
        <item x="638"/>
        <item x="449"/>
        <item x="75"/>
        <item x="223"/>
        <item x="379"/>
        <item x="74"/>
        <item x="535"/>
        <item x="3"/>
        <item x="499"/>
        <item x="418"/>
        <item x="461"/>
        <item x="269"/>
        <item x="718"/>
        <item x="613"/>
        <item x="120"/>
        <item x="754"/>
        <item x="72"/>
        <item x="696"/>
        <item x="266"/>
        <item x="103"/>
        <item x="209"/>
        <item x="283"/>
        <item x="617"/>
        <item x="678"/>
        <item x="542"/>
        <item x="655"/>
        <item x="402"/>
        <item x="381"/>
        <item x="91"/>
        <item x="326"/>
        <item x="399"/>
        <item x="452"/>
        <item x="217"/>
        <item x="34"/>
        <item x="31"/>
        <item x="400"/>
        <item x="514"/>
        <item x="374"/>
        <item x="609"/>
        <item x="309"/>
        <item x="237"/>
        <item x="719"/>
        <item x="572"/>
        <item x="539"/>
        <item x="736"/>
        <item x="206"/>
        <item x="385"/>
        <item x="620"/>
        <item x="279"/>
        <item x="198"/>
        <item x="201"/>
        <item x="90"/>
        <item x="464"/>
        <item x="257"/>
        <item x="219"/>
        <item x="231"/>
        <item x="107"/>
        <item x="723"/>
        <item x="424"/>
        <item x="390"/>
        <item x="84"/>
        <item x="725"/>
        <item x="272"/>
        <item x="403"/>
        <item x="11"/>
        <item x="63"/>
        <item x="560"/>
        <item x="556"/>
        <item x="357"/>
        <item x="429"/>
        <item x="341"/>
        <item x="408"/>
        <item x="713"/>
        <item x="96"/>
        <item x="438"/>
        <item x="639"/>
        <item x="726"/>
        <item x="510"/>
        <item x="164"/>
        <item x="118"/>
        <item x="239"/>
        <item x="634"/>
        <item x="471"/>
        <item x="565"/>
        <item x="656"/>
        <item x="61"/>
        <item x="38"/>
        <item x="720"/>
        <item x="287"/>
        <item x="170"/>
        <item x="406"/>
        <item x="331"/>
        <item x="7"/>
        <item x="356"/>
        <item x="601"/>
        <item x="648"/>
        <item x="573"/>
        <item x="370"/>
        <item x="133"/>
        <item x="42"/>
        <item x="40"/>
        <item x="246"/>
        <item x="361"/>
        <item x="558"/>
        <item x="9"/>
        <item x="654"/>
        <item x="481"/>
        <item x="732"/>
        <item x="621"/>
        <item x="28"/>
        <item x="687"/>
        <item x="254"/>
        <item x="115"/>
        <item x="125"/>
        <item x="276"/>
        <item x="553"/>
        <item x="582"/>
        <item x="307"/>
        <item x="571"/>
        <item x="707"/>
        <item x="146"/>
        <item x="286"/>
        <item x="347"/>
        <item x="363"/>
        <item x="310"/>
        <item x="163"/>
        <item x="2"/>
        <item x="747"/>
        <item x="667"/>
        <item x="589"/>
        <item x="595"/>
        <item x="92"/>
        <item x="384"/>
        <item x="131"/>
        <item x="442"/>
        <item x="689"/>
        <item x="585"/>
        <item x="505"/>
        <item x="651"/>
        <item x="192"/>
        <item x="394"/>
        <item x="663"/>
        <item x="124"/>
        <item x="626"/>
        <item x="520"/>
        <item x="100"/>
        <item x="749"/>
        <item x="351"/>
        <item x="10"/>
        <item x="46"/>
        <item x="132"/>
        <item x="691"/>
        <item x="670"/>
        <item x="498"/>
        <item x="584"/>
        <item x="469"/>
        <item x="490"/>
        <item x="688"/>
        <item x="721"/>
        <item x="662"/>
        <item x="57"/>
        <item x="339"/>
        <item x="366"/>
        <item x="295"/>
        <item x="297"/>
        <item x="157"/>
        <item x="314"/>
        <item x="491"/>
        <item x="59"/>
        <item x="204"/>
        <item x="426"/>
        <item x="244"/>
        <item x="85"/>
        <item x="152"/>
        <item x="682"/>
        <item x="559"/>
        <item x="155"/>
        <item x="753"/>
        <item x="311"/>
        <item x="755"/>
        <item x="359"/>
        <item x="468"/>
        <item x="715"/>
        <item x="665"/>
        <item x="318"/>
        <item x="129"/>
        <item x="243"/>
        <item x="227"/>
        <item x="488"/>
        <item x="324"/>
        <item x="404"/>
        <item x="280"/>
        <item x="329"/>
        <item x="138"/>
        <item x="431"/>
        <item x="165"/>
        <item x="65"/>
        <item x="456"/>
        <item x="149"/>
        <item x="241"/>
        <item x="168"/>
        <item x="463"/>
        <item x="493"/>
        <item x="515"/>
        <item x="479"/>
        <item x="256"/>
        <item x="102"/>
        <item x="435"/>
        <item x="533"/>
        <item x="530"/>
        <item x="212"/>
        <item x="413"/>
        <item x="455"/>
        <item x="313"/>
        <item x="627"/>
        <item x="167"/>
        <item x="162"/>
        <item x="349"/>
        <item x="624"/>
        <item x="293"/>
        <item x="454"/>
        <item x="669"/>
        <item x="675"/>
        <item x="20"/>
        <item x="350"/>
        <item x="528"/>
        <item x="289"/>
        <item x="83"/>
        <item x="29"/>
        <item x="303"/>
        <item x="742"/>
        <item x="114"/>
        <item x="45"/>
        <item x="425"/>
        <item x="569"/>
        <item x="690"/>
        <item x="618"/>
        <item x="345"/>
        <item x="252"/>
        <item x="228"/>
        <item x="367"/>
        <item x="250"/>
        <item x="317"/>
        <item x="88"/>
        <item x="76"/>
        <item x="551"/>
        <item x="33"/>
        <item x="632"/>
        <item x="80"/>
        <item x="563"/>
        <item x="746"/>
        <item x="66"/>
        <item x="685"/>
        <item x="717"/>
        <item x="112"/>
        <item x="358"/>
        <item x="19"/>
        <item x="439"/>
        <item x="661"/>
        <item x="576"/>
        <item x="430"/>
        <item x="483"/>
        <item x="79"/>
        <item x="602"/>
        <item x="93"/>
        <item x="323"/>
        <item x="55"/>
        <item x="262"/>
        <item x="380"/>
        <item x="203"/>
        <item x="568"/>
        <item x="8"/>
        <item x="416"/>
        <item x="396"/>
        <item x="110"/>
        <item x="398"/>
        <item x="156"/>
        <item x="94"/>
        <item x="730"/>
        <item x="684"/>
        <item x="233"/>
        <item x="158"/>
        <item x="739"/>
        <item x="337"/>
        <item x="67"/>
        <item x="247"/>
        <item x="672"/>
        <item x="135"/>
        <item x="261"/>
        <item x="334"/>
        <item x="128"/>
        <item x="32"/>
        <item x="171"/>
        <item x="460"/>
        <item x="484"/>
        <item x="474"/>
        <item x="365"/>
        <item x="512"/>
        <item x="502"/>
        <item x="316"/>
        <item x="292"/>
        <item x="692"/>
        <item x="364"/>
        <item x="750"/>
        <item x="437"/>
        <item x="650"/>
        <item x="268"/>
        <item x="427"/>
        <item x="230"/>
        <item x="467"/>
        <item x="294"/>
        <item x="415"/>
        <item x="253"/>
        <item x="49"/>
        <item x="172"/>
        <item x="249"/>
        <item x="285"/>
        <item x="26"/>
        <item x="745"/>
        <item x="673"/>
        <item x="368"/>
        <item x="450"/>
        <item x="229"/>
        <item x="637"/>
        <item x="56"/>
        <item x="496"/>
        <item x="140"/>
        <item x="263"/>
        <item x="521"/>
        <item x="301"/>
        <item x="702"/>
        <item x="173"/>
        <item x="549"/>
        <item x="169"/>
        <item x="39"/>
        <item x="587"/>
        <item x="704"/>
        <item x="508"/>
        <item x="211"/>
        <item x="277"/>
        <item x="470"/>
        <item x="552"/>
        <item x="105"/>
        <item x="194"/>
        <item x="248"/>
        <item x="148"/>
        <item x="446"/>
        <item x="716"/>
        <item x="517"/>
        <item x="664"/>
        <item x="709"/>
        <item x="382"/>
        <item x="751"/>
        <item x="35"/>
        <item x="625"/>
        <item x="255"/>
        <item x="377"/>
        <item x="270"/>
        <item x="712"/>
        <item x="555"/>
        <item x="197"/>
        <item x="327"/>
        <item x="401"/>
        <item x="700"/>
        <item x="597"/>
        <item x="344"/>
        <item x="636"/>
        <item x="610"/>
        <item x="503"/>
        <item x="714"/>
        <item x="417"/>
        <item x="534"/>
        <item x="647"/>
        <item x="694"/>
        <item x="70"/>
        <item x="465"/>
        <item x="264"/>
        <item x="278"/>
        <item x="1"/>
        <item x="12"/>
        <item x="224"/>
        <item x="414"/>
        <item x="432"/>
        <item x="653"/>
        <item x="457"/>
        <item x="548"/>
        <item x="391"/>
        <item x="147"/>
        <item x="649"/>
        <item x="179"/>
        <item x="58"/>
        <item x="428"/>
        <item x="48"/>
        <item x="495"/>
        <item x="458"/>
        <item x="320"/>
        <item x="708"/>
        <item x="453"/>
        <item x="25"/>
        <item x="208"/>
        <item x="554"/>
        <item x="354"/>
        <item x="607"/>
        <item x="200"/>
        <item x="267"/>
        <item x="116"/>
        <item x="532"/>
        <item x="238"/>
        <item x="387"/>
        <item x="741"/>
        <item x="538"/>
        <item x="523"/>
        <item x="106"/>
        <item x="459"/>
        <item x="36"/>
        <item x="271"/>
        <item x="622"/>
        <item x="652"/>
        <item x="444"/>
        <item x="728"/>
        <item x="130"/>
        <item x="232"/>
        <item x="546"/>
        <item x="275"/>
        <item x="507"/>
        <item x="623"/>
        <item x="328"/>
        <item x="145"/>
        <item x="134"/>
        <item x="486"/>
        <item x="466"/>
        <item x="215"/>
        <item x="126"/>
        <item x="733"/>
        <item x="492"/>
        <item x="175"/>
        <item x="635"/>
        <item x="64"/>
        <item x="122"/>
        <item x="369"/>
        <item x="245"/>
        <item x="62"/>
        <item x="24"/>
        <item x="683"/>
        <item x="581"/>
        <item x="51"/>
        <item x="412"/>
        <item x="218"/>
        <item x="282"/>
        <item x="373"/>
        <item x="141"/>
        <item x="265"/>
        <item x="494"/>
        <item x="108"/>
        <item x="378"/>
        <item x="151"/>
        <item x="340"/>
        <item x="448"/>
        <item x="567"/>
        <item x="186"/>
        <item x="214"/>
        <item x="87"/>
        <item x="410"/>
        <item x="308"/>
        <item x="104"/>
        <item x="509"/>
        <item x="659"/>
        <item x="234"/>
        <item x="41"/>
        <item x="274"/>
        <item x="22"/>
        <item x="640"/>
        <item x="480"/>
        <item x="658"/>
        <item x="603"/>
        <item x="82"/>
        <item x="599"/>
        <item x="699"/>
        <item x="671"/>
        <item x="117"/>
        <item x="236"/>
        <item x="701"/>
        <item x="111"/>
        <item x="142"/>
        <item x="260"/>
        <item x="604"/>
        <item x="596"/>
        <item x="697"/>
        <item x="419"/>
        <item x="298"/>
        <item x="44"/>
        <item x="409"/>
        <item x="478"/>
        <item x="121"/>
        <item x="592"/>
        <item x="681"/>
        <item x="561"/>
        <item x="443"/>
        <item x="240"/>
        <item x="159"/>
        <item x="348"/>
        <item x="375"/>
        <item x="580"/>
        <item x="570"/>
        <item x="433"/>
        <item x="591"/>
        <item x="497"/>
        <item x="360"/>
        <item x="50"/>
        <item x="60"/>
        <item x="711"/>
        <item x="735"/>
        <item x="54"/>
        <item x="476"/>
        <item x="346"/>
        <item x="562"/>
        <item x="606"/>
        <item x="352"/>
        <item x="447"/>
        <item x="389"/>
        <item x="526"/>
        <item x="97"/>
        <item x="21"/>
        <item x="17"/>
        <item x="529"/>
        <item x="154"/>
        <item x="207"/>
        <item x="393"/>
        <item x="183"/>
        <item x="199"/>
        <item x="631"/>
        <item x="729"/>
        <item x="440"/>
        <item x="752"/>
        <item x="668"/>
        <item x="388"/>
        <item x="748"/>
        <item x="182"/>
        <item x="485"/>
        <item x="436"/>
        <item x="0"/>
        <item x="174"/>
        <item x="53"/>
        <item x="547"/>
        <item x="16"/>
        <item x="195"/>
        <item x="81"/>
        <item x="319"/>
        <item x="395"/>
        <item x="89"/>
        <item x="305"/>
        <item x="407"/>
        <item x="630"/>
        <item x="343"/>
        <item x="734"/>
        <item x="213"/>
        <item x="545"/>
        <item x="579"/>
        <item x="210"/>
        <item x="150"/>
        <item x="4"/>
        <item x="738"/>
        <item x="727"/>
        <item x="537"/>
        <item x="657"/>
        <item x="519"/>
        <item x="705"/>
        <item x="756"/>
        <item x="578"/>
        <item x="628"/>
        <item x="225"/>
        <item x="674"/>
        <item x="68"/>
        <item x="724"/>
        <item x="594"/>
        <item x="251"/>
        <item x="386"/>
        <item x="332"/>
        <item x="216"/>
        <item x="524"/>
        <item x="527"/>
        <item x="153"/>
        <item x="737"/>
        <item x="306"/>
        <item x="633"/>
        <item x="296"/>
        <item x="434"/>
        <item x="371"/>
        <item x="353"/>
        <item x="202"/>
        <item x="273"/>
        <item x="695"/>
        <item x="646"/>
        <item x="423"/>
        <item x="383"/>
        <item x="421"/>
        <item x="451"/>
        <item x="188"/>
        <item x="677"/>
        <item x="325"/>
        <item x="312"/>
        <item x="487"/>
        <item x="550"/>
        <item x="645"/>
        <item x="290"/>
        <item x="13"/>
        <item x="160"/>
        <item x="489"/>
        <item x="600"/>
        <item x="615"/>
        <item x="193"/>
        <item x="300"/>
        <item x="190"/>
        <item x="516"/>
        <item x="180"/>
        <item x="14"/>
        <item x="6"/>
        <item x="686"/>
        <item x="355"/>
        <item x="27"/>
        <item x="629"/>
        <item x="144"/>
        <item x="475"/>
        <item x="679"/>
        <item x="577"/>
        <item x="5"/>
        <item x="178"/>
        <item x="608"/>
        <item x="557"/>
        <item x="614"/>
        <item x="731"/>
        <item x="161"/>
        <item x="405"/>
        <item x="304"/>
        <item x="119"/>
        <item x="95"/>
        <item x="504"/>
        <item x="574"/>
        <item x="69"/>
        <item x="501"/>
        <item x="612"/>
        <item x="86"/>
        <item x="511"/>
        <item x="191"/>
        <item x="544"/>
        <item x="680"/>
        <item x="642"/>
        <item x="78"/>
        <item x="706"/>
        <item x="583"/>
        <item x="536"/>
        <item x="473"/>
        <item x="299"/>
        <item x="99"/>
        <item x="221"/>
        <item x="500"/>
        <item x="77"/>
        <item x="513"/>
        <item x="611"/>
        <item x="137"/>
        <item x="506"/>
        <item x="411"/>
        <item x="564"/>
        <item x="342"/>
        <item x="220"/>
        <item x="43"/>
        <item x="372"/>
        <item x="187"/>
        <item x="531"/>
        <item x="740"/>
        <item x="222"/>
        <item x="541"/>
        <item x="143"/>
        <item x="472"/>
        <item x="166"/>
        <item x="322"/>
        <item x="676"/>
        <item x="330"/>
        <item x="482"/>
        <item x="522"/>
        <item x="288"/>
        <item x="744"/>
        <item x="196"/>
        <item x="335"/>
        <item x="98"/>
        <item x="281"/>
        <item x="30"/>
        <item x="259"/>
        <item x="566"/>
        <item x="71"/>
        <item x="242"/>
        <item x="445"/>
        <item x="37"/>
        <item x="15"/>
        <item x="420"/>
        <item x="73"/>
        <item x="291"/>
        <item x="101"/>
        <item x="315"/>
        <item x="703"/>
        <item x="185"/>
        <item x="136"/>
        <item x="47"/>
        <item x="189"/>
        <item x="477"/>
        <item x="666"/>
        <item x="743"/>
        <item x="109"/>
        <item x="205"/>
        <item x="302"/>
        <item x="518"/>
        <item x="18"/>
        <item x="605"/>
        <item x="139"/>
        <item x="586"/>
        <item x="338"/>
        <item x="181"/>
        <item x="235"/>
        <item x="598"/>
        <item x="23"/>
        <item x="336"/>
        <item x="462"/>
        <item x="321"/>
        <item x="376"/>
        <item x="127"/>
        <item x="525"/>
        <item x="710"/>
        <item x="184"/>
        <item x="588"/>
        <item x="362"/>
        <item x="641"/>
        <item x="422"/>
        <item x="540"/>
        <item x="593"/>
        <item x="590"/>
        <item x="333"/>
        <item x="619"/>
        <item x="698"/>
        <item x="643"/>
        <item x="52"/>
        <item x="575"/>
        <item x="693"/>
        <item x="616"/>
        <item x="441"/>
        <item x="176"/>
        <item x="177"/>
        <item x="543"/>
        <item x="392"/>
        <item x="226"/>
        <item x="284"/>
        <item t="default"/>
      </items>
    </pivotField>
    <pivotField showAll="0">
      <items count="10">
        <item x="1"/>
        <item x="3"/>
        <item x="8"/>
        <item x="6"/>
        <item x="7"/>
        <item x="2"/>
        <item x="4"/>
        <item x="5"/>
        <item x="0"/>
        <item t="default"/>
      </items>
    </pivotField>
    <pivotField showAll="0">
      <items count="5">
        <item x="0"/>
        <item x="3"/>
        <item x="1"/>
        <item x="2"/>
        <item t="default"/>
      </items>
    </pivotField>
  </pivotFields>
  <rowFields count="1">
    <field x="3"/>
  </rowFields>
  <rowItems count="6">
    <i>
      <x/>
    </i>
    <i>
      <x v="1"/>
    </i>
    <i>
      <x v="2"/>
    </i>
    <i>
      <x v="3"/>
    </i>
    <i>
      <x v="4"/>
    </i>
    <i t="grand">
      <x/>
    </i>
  </rowItems>
  <colItems count="1">
    <i/>
  </colItems>
  <dataFields count="1">
    <dataField name="Count of CustomerID" fld="0" subtotal="count" baseField="0" baseItem="0"/>
  </dataFields>
  <chartFormats count="2">
    <chartFormat chart="5"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358C8-8E9F-46CF-8786-DEE7AB0B4AA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9" firstHeaderRow="1" firstDataRow="1"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1"/>
        <item x="0"/>
        <item x="2"/>
        <item x="3"/>
        <item x="4"/>
        <item t="default"/>
      </items>
    </pivotField>
    <pivotField numFmtId="1" showAll="0">
      <items count="41">
        <item x="6"/>
        <item x="30"/>
        <item x="3"/>
        <item x="21"/>
        <item x="20"/>
        <item x="7"/>
        <item x="10"/>
        <item x="17"/>
        <item x="1"/>
        <item x="2"/>
        <item x="4"/>
        <item x="15"/>
        <item x="11"/>
        <item x="27"/>
        <item x="5"/>
        <item x="12"/>
        <item x="32"/>
        <item x="14"/>
        <item x="0"/>
        <item x="9"/>
        <item x="24"/>
        <item x="13"/>
        <item x="22"/>
        <item x="29"/>
        <item x="19"/>
        <item x="25"/>
        <item x="26"/>
        <item x="23"/>
        <item x="8"/>
        <item x="16"/>
        <item x="34"/>
        <item x="31"/>
        <item x="37"/>
        <item x="28"/>
        <item x="18"/>
        <item x="33"/>
        <item x="38"/>
        <item x="35"/>
        <item x="36"/>
        <item x="39"/>
        <item t="default"/>
      </items>
    </pivotField>
    <pivotField showAll="0">
      <items count="6">
        <item x="2"/>
        <item x="1"/>
        <item x="0"/>
        <item x="3"/>
        <item x="4"/>
        <item t="default"/>
      </items>
    </pivotField>
    <pivotField showAll="0">
      <items count="4">
        <item x="1"/>
        <item x="0"/>
        <item x="2"/>
        <item t="default"/>
      </items>
    </pivotField>
    <pivotField showAll="0">
      <items count="11">
        <item x="4"/>
        <item x="6"/>
        <item x="1"/>
        <item x="5"/>
        <item x="7"/>
        <item x="3"/>
        <item x="0"/>
        <item x="9"/>
        <item x="2"/>
        <item x="8"/>
        <item t="default"/>
      </items>
    </pivotField>
    <pivotField showAll="0">
      <items count="61">
        <item x="36"/>
        <item x="59"/>
        <item x="19"/>
        <item x="15"/>
        <item x="13"/>
        <item x="24"/>
        <item x="54"/>
        <item x="31"/>
        <item x="42"/>
        <item x="5"/>
        <item x="6"/>
        <item x="12"/>
        <item x="57"/>
        <item x="55"/>
        <item x="4"/>
        <item x="45"/>
        <item x="0"/>
        <item x="56"/>
        <item x="14"/>
        <item x="35"/>
        <item x="32"/>
        <item x="49"/>
        <item x="18"/>
        <item x="44"/>
        <item x="20"/>
        <item x="39"/>
        <item x="53"/>
        <item x="29"/>
        <item x="21"/>
        <item x="33"/>
        <item x="1"/>
        <item x="58"/>
        <item x="28"/>
        <item x="30"/>
        <item x="22"/>
        <item x="34"/>
        <item x="26"/>
        <item x="41"/>
        <item x="8"/>
        <item x="16"/>
        <item x="27"/>
        <item x="23"/>
        <item x="17"/>
        <item x="48"/>
        <item x="40"/>
        <item x="52"/>
        <item x="38"/>
        <item x="37"/>
        <item x="10"/>
        <item x="2"/>
        <item x="51"/>
        <item x="9"/>
        <item x="7"/>
        <item x="50"/>
        <item x="47"/>
        <item x="11"/>
        <item x="25"/>
        <item x="46"/>
        <item x="43"/>
        <item x="3"/>
        <item t="default"/>
      </items>
    </pivotField>
    <pivotField numFmtId="164" showAll="0">
      <items count="758">
        <item x="258"/>
        <item x="644"/>
        <item x="660"/>
        <item x="722"/>
        <item x="123"/>
        <item x="113"/>
        <item x="397"/>
        <item x="638"/>
        <item x="449"/>
        <item x="75"/>
        <item x="223"/>
        <item x="379"/>
        <item x="74"/>
        <item x="535"/>
        <item x="3"/>
        <item x="499"/>
        <item x="418"/>
        <item x="461"/>
        <item x="269"/>
        <item x="718"/>
        <item x="613"/>
        <item x="120"/>
        <item x="754"/>
        <item x="72"/>
        <item x="696"/>
        <item x="266"/>
        <item x="103"/>
        <item x="209"/>
        <item x="283"/>
        <item x="617"/>
        <item x="678"/>
        <item x="542"/>
        <item x="655"/>
        <item x="402"/>
        <item x="381"/>
        <item x="91"/>
        <item x="326"/>
        <item x="399"/>
        <item x="452"/>
        <item x="217"/>
        <item x="34"/>
        <item x="31"/>
        <item x="400"/>
        <item x="514"/>
        <item x="374"/>
        <item x="609"/>
        <item x="309"/>
        <item x="237"/>
        <item x="719"/>
        <item x="572"/>
        <item x="539"/>
        <item x="736"/>
        <item x="206"/>
        <item x="385"/>
        <item x="620"/>
        <item x="279"/>
        <item x="198"/>
        <item x="201"/>
        <item x="90"/>
        <item x="464"/>
        <item x="257"/>
        <item x="219"/>
        <item x="231"/>
        <item x="107"/>
        <item x="723"/>
        <item x="424"/>
        <item x="390"/>
        <item x="84"/>
        <item x="725"/>
        <item x="272"/>
        <item x="403"/>
        <item x="11"/>
        <item x="63"/>
        <item x="560"/>
        <item x="556"/>
        <item x="357"/>
        <item x="429"/>
        <item x="341"/>
        <item x="408"/>
        <item x="713"/>
        <item x="96"/>
        <item x="438"/>
        <item x="639"/>
        <item x="726"/>
        <item x="510"/>
        <item x="164"/>
        <item x="118"/>
        <item x="239"/>
        <item x="634"/>
        <item x="471"/>
        <item x="565"/>
        <item x="656"/>
        <item x="61"/>
        <item x="38"/>
        <item x="720"/>
        <item x="287"/>
        <item x="170"/>
        <item x="406"/>
        <item x="331"/>
        <item x="7"/>
        <item x="356"/>
        <item x="601"/>
        <item x="648"/>
        <item x="573"/>
        <item x="370"/>
        <item x="133"/>
        <item x="42"/>
        <item x="40"/>
        <item x="246"/>
        <item x="361"/>
        <item x="558"/>
        <item x="9"/>
        <item x="654"/>
        <item x="481"/>
        <item x="732"/>
        <item x="621"/>
        <item x="28"/>
        <item x="687"/>
        <item x="254"/>
        <item x="115"/>
        <item x="125"/>
        <item x="276"/>
        <item x="553"/>
        <item x="582"/>
        <item x="307"/>
        <item x="571"/>
        <item x="707"/>
        <item x="146"/>
        <item x="286"/>
        <item x="347"/>
        <item x="363"/>
        <item x="310"/>
        <item x="163"/>
        <item x="2"/>
        <item x="747"/>
        <item x="667"/>
        <item x="589"/>
        <item x="595"/>
        <item x="92"/>
        <item x="384"/>
        <item x="131"/>
        <item x="442"/>
        <item x="689"/>
        <item x="585"/>
        <item x="505"/>
        <item x="651"/>
        <item x="192"/>
        <item x="394"/>
        <item x="663"/>
        <item x="124"/>
        <item x="626"/>
        <item x="520"/>
        <item x="100"/>
        <item x="749"/>
        <item x="351"/>
        <item x="10"/>
        <item x="46"/>
        <item x="132"/>
        <item x="691"/>
        <item x="670"/>
        <item x="498"/>
        <item x="584"/>
        <item x="469"/>
        <item x="490"/>
        <item x="688"/>
        <item x="721"/>
        <item x="662"/>
        <item x="57"/>
        <item x="339"/>
        <item x="366"/>
        <item x="295"/>
        <item x="297"/>
        <item x="157"/>
        <item x="314"/>
        <item x="491"/>
        <item x="59"/>
        <item x="204"/>
        <item x="426"/>
        <item x="244"/>
        <item x="85"/>
        <item x="152"/>
        <item x="682"/>
        <item x="559"/>
        <item x="155"/>
        <item x="753"/>
        <item x="311"/>
        <item x="755"/>
        <item x="359"/>
        <item x="468"/>
        <item x="715"/>
        <item x="665"/>
        <item x="318"/>
        <item x="129"/>
        <item x="243"/>
        <item x="227"/>
        <item x="488"/>
        <item x="324"/>
        <item x="404"/>
        <item x="280"/>
        <item x="329"/>
        <item x="138"/>
        <item x="431"/>
        <item x="165"/>
        <item x="65"/>
        <item x="456"/>
        <item x="149"/>
        <item x="241"/>
        <item x="168"/>
        <item x="463"/>
        <item x="493"/>
        <item x="515"/>
        <item x="479"/>
        <item x="256"/>
        <item x="102"/>
        <item x="435"/>
        <item x="533"/>
        <item x="530"/>
        <item x="212"/>
        <item x="413"/>
        <item x="455"/>
        <item x="313"/>
        <item x="627"/>
        <item x="167"/>
        <item x="162"/>
        <item x="349"/>
        <item x="624"/>
        <item x="293"/>
        <item x="454"/>
        <item x="669"/>
        <item x="675"/>
        <item x="20"/>
        <item x="350"/>
        <item x="528"/>
        <item x="289"/>
        <item x="83"/>
        <item x="29"/>
        <item x="303"/>
        <item x="742"/>
        <item x="114"/>
        <item x="45"/>
        <item x="425"/>
        <item x="569"/>
        <item x="690"/>
        <item x="618"/>
        <item x="345"/>
        <item x="252"/>
        <item x="228"/>
        <item x="367"/>
        <item x="250"/>
        <item x="317"/>
        <item x="88"/>
        <item x="76"/>
        <item x="551"/>
        <item x="33"/>
        <item x="632"/>
        <item x="80"/>
        <item x="563"/>
        <item x="746"/>
        <item x="66"/>
        <item x="685"/>
        <item x="717"/>
        <item x="112"/>
        <item x="358"/>
        <item x="19"/>
        <item x="439"/>
        <item x="661"/>
        <item x="576"/>
        <item x="430"/>
        <item x="483"/>
        <item x="79"/>
        <item x="602"/>
        <item x="93"/>
        <item x="323"/>
        <item x="55"/>
        <item x="262"/>
        <item x="380"/>
        <item x="203"/>
        <item x="568"/>
        <item x="8"/>
        <item x="416"/>
        <item x="396"/>
        <item x="110"/>
        <item x="398"/>
        <item x="156"/>
        <item x="94"/>
        <item x="730"/>
        <item x="684"/>
        <item x="233"/>
        <item x="158"/>
        <item x="739"/>
        <item x="337"/>
        <item x="67"/>
        <item x="247"/>
        <item x="672"/>
        <item x="135"/>
        <item x="261"/>
        <item x="334"/>
        <item x="128"/>
        <item x="32"/>
        <item x="171"/>
        <item x="460"/>
        <item x="484"/>
        <item x="474"/>
        <item x="365"/>
        <item x="512"/>
        <item x="502"/>
        <item x="316"/>
        <item x="292"/>
        <item x="692"/>
        <item x="364"/>
        <item x="750"/>
        <item x="437"/>
        <item x="650"/>
        <item x="268"/>
        <item x="427"/>
        <item x="230"/>
        <item x="467"/>
        <item x="294"/>
        <item x="415"/>
        <item x="253"/>
        <item x="49"/>
        <item x="172"/>
        <item x="249"/>
        <item x="285"/>
        <item x="26"/>
        <item x="745"/>
        <item x="673"/>
        <item x="368"/>
        <item x="450"/>
        <item x="229"/>
        <item x="637"/>
        <item x="56"/>
        <item x="496"/>
        <item x="140"/>
        <item x="263"/>
        <item x="521"/>
        <item x="301"/>
        <item x="702"/>
        <item x="173"/>
        <item x="549"/>
        <item x="169"/>
        <item x="39"/>
        <item x="587"/>
        <item x="704"/>
        <item x="508"/>
        <item x="211"/>
        <item x="277"/>
        <item x="470"/>
        <item x="552"/>
        <item x="105"/>
        <item x="194"/>
        <item x="248"/>
        <item x="148"/>
        <item x="446"/>
        <item x="716"/>
        <item x="517"/>
        <item x="664"/>
        <item x="709"/>
        <item x="382"/>
        <item x="751"/>
        <item x="35"/>
        <item x="625"/>
        <item x="255"/>
        <item x="377"/>
        <item x="270"/>
        <item x="712"/>
        <item x="555"/>
        <item x="197"/>
        <item x="327"/>
        <item x="401"/>
        <item x="700"/>
        <item x="597"/>
        <item x="344"/>
        <item x="636"/>
        <item x="610"/>
        <item x="503"/>
        <item x="714"/>
        <item x="417"/>
        <item x="534"/>
        <item x="647"/>
        <item x="694"/>
        <item x="70"/>
        <item x="465"/>
        <item x="264"/>
        <item x="278"/>
        <item x="1"/>
        <item x="12"/>
        <item x="224"/>
        <item x="414"/>
        <item x="432"/>
        <item x="653"/>
        <item x="457"/>
        <item x="548"/>
        <item x="391"/>
        <item x="147"/>
        <item x="649"/>
        <item x="179"/>
        <item x="58"/>
        <item x="428"/>
        <item x="48"/>
        <item x="495"/>
        <item x="458"/>
        <item x="320"/>
        <item x="708"/>
        <item x="453"/>
        <item x="25"/>
        <item x="208"/>
        <item x="554"/>
        <item x="354"/>
        <item x="607"/>
        <item x="200"/>
        <item x="267"/>
        <item x="116"/>
        <item x="532"/>
        <item x="238"/>
        <item x="387"/>
        <item x="741"/>
        <item x="538"/>
        <item x="523"/>
        <item x="106"/>
        <item x="459"/>
        <item x="36"/>
        <item x="271"/>
        <item x="622"/>
        <item x="652"/>
        <item x="444"/>
        <item x="728"/>
        <item x="130"/>
        <item x="232"/>
        <item x="546"/>
        <item x="275"/>
        <item x="507"/>
        <item x="623"/>
        <item x="328"/>
        <item x="145"/>
        <item x="134"/>
        <item x="486"/>
        <item x="466"/>
        <item x="215"/>
        <item x="126"/>
        <item x="733"/>
        <item x="492"/>
        <item x="175"/>
        <item x="635"/>
        <item x="64"/>
        <item x="122"/>
        <item x="369"/>
        <item x="245"/>
        <item x="62"/>
        <item x="24"/>
        <item x="683"/>
        <item x="581"/>
        <item x="51"/>
        <item x="412"/>
        <item x="218"/>
        <item x="282"/>
        <item x="373"/>
        <item x="141"/>
        <item x="265"/>
        <item x="494"/>
        <item x="108"/>
        <item x="378"/>
        <item x="151"/>
        <item x="340"/>
        <item x="448"/>
        <item x="567"/>
        <item x="186"/>
        <item x="214"/>
        <item x="87"/>
        <item x="410"/>
        <item x="308"/>
        <item x="104"/>
        <item x="509"/>
        <item x="659"/>
        <item x="234"/>
        <item x="41"/>
        <item x="274"/>
        <item x="22"/>
        <item x="640"/>
        <item x="480"/>
        <item x="658"/>
        <item x="603"/>
        <item x="82"/>
        <item x="599"/>
        <item x="699"/>
        <item x="671"/>
        <item x="117"/>
        <item x="236"/>
        <item x="701"/>
        <item x="111"/>
        <item x="142"/>
        <item x="260"/>
        <item x="604"/>
        <item x="596"/>
        <item x="697"/>
        <item x="419"/>
        <item x="298"/>
        <item x="44"/>
        <item x="409"/>
        <item x="478"/>
        <item x="121"/>
        <item x="592"/>
        <item x="681"/>
        <item x="561"/>
        <item x="443"/>
        <item x="240"/>
        <item x="159"/>
        <item x="348"/>
        <item x="375"/>
        <item x="580"/>
        <item x="570"/>
        <item x="433"/>
        <item x="591"/>
        <item x="497"/>
        <item x="360"/>
        <item x="50"/>
        <item x="60"/>
        <item x="711"/>
        <item x="735"/>
        <item x="54"/>
        <item x="476"/>
        <item x="346"/>
        <item x="562"/>
        <item x="606"/>
        <item x="352"/>
        <item x="447"/>
        <item x="389"/>
        <item x="526"/>
        <item x="97"/>
        <item x="21"/>
        <item x="17"/>
        <item x="529"/>
        <item x="154"/>
        <item x="207"/>
        <item x="393"/>
        <item x="183"/>
        <item x="199"/>
        <item x="631"/>
        <item x="729"/>
        <item x="440"/>
        <item x="752"/>
        <item x="668"/>
        <item x="388"/>
        <item x="748"/>
        <item x="182"/>
        <item x="485"/>
        <item x="436"/>
        <item x="0"/>
        <item x="174"/>
        <item x="53"/>
        <item x="547"/>
        <item x="16"/>
        <item x="195"/>
        <item x="81"/>
        <item x="319"/>
        <item x="395"/>
        <item x="89"/>
        <item x="305"/>
        <item x="407"/>
        <item x="630"/>
        <item x="343"/>
        <item x="734"/>
        <item x="213"/>
        <item x="545"/>
        <item x="579"/>
        <item x="210"/>
        <item x="150"/>
        <item x="4"/>
        <item x="738"/>
        <item x="727"/>
        <item x="537"/>
        <item x="657"/>
        <item x="519"/>
        <item x="705"/>
        <item x="756"/>
        <item x="578"/>
        <item x="628"/>
        <item x="225"/>
        <item x="674"/>
        <item x="68"/>
        <item x="724"/>
        <item x="594"/>
        <item x="251"/>
        <item x="386"/>
        <item x="332"/>
        <item x="216"/>
        <item x="524"/>
        <item x="527"/>
        <item x="153"/>
        <item x="737"/>
        <item x="306"/>
        <item x="633"/>
        <item x="296"/>
        <item x="434"/>
        <item x="371"/>
        <item x="353"/>
        <item x="202"/>
        <item x="273"/>
        <item x="695"/>
        <item x="646"/>
        <item x="423"/>
        <item x="383"/>
        <item x="421"/>
        <item x="451"/>
        <item x="188"/>
        <item x="677"/>
        <item x="325"/>
        <item x="312"/>
        <item x="487"/>
        <item x="550"/>
        <item x="645"/>
        <item x="290"/>
        <item x="13"/>
        <item x="160"/>
        <item x="489"/>
        <item x="600"/>
        <item x="615"/>
        <item x="193"/>
        <item x="300"/>
        <item x="190"/>
        <item x="516"/>
        <item x="180"/>
        <item x="14"/>
        <item x="6"/>
        <item x="686"/>
        <item x="355"/>
        <item x="27"/>
        <item x="629"/>
        <item x="144"/>
        <item x="475"/>
        <item x="679"/>
        <item x="577"/>
        <item x="5"/>
        <item x="178"/>
        <item x="608"/>
        <item x="557"/>
        <item x="614"/>
        <item x="731"/>
        <item x="161"/>
        <item x="405"/>
        <item x="304"/>
        <item x="119"/>
        <item x="95"/>
        <item x="504"/>
        <item x="574"/>
        <item x="69"/>
        <item x="501"/>
        <item x="612"/>
        <item x="86"/>
        <item x="511"/>
        <item x="191"/>
        <item x="544"/>
        <item x="680"/>
        <item x="642"/>
        <item x="78"/>
        <item x="706"/>
        <item x="583"/>
        <item x="536"/>
        <item x="473"/>
        <item x="299"/>
        <item x="99"/>
        <item x="221"/>
        <item x="500"/>
        <item x="77"/>
        <item x="513"/>
        <item x="611"/>
        <item x="137"/>
        <item x="506"/>
        <item x="411"/>
        <item x="564"/>
        <item x="342"/>
        <item x="220"/>
        <item x="43"/>
        <item x="372"/>
        <item x="187"/>
        <item x="531"/>
        <item x="740"/>
        <item x="222"/>
        <item x="541"/>
        <item x="143"/>
        <item x="472"/>
        <item x="166"/>
        <item x="322"/>
        <item x="676"/>
        <item x="330"/>
        <item x="482"/>
        <item x="522"/>
        <item x="288"/>
        <item x="744"/>
        <item x="196"/>
        <item x="335"/>
        <item x="98"/>
        <item x="281"/>
        <item x="30"/>
        <item x="259"/>
        <item x="566"/>
        <item x="71"/>
        <item x="242"/>
        <item x="445"/>
        <item x="37"/>
        <item x="15"/>
        <item x="420"/>
        <item x="73"/>
        <item x="291"/>
        <item x="101"/>
        <item x="315"/>
        <item x="703"/>
        <item x="185"/>
        <item x="136"/>
        <item x="47"/>
        <item x="189"/>
        <item x="477"/>
        <item x="666"/>
        <item x="743"/>
        <item x="109"/>
        <item x="205"/>
        <item x="302"/>
        <item x="518"/>
        <item x="18"/>
        <item x="605"/>
        <item x="139"/>
        <item x="586"/>
        <item x="338"/>
        <item x="181"/>
        <item x="235"/>
        <item x="598"/>
        <item x="23"/>
        <item x="336"/>
        <item x="462"/>
        <item x="321"/>
        <item x="376"/>
        <item x="127"/>
        <item x="525"/>
        <item x="710"/>
        <item x="184"/>
        <item x="588"/>
        <item x="362"/>
        <item x="641"/>
        <item x="422"/>
        <item x="540"/>
        <item x="593"/>
        <item x="590"/>
        <item x="333"/>
        <item x="619"/>
        <item x="698"/>
        <item x="643"/>
        <item x="52"/>
        <item x="575"/>
        <item x="693"/>
        <item x="616"/>
        <item x="441"/>
        <item x="176"/>
        <item x="177"/>
        <item x="543"/>
        <item x="392"/>
        <item x="226"/>
        <item x="284"/>
        <item t="default"/>
      </items>
    </pivotField>
    <pivotField showAll="0">
      <items count="10">
        <item x="1"/>
        <item x="3"/>
        <item x="8"/>
        <item x="6"/>
        <item x="7"/>
        <item x="2"/>
        <item x="4"/>
        <item x="5"/>
        <item x="0"/>
        <item t="default"/>
      </items>
    </pivotField>
    <pivotField showAll="0">
      <items count="5">
        <item x="0"/>
        <item x="3"/>
        <item x="1"/>
        <item x="2"/>
        <item t="default"/>
      </items>
    </pivotField>
  </pivotFields>
  <rowFields count="1">
    <field x="1"/>
  </rowFields>
  <rowItems count="6">
    <i>
      <x/>
    </i>
    <i>
      <x v="1"/>
    </i>
    <i>
      <x v="2"/>
    </i>
    <i>
      <x v="3"/>
    </i>
    <i>
      <x v="4"/>
    </i>
    <i t="grand">
      <x/>
    </i>
  </rowItems>
  <colItems count="1">
    <i/>
  </colItems>
  <dataFields count="1">
    <dataField name="Count of CustomerID" fld="0" subtotal="count" baseField="0" baseItem="0"/>
  </dataFields>
  <chartFormats count="12">
    <chartFormat chart="0" format="3"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 count="1" selected="0">
            <x v="0"/>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 chart="11" format="13">
      <pivotArea type="data" outline="0" fieldPosition="0">
        <references count="2">
          <reference field="4294967294" count="1" selected="0">
            <x v="0"/>
          </reference>
          <reference field="1" count="1" selected="0">
            <x v="2"/>
          </reference>
        </references>
      </pivotArea>
    </chartFormat>
    <chartFormat chart="11" format="14">
      <pivotArea type="data" outline="0" fieldPosition="0">
        <references count="2">
          <reference field="4294967294" count="1" selected="0">
            <x v="0"/>
          </reference>
          <reference field="1" count="1" selected="0">
            <x v="3"/>
          </reference>
        </references>
      </pivotArea>
    </chartFormat>
    <chartFormat chart="11" format="15">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0" format="7">
      <pivotArea type="data" outline="0" fieldPosition="0">
        <references count="2">
          <reference field="4294967294" count="1" selected="0">
            <x v="0"/>
          </reference>
          <reference field="1" count="1" selected="0">
            <x v="3"/>
          </reference>
        </references>
      </pivotArea>
    </chartFormat>
    <chartFormat chart="0" format="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086808-93D5-4D0B-8B56-0E66FD7899E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A85:B89" firstHeaderRow="1" firstDataRow="1"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1"/>
        <item x="0"/>
        <item x="2"/>
        <item x="3"/>
        <item x="4"/>
        <item t="default"/>
      </items>
    </pivotField>
    <pivotField numFmtId="1" showAll="0">
      <items count="41">
        <item x="6"/>
        <item x="30"/>
        <item x="3"/>
        <item x="21"/>
        <item x="20"/>
        <item x="7"/>
        <item x="10"/>
        <item x="17"/>
        <item x="1"/>
        <item x="2"/>
        <item x="4"/>
        <item x="15"/>
        <item x="11"/>
        <item x="27"/>
        <item x="5"/>
        <item x="12"/>
        <item x="32"/>
        <item x="14"/>
        <item x="0"/>
        <item x="9"/>
        <item x="24"/>
        <item x="13"/>
        <item x="22"/>
        <item x="29"/>
        <item x="19"/>
        <item x="25"/>
        <item x="26"/>
        <item x="23"/>
        <item x="8"/>
        <item x="16"/>
        <item x="34"/>
        <item x="31"/>
        <item x="37"/>
        <item x="28"/>
        <item x="18"/>
        <item x="33"/>
        <item x="38"/>
        <item x="35"/>
        <item x="36"/>
        <item x="39"/>
        <item t="default"/>
      </items>
    </pivotField>
    <pivotField showAll="0">
      <items count="6">
        <item x="2"/>
        <item x="1"/>
        <item x="0"/>
        <item x="3"/>
        <item x="4"/>
        <item t="default"/>
      </items>
    </pivotField>
    <pivotField axis="axisRow" showAll="0">
      <items count="4">
        <item x="1"/>
        <item x="0"/>
        <item x="2"/>
        <item t="default"/>
      </items>
    </pivotField>
    <pivotField showAll="0">
      <items count="11">
        <item x="4"/>
        <item x="6"/>
        <item x="1"/>
        <item x="5"/>
        <item x="7"/>
        <item x="3"/>
        <item x="0"/>
        <item x="9"/>
        <item x="2"/>
        <item x="8"/>
        <item t="default"/>
      </items>
    </pivotField>
    <pivotField showAll="0">
      <items count="61">
        <item x="36"/>
        <item x="59"/>
        <item x="19"/>
        <item x="15"/>
        <item x="13"/>
        <item x="24"/>
        <item x="54"/>
        <item x="31"/>
        <item x="42"/>
        <item x="5"/>
        <item x="6"/>
        <item x="12"/>
        <item x="57"/>
        <item x="55"/>
        <item x="4"/>
        <item x="45"/>
        <item x="0"/>
        <item x="56"/>
        <item x="14"/>
        <item x="35"/>
        <item x="32"/>
        <item x="49"/>
        <item x="18"/>
        <item x="44"/>
        <item x="20"/>
        <item x="39"/>
        <item x="53"/>
        <item x="29"/>
        <item x="21"/>
        <item x="33"/>
        <item x="1"/>
        <item x="58"/>
        <item x="28"/>
        <item x="30"/>
        <item x="22"/>
        <item x="34"/>
        <item x="26"/>
        <item x="41"/>
        <item x="8"/>
        <item x="16"/>
        <item x="27"/>
        <item x="23"/>
        <item x="17"/>
        <item x="48"/>
        <item x="40"/>
        <item x="52"/>
        <item x="38"/>
        <item x="37"/>
        <item x="10"/>
        <item x="2"/>
        <item x="51"/>
        <item x="9"/>
        <item x="7"/>
        <item x="50"/>
        <item x="47"/>
        <item x="11"/>
        <item x="25"/>
        <item x="46"/>
        <item x="43"/>
        <item x="3"/>
        <item t="default"/>
      </items>
    </pivotField>
    <pivotField numFmtId="164" showAll="0">
      <items count="758">
        <item x="258"/>
        <item x="644"/>
        <item x="660"/>
        <item x="722"/>
        <item x="123"/>
        <item x="113"/>
        <item x="397"/>
        <item x="638"/>
        <item x="449"/>
        <item x="75"/>
        <item x="223"/>
        <item x="379"/>
        <item x="74"/>
        <item x="535"/>
        <item x="3"/>
        <item x="499"/>
        <item x="418"/>
        <item x="461"/>
        <item x="269"/>
        <item x="718"/>
        <item x="613"/>
        <item x="120"/>
        <item x="754"/>
        <item x="72"/>
        <item x="696"/>
        <item x="266"/>
        <item x="103"/>
        <item x="209"/>
        <item x="283"/>
        <item x="617"/>
        <item x="678"/>
        <item x="542"/>
        <item x="655"/>
        <item x="402"/>
        <item x="381"/>
        <item x="91"/>
        <item x="326"/>
        <item x="399"/>
        <item x="452"/>
        <item x="217"/>
        <item x="34"/>
        <item x="31"/>
        <item x="400"/>
        <item x="514"/>
        <item x="374"/>
        <item x="609"/>
        <item x="309"/>
        <item x="237"/>
        <item x="719"/>
        <item x="572"/>
        <item x="539"/>
        <item x="736"/>
        <item x="206"/>
        <item x="385"/>
        <item x="620"/>
        <item x="279"/>
        <item x="198"/>
        <item x="201"/>
        <item x="90"/>
        <item x="464"/>
        <item x="257"/>
        <item x="219"/>
        <item x="231"/>
        <item x="107"/>
        <item x="723"/>
        <item x="424"/>
        <item x="390"/>
        <item x="84"/>
        <item x="725"/>
        <item x="272"/>
        <item x="403"/>
        <item x="11"/>
        <item x="63"/>
        <item x="560"/>
        <item x="556"/>
        <item x="357"/>
        <item x="429"/>
        <item x="341"/>
        <item x="408"/>
        <item x="713"/>
        <item x="96"/>
        <item x="438"/>
        <item x="639"/>
        <item x="726"/>
        <item x="510"/>
        <item x="164"/>
        <item x="118"/>
        <item x="239"/>
        <item x="634"/>
        <item x="471"/>
        <item x="565"/>
        <item x="656"/>
        <item x="61"/>
        <item x="38"/>
        <item x="720"/>
        <item x="287"/>
        <item x="170"/>
        <item x="406"/>
        <item x="331"/>
        <item x="7"/>
        <item x="356"/>
        <item x="601"/>
        <item x="648"/>
        <item x="573"/>
        <item x="370"/>
        <item x="133"/>
        <item x="42"/>
        <item x="40"/>
        <item x="246"/>
        <item x="361"/>
        <item x="558"/>
        <item x="9"/>
        <item x="654"/>
        <item x="481"/>
        <item x="732"/>
        <item x="621"/>
        <item x="28"/>
        <item x="687"/>
        <item x="254"/>
        <item x="115"/>
        <item x="125"/>
        <item x="276"/>
        <item x="553"/>
        <item x="582"/>
        <item x="307"/>
        <item x="571"/>
        <item x="707"/>
        <item x="146"/>
        <item x="286"/>
        <item x="347"/>
        <item x="363"/>
        <item x="310"/>
        <item x="163"/>
        <item x="2"/>
        <item x="747"/>
        <item x="667"/>
        <item x="589"/>
        <item x="595"/>
        <item x="92"/>
        <item x="384"/>
        <item x="131"/>
        <item x="442"/>
        <item x="689"/>
        <item x="585"/>
        <item x="505"/>
        <item x="651"/>
        <item x="192"/>
        <item x="394"/>
        <item x="663"/>
        <item x="124"/>
        <item x="626"/>
        <item x="520"/>
        <item x="100"/>
        <item x="749"/>
        <item x="351"/>
        <item x="10"/>
        <item x="46"/>
        <item x="132"/>
        <item x="691"/>
        <item x="670"/>
        <item x="498"/>
        <item x="584"/>
        <item x="469"/>
        <item x="490"/>
        <item x="688"/>
        <item x="721"/>
        <item x="662"/>
        <item x="57"/>
        <item x="339"/>
        <item x="366"/>
        <item x="295"/>
        <item x="297"/>
        <item x="157"/>
        <item x="314"/>
        <item x="491"/>
        <item x="59"/>
        <item x="204"/>
        <item x="426"/>
        <item x="244"/>
        <item x="85"/>
        <item x="152"/>
        <item x="682"/>
        <item x="559"/>
        <item x="155"/>
        <item x="753"/>
        <item x="311"/>
        <item x="755"/>
        <item x="359"/>
        <item x="468"/>
        <item x="715"/>
        <item x="665"/>
        <item x="318"/>
        <item x="129"/>
        <item x="243"/>
        <item x="227"/>
        <item x="488"/>
        <item x="324"/>
        <item x="404"/>
        <item x="280"/>
        <item x="329"/>
        <item x="138"/>
        <item x="431"/>
        <item x="165"/>
        <item x="65"/>
        <item x="456"/>
        <item x="149"/>
        <item x="241"/>
        <item x="168"/>
        <item x="463"/>
        <item x="493"/>
        <item x="515"/>
        <item x="479"/>
        <item x="256"/>
        <item x="102"/>
        <item x="435"/>
        <item x="533"/>
        <item x="530"/>
        <item x="212"/>
        <item x="413"/>
        <item x="455"/>
        <item x="313"/>
        <item x="627"/>
        <item x="167"/>
        <item x="162"/>
        <item x="349"/>
        <item x="624"/>
        <item x="293"/>
        <item x="454"/>
        <item x="669"/>
        <item x="675"/>
        <item x="20"/>
        <item x="350"/>
        <item x="528"/>
        <item x="289"/>
        <item x="83"/>
        <item x="29"/>
        <item x="303"/>
        <item x="742"/>
        <item x="114"/>
        <item x="45"/>
        <item x="425"/>
        <item x="569"/>
        <item x="690"/>
        <item x="618"/>
        <item x="345"/>
        <item x="252"/>
        <item x="228"/>
        <item x="367"/>
        <item x="250"/>
        <item x="317"/>
        <item x="88"/>
        <item x="76"/>
        <item x="551"/>
        <item x="33"/>
        <item x="632"/>
        <item x="80"/>
        <item x="563"/>
        <item x="746"/>
        <item x="66"/>
        <item x="685"/>
        <item x="717"/>
        <item x="112"/>
        <item x="358"/>
        <item x="19"/>
        <item x="439"/>
        <item x="661"/>
        <item x="576"/>
        <item x="430"/>
        <item x="483"/>
        <item x="79"/>
        <item x="602"/>
        <item x="93"/>
        <item x="323"/>
        <item x="55"/>
        <item x="262"/>
        <item x="380"/>
        <item x="203"/>
        <item x="568"/>
        <item x="8"/>
        <item x="416"/>
        <item x="396"/>
        <item x="110"/>
        <item x="398"/>
        <item x="156"/>
        <item x="94"/>
        <item x="730"/>
        <item x="684"/>
        <item x="233"/>
        <item x="158"/>
        <item x="739"/>
        <item x="337"/>
        <item x="67"/>
        <item x="247"/>
        <item x="672"/>
        <item x="135"/>
        <item x="261"/>
        <item x="334"/>
        <item x="128"/>
        <item x="32"/>
        <item x="171"/>
        <item x="460"/>
        <item x="484"/>
        <item x="474"/>
        <item x="365"/>
        <item x="512"/>
        <item x="502"/>
        <item x="316"/>
        <item x="292"/>
        <item x="692"/>
        <item x="364"/>
        <item x="750"/>
        <item x="437"/>
        <item x="650"/>
        <item x="268"/>
        <item x="427"/>
        <item x="230"/>
        <item x="467"/>
        <item x="294"/>
        <item x="415"/>
        <item x="253"/>
        <item x="49"/>
        <item x="172"/>
        <item x="249"/>
        <item x="285"/>
        <item x="26"/>
        <item x="745"/>
        <item x="673"/>
        <item x="368"/>
        <item x="450"/>
        <item x="229"/>
        <item x="637"/>
        <item x="56"/>
        <item x="496"/>
        <item x="140"/>
        <item x="263"/>
        <item x="521"/>
        <item x="301"/>
        <item x="702"/>
        <item x="173"/>
        <item x="549"/>
        <item x="169"/>
        <item x="39"/>
        <item x="587"/>
        <item x="704"/>
        <item x="508"/>
        <item x="211"/>
        <item x="277"/>
        <item x="470"/>
        <item x="552"/>
        <item x="105"/>
        <item x="194"/>
        <item x="248"/>
        <item x="148"/>
        <item x="446"/>
        <item x="716"/>
        <item x="517"/>
        <item x="664"/>
        <item x="709"/>
        <item x="382"/>
        <item x="751"/>
        <item x="35"/>
        <item x="625"/>
        <item x="255"/>
        <item x="377"/>
        <item x="270"/>
        <item x="712"/>
        <item x="555"/>
        <item x="197"/>
        <item x="327"/>
        <item x="401"/>
        <item x="700"/>
        <item x="597"/>
        <item x="344"/>
        <item x="636"/>
        <item x="610"/>
        <item x="503"/>
        <item x="714"/>
        <item x="417"/>
        <item x="534"/>
        <item x="647"/>
        <item x="694"/>
        <item x="70"/>
        <item x="465"/>
        <item x="264"/>
        <item x="278"/>
        <item x="1"/>
        <item x="12"/>
        <item x="224"/>
        <item x="414"/>
        <item x="432"/>
        <item x="653"/>
        <item x="457"/>
        <item x="548"/>
        <item x="391"/>
        <item x="147"/>
        <item x="649"/>
        <item x="179"/>
        <item x="58"/>
        <item x="428"/>
        <item x="48"/>
        <item x="495"/>
        <item x="458"/>
        <item x="320"/>
        <item x="708"/>
        <item x="453"/>
        <item x="25"/>
        <item x="208"/>
        <item x="554"/>
        <item x="354"/>
        <item x="607"/>
        <item x="200"/>
        <item x="267"/>
        <item x="116"/>
        <item x="532"/>
        <item x="238"/>
        <item x="387"/>
        <item x="741"/>
        <item x="538"/>
        <item x="523"/>
        <item x="106"/>
        <item x="459"/>
        <item x="36"/>
        <item x="271"/>
        <item x="622"/>
        <item x="652"/>
        <item x="444"/>
        <item x="728"/>
        <item x="130"/>
        <item x="232"/>
        <item x="546"/>
        <item x="275"/>
        <item x="507"/>
        <item x="623"/>
        <item x="328"/>
        <item x="145"/>
        <item x="134"/>
        <item x="486"/>
        <item x="466"/>
        <item x="215"/>
        <item x="126"/>
        <item x="733"/>
        <item x="492"/>
        <item x="175"/>
        <item x="635"/>
        <item x="64"/>
        <item x="122"/>
        <item x="369"/>
        <item x="245"/>
        <item x="62"/>
        <item x="24"/>
        <item x="683"/>
        <item x="581"/>
        <item x="51"/>
        <item x="412"/>
        <item x="218"/>
        <item x="282"/>
        <item x="373"/>
        <item x="141"/>
        <item x="265"/>
        <item x="494"/>
        <item x="108"/>
        <item x="378"/>
        <item x="151"/>
        <item x="340"/>
        <item x="448"/>
        <item x="567"/>
        <item x="186"/>
        <item x="214"/>
        <item x="87"/>
        <item x="410"/>
        <item x="308"/>
        <item x="104"/>
        <item x="509"/>
        <item x="659"/>
        <item x="234"/>
        <item x="41"/>
        <item x="274"/>
        <item x="22"/>
        <item x="640"/>
        <item x="480"/>
        <item x="658"/>
        <item x="603"/>
        <item x="82"/>
        <item x="599"/>
        <item x="699"/>
        <item x="671"/>
        <item x="117"/>
        <item x="236"/>
        <item x="701"/>
        <item x="111"/>
        <item x="142"/>
        <item x="260"/>
        <item x="604"/>
        <item x="596"/>
        <item x="697"/>
        <item x="419"/>
        <item x="298"/>
        <item x="44"/>
        <item x="409"/>
        <item x="478"/>
        <item x="121"/>
        <item x="592"/>
        <item x="681"/>
        <item x="561"/>
        <item x="443"/>
        <item x="240"/>
        <item x="159"/>
        <item x="348"/>
        <item x="375"/>
        <item x="580"/>
        <item x="570"/>
        <item x="433"/>
        <item x="591"/>
        <item x="497"/>
        <item x="360"/>
        <item x="50"/>
        <item x="60"/>
        <item x="711"/>
        <item x="735"/>
        <item x="54"/>
        <item x="476"/>
        <item x="346"/>
        <item x="562"/>
        <item x="606"/>
        <item x="352"/>
        <item x="447"/>
        <item x="389"/>
        <item x="526"/>
        <item x="97"/>
        <item x="21"/>
        <item x="17"/>
        <item x="529"/>
        <item x="154"/>
        <item x="207"/>
        <item x="393"/>
        <item x="183"/>
        <item x="199"/>
        <item x="631"/>
        <item x="729"/>
        <item x="440"/>
        <item x="752"/>
        <item x="668"/>
        <item x="388"/>
        <item x="748"/>
        <item x="182"/>
        <item x="485"/>
        <item x="436"/>
        <item x="0"/>
        <item x="174"/>
        <item x="53"/>
        <item x="547"/>
        <item x="16"/>
        <item x="195"/>
        <item x="81"/>
        <item x="319"/>
        <item x="395"/>
        <item x="89"/>
        <item x="305"/>
        <item x="407"/>
        <item x="630"/>
        <item x="343"/>
        <item x="734"/>
        <item x="213"/>
        <item x="545"/>
        <item x="579"/>
        <item x="210"/>
        <item x="150"/>
        <item x="4"/>
        <item x="738"/>
        <item x="727"/>
        <item x="537"/>
        <item x="657"/>
        <item x="519"/>
        <item x="705"/>
        <item x="756"/>
        <item x="578"/>
        <item x="628"/>
        <item x="225"/>
        <item x="674"/>
        <item x="68"/>
        <item x="724"/>
        <item x="594"/>
        <item x="251"/>
        <item x="386"/>
        <item x="332"/>
        <item x="216"/>
        <item x="524"/>
        <item x="527"/>
        <item x="153"/>
        <item x="737"/>
        <item x="306"/>
        <item x="633"/>
        <item x="296"/>
        <item x="434"/>
        <item x="371"/>
        <item x="353"/>
        <item x="202"/>
        <item x="273"/>
        <item x="695"/>
        <item x="646"/>
        <item x="423"/>
        <item x="383"/>
        <item x="421"/>
        <item x="451"/>
        <item x="188"/>
        <item x="677"/>
        <item x="325"/>
        <item x="312"/>
        <item x="487"/>
        <item x="550"/>
        <item x="645"/>
        <item x="290"/>
        <item x="13"/>
        <item x="160"/>
        <item x="489"/>
        <item x="600"/>
        <item x="615"/>
        <item x="193"/>
        <item x="300"/>
        <item x="190"/>
        <item x="516"/>
        <item x="180"/>
        <item x="14"/>
        <item x="6"/>
        <item x="686"/>
        <item x="355"/>
        <item x="27"/>
        <item x="629"/>
        <item x="144"/>
        <item x="475"/>
        <item x="679"/>
        <item x="577"/>
        <item x="5"/>
        <item x="178"/>
        <item x="608"/>
        <item x="557"/>
        <item x="614"/>
        <item x="731"/>
        <item x="161"/>
        <item x="405"/>
        <item x="304"/>
        <item x="119"/>
        <item x="95"/>
        <item x="504"/>
        <item x="574"/>
        <item x="69"/>
        <item x="501"/>
        <item x="612"/>
        <item x="86"/>
        <item x="511"/>
        <item x="191"/>
        <item x="544"/>
        <item x="680"/>
        <item x="642"/>
        <item x="78"/>
        <item x="706"/>
        <item x="583"/>
        <item x="536"/>
        <item x="473"/>
        <item x="299"/>
        <item x="99"/>
        <item x="221"/>
        <item x="500"/>
        <item x="77"/>
        <item x="513"/>
        <item x="611"/>
        <item x="137"/>
        <item x="506"/>
        <item x="411"/>
        <item x="564"/>
        <item x="342"/>
        <item x="220"/>
        <item x="43"/>
        <item x="372"/>
        <item x="187"/>
        <item x="531"/>
        <item x="740"/>
        <item x="222"/>
        <item x="541"/>
        <item x="143"/>
        <item x="472"/>
        <item x="166"/>
        <item x="322"/>
        <item x="676"/>
        <item x="330"/>
        <item x="482"/>
        <item x="522"/>
        <item x="288"/>
        <item x="744"/>
        <item x="196"/>
        <item x="335"/>
        <item x="98"/>
        <item x="281"/>
        <item x="30"/>
        <item x="259"/>
        <item x="566"/>
        <item x="71"/>
        <item x="242"/>
        <item x="445"/>
        <item x="37"/>
        <item x="15"/>
        <item x="420"/>
        <item x="73"/>
        <item x="291"/>
        <item x="101"/>
        <item x="315"/>
        <item x="703"/>
        <item x="185"/>
        <item x="136"/>
        <item x="47"/>
        <item x="189"/>
        <item x="477"/>
        <item x="666"/>
        <item x="743"/>
        <item x="109"/>
        <item x="205"/>
        <item x="302"/>
        <item x="518"/>
        <item x="18"/>
        <item x="605"/>
        <item x="139"/>
        <item x="586"/>
        <item x="338"/>
        <item x="181"/>
        <item x="235"/>
        <item x="598"/>
        <item x="23"/>
        <item x="336"/>
        <item x="462"/>
        <item x="321"/>
        <item x="376"/>
        <item x="127"/>
        <item x="525"/>
        <item x="710"/>
        <item x="184"/>
        <item x="588"/>
        <item x="362"/>
        <item x="641"/>
        <item x="422"/>
        <item x="540"/>
        <item x="593"/>
        <item x="590"/>
        <item x="333"/>
        <item x="619"/>
        <item x="698"/>
        <item x="643"/>
        <item x="52"/>
        <item x="575"/>
        <item x="693"/>
        <item x="616"/>
        <item x="441"/>
        <item x="176"/>
        <item x="177"/>
        <item x="543"/>
        <item x="392"/>
        <item x="226"/>
        <item x="284"/>
        <item t="default"/>
      </items>
    </pivotField>
    <pivotField showAll="0">
      <items count="10">
        <item x="1"/>
        <item x="3"/>
        <item x="8"/>
        <item x="6"/>
        <item x="7"/>
        <item x="2"/>
        <item x="4"/>
        <item x="5"/>
        <item x="0"/>
        <item t="default"/>
      </items>
    </pivotField>
    <pivotField showAll="0">
      <items count="5">
        <item x="0"/>
        <item x="3"/>
        <item x="1"/>
        <item x="2"/>
        <item t="default"/>
      </items>
    </pivotField>
  </pivotFields>
  <rowFields count="1">
    <field x="4"/>
  </rowFields>
  <rowItems count="4">
    <i>
      <x/>
    </i>
    <i>
      <x v="1"/>
    </i>
    <i>
      <x v="2"/>
    </i>
    <i t="grand">
      <x/>
    </i>
  </rowItems>
  <colItems count="1">
    <i/>
  </colItems>
  <dataFields count="1">
    <dataField name="Count of CustomerID" fld="0" subtotal="count" baseField="0" baseItem="0"/>
  </dataFields>
  <chartFormats count="9">
    <chartFormat chart="26"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4" count="1" selected="0">
            <x v="2"/>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4" count="1" selected="0">
            <x v="0"/>
          </reference>
        </references>
      </pivotArea>
    </chartFormat>
    <chartFormat chart="38" format="8">
      <pivotArea type="data" outline="0" fieldPosition="0">
        <references count="2">
          <reference field="4294967294" count="1" selected="0">
            <x v="0"/>
          </reference>
          <reference field="4" count="1" selected="0">
            <x v="1"/>
          </reference>
        </references>
      </pivotArea>
    </chartFormat>
    <chartFormat chart="38" format="9">
      <pivotArea type="data" outline="0" fieldPosition="0">
        <references count="2">
          <reference field="4294967294" count="1" selected="0">
            <x v="0"/>
          </reference>
          <reference field="4" count="1" selected="0">
            <x v="2"/>
          </reference>
        </references>
      </pivotArea>
    </chartFormat>
    <chartFormat chart="31" format="2">
      <pivotArea type="data" outline="0" fieldPosition="0">
        <references count="2">
          <reference field="4294967294" count="1" selected="0">
            <x v="0"/>
          </reference>
          <reference field="4" count="1" selected="0">
            <x v="0"/>
          </reference>
        </references>
      </pivotArea>
    </chartFormat>
    <chartFormat chart="31"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22F01F-AE1C-4474-BD96-39D7518AA0F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68:B79" firstHeaderRow="1" firstDataRow="1"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1"/>
        <item x="0"/>
        <item x="2"/>
        <item x="3"/>
        <item x="4"/>
        <item t="default"/>
      </items>
    </pivotField>
    <pivotField numFmtId="1" showAll="0">
      <items count="41">
        <item x="6"/>
        <item x="30"/>
        <item x="3"/>
        <item x="21"/>
        <item x="20"/>
        <item x="7"/>
        <item x="10"/>
        <item x="17"/>
        <item x="1"/>
        <item x="2"/>
        <item x="4"/>
        <item x="15"/>
        <item x="11"/>
        <item x="27"/>
        <item x="5"/>
        <item x="12"/>
        <item x="32"/>
        <item x="14"/>
        <item x="0"/>
        <item x="9"/>
        <item x="24"/>
        <item x="13"/>
        <item x="22"/>
        <item x="29"/>
        <item x="19"/>
        <item x="25"/>
        <item x="26"/>
        <item x="23"/>
        <item x="8"/>
        <item x="16"/>
        <item x="34"/>
        <item x="31"/>
        <item x="37"/>
        <item x="28"/>
        <item x="18"/>
        <item x="33"/>
        <item x="38"/>
        <item x="35"/>
        <item x="36"/>
        <item x="39"/>
        <item t="default"/>
      </items>
    </pivotField>
    <pivotField showAll="0">
      <items count="6">
        <item x="2"/>
        <item x="1"/>
        <item x="0"/>
        <item x="3"/>
        <item x="4"/>
        <item t="default"/>
      </items>
    </pivotField>
    <pivotField showAll="0">
      <items count="4">
        <item x="1"/>
        <item x="0"/>
        <item x="2"/>
        <item t="default"/>
      </items>
    </pivotField>
    <pivotField axis="axisRow" showAll="0">
      <items count="11">
        <item x="4"/>
        <item x="6"/>
        <item x="1"/>
        <item x="5"/>
        <item x="7"/>
        <item x="3"/>
        <item x="0"/>
        <item x="9"/>
        <item x="2"/>
        <item x="8"/>
        <item t="default"/>
      </items>
    </pivotField>
    <pivotField showAll="0">
      <items count="61">
        <item x="36"/>
        <item x="59"/>
        <item x="19"/>
        <item x="15"/>
        <item x="13"/>
        <item x="24"/>
        <item x="54"/>
        <item x="31"/>
        <item x="42"/>
        <item x="5"/>
        <item x="6"/>
        <item x="12"/>
        <item x="57"/>
        <item x="55"/>
        <item x="4"/>
        <item x="45"/>
        <item x="0"/>
        <item x="56"/>
        <item x="14"/>
        <item x="35"/>
        <item x="32"/>
        <item x="49"/>
        <item x="18"/>
        <item x="44"/>
        <item x="20"/>
        <item x="39"/>
        <item x="53"/>
        <item x="29"/>
        <item x="21"/>
        <item x="33"/>
        <item x="1"/>
        <item x="58"/>
        <item x="28"/>
        <item x="30"/>
        <item x="22"/>
        <item x="34"/>
        <item x="26"/>
        <item x="41"/>
        <item x="8"/>
        <item x="16"/>
        <item x="27"/>
        <item x="23"/>
        <item x="17"/>
        <item x="48"/>
        <item x="40"/>
        <item x="52"/>
        <item x="38"/>
        <item x="37"/>
        <item x="10"/>
        <item x="2"/>
        <item x="51"/>
        <item x="9"/>
        <item x="7"/>
        <item x="50"/>
        <item x="47"/>
        <item x="11"/>
        <item x="25"/>
        <item x="46"/>
        <item x="43"/>
        <item x="3"/>
        <item t="default"/>
      </items>
    </pivotField>
    <pivotField numFmtId="164" showAll="0">
      <items count="758">
        <item x="258"/>
        <item x="644"/>
        <item x="660"/>
        <item x="722"/>
        <item x="123"/>
        <item x="113"/>
        <item x="397"/>
        <item x="638"/>
        <item x="449"/>
        <item x="75"/>
        <item x="223"/>
        <item x="379"/>
        <item x="74"/>
        <item x="535"/>
        <item x="3"/>
        <item x="499"/>
        <item x="418"/>
        <item x="461"/>
        <item x="269"/>
        <item x="718"/>
        <item x="613"/>
        <item x="120"/>
        <item x="754"/>
        <item x="72"/>
        <item x="696"/>
        <item x="266"/>
        <item x="103"/>
        <item x="209"/>
        <item x="283"/>
        <item x="617"/>
        <item x="678"/>
        <item x="542"/>
        <item x="655"/>
        <item x="402"/>
        <item x="381"/>
        <item x="91"/>
        <item x="326"/>
        <item x="399"/>
        <item x="452"/>
        <item x="217"/>
        <item x="34"/>
        <item x="31"/>
        <item x="400"/>
        <item x="514"/>
        <item x="374"/>
        <item x="609"/>
        <item x="309"/>
        <item x="237"/>
        <item x="719"/>
        <item x="572"/>
        <item x="539"/>
        <item x="736"/>
        <item x="206"/>
        <item x="385"/>
        <item x="620"/>
        <item x="279"/>
        <item x="198"/>
        <item x="201"/>
        <item x="90"/>
        <item x="464"/>
        <item x="257"/>
        <item x="219"/>
        <item x="231"/>
        <item x="107"/>
        <item x="723"/>
        <item x="424"/>
        <item x="390"/>
        <item x="84"/>
        <item x="725"/>
        <item x="272"/>
        <item x="403"/>
        <item x="11"/>
        <item x="63"/>
        <item x="560"/>
        <item x="556"/>
        <item x="357"/>
        <item x="429"/>
        <item x="341"/>
        <item x="408"/>
        <item x="713"/>
        <item x="96"/>
        <item x="438"/>
        <item x="639"/>
        <item x="726"/>
        <item x="510"/>
        <item x="164"/>
        <item x="118"/>
        <item x="239"/>
        <item x="634"/>
        <item x="471"/>
        <item x="565"/>
        <item x="656"/>
        <item x="61"/>
        <item x="38"/>
        <item x="720"/>
        <item x="287"/>
        <item x="170"/>
        <item x="406"/>
        <item x="331"/>
        <item x="7"/>
        <item x="356"/>
        <item x="601"/>
        <item x="648"/>
        <item x="573"/>
        <item x="370"/>
        <item x="133"/>
        <item x="42"/>
        <item x="40"/>
        <item x="246"/>
        <item x="361"/>
        <item x="558"/>
        <item x="9"/>
        <item x="654"/>
        <item x="481"/>
        <item x="732"/>
        <item x="621"/>
        <item x="28"/>
        <item x="687"/>
        <item x="254"/>
        <item x="115"/>
        <item x="125"/>
        <item x="276"/>
        <item x="553"/>
        <item x="582"/>
        <item x="307"/>
        <item x="571"/>
        <item x="707"/>
        <item x="146"/>
        <item x="286"/>
        <item x="347"/>
        <item x="363"/>
        <item x="310"/>
        <item x="163"/>
        <item x="2"/>
        <item x="747"/>
        <item x="667"/>
        <item x="589"/>
        <item x="595"/>
        <item x="92"/>
        <item x="384"/>
        <item x="131"/>
        <item x="442"/>
        <item x="689"/>
        <item x="585"/>
        <item x="505"/>
        <item x="651"/>
        <item x="192"/>
        <item x="394"/>
        <item x="663"/>
        <item x="124"/>
        <item x="626"/>
        <item x="520"/>
        <item x="100"/>
        <item x="749"/>
        <item x="351"/>
        <item x="10"/>
        <item x="46"/>
        <item x="132"/>
        <item x="691"/>
        <item x="670"/>
        <item x="498"/>
        <item x="584"/>
        <item x="469"/>
        <item x="490"/>
        <item x="688"/>
        <item x="721"/>
        <item x="662"/>
        <item x="57"/>
        <item x="339"/>
        <item x="366"/>
        <item x="295"/>
        <item x="297"/>
        <item x="157"/>
        <item x="314"/>
        <item x="491"/>
        <item x="59"/>
        <item x="204"/>
        <item x="426"/>
        <item x="244"/>
        <item x="85"/>
        <item x="152"/>
        <item x="682"/>
        <item x="559"/>
        <item x="155"/>
        <item x="753"/>
        <item x="311"/>
        <item x="755"/>
        <item x="359"/>
        <item x="468"/>
        <item x="715"/>
        <item x="665"/>
        <item x="318"/>
        <item x="129"/>
        <item x="243"/>
        <item x="227"/>
        <item x="488"/>
        <item x="324"/>
        <item x="404"/>
        <item x="280"/>
        <item x="329"/>
        <item x="138"/>
        <item x="431"/>
        <item x="165"/>
        <item x="65"/>
        <item x="456"/>
        <item x="149"/>
        <item x="241"/>
        <item x="168"/>
        <item x="463"/>
        <item x="493"/>
        <item x="515"/>
        <item x="479"/>
        <item x="256"/>
        <item x="102"/>
        <item x="435"/>
        <item x="533"/>
        <item x="530"/>
        <item x="212"/>
        <item x="413"/>
        <item x="455"/>
        <item x="313"/>
        <item x="627"/>
        <item x="167"/>
        <item x="162"/>
        <item x="349"/>
        <item x="624"/>
        <item x="293"/>
        <item x="454"/>
        <item x="669"/>
        <item x="675"/>
        <item x="20"/>
        <item x="350"/>
        <item x="528"/>
        <item x="289"/>
        <item x="83"/>
        <item x="29"/>
        <item x="303"/>
        <item x="742"/>
        <item x="114"/>
        <item x="45"/>
        <item x="425"/>
        <item x="569"/>
        <item x="690"/>
        <item x="618"/>
        <item x="345"/>
        <item x="252"/>
        <item x="228"/>
        <item x="367"/>
        <item x="250"/>
        <item x="317"/>
        <item x="88"/>
        <item x="76"/>
        <item x="551"/>
        <item x="33"/>
        <item x="632"/>
        <item x="80"/>
        <item x="563"/>
        <item x="746"/>
        <item x="66"/>
        <item x="685"/>
        <item x="717"/>
        <item x="112"/>
        <item x="358"/>
        <item x="19"/>
        <item x="439"/>
        <item x="661"/>
        <item x="576"/>
        <item x="430"/>
        <item x="483"/>
        <item x="79"/>
        <item x="602"/>
        <item x="93"/>
        <item x="323"/>
        <item x="55"/>
        <item x="262"/>
        <item x="380"/>
        <item x="203"/>
        <item x="568"/>
        <item x="8"/>
        <item x="416"/>
        <item x="396"/>
        <item x="110"/>
        <item x="398"/>
        <item x="156"/>
        <item x="94"/>
        <item x="730"/>
        <item x="684"/>
        <item x="233"/>
        <item x="158"/>
        <item x="739"/>
        <item x="337"/>
        <item x="67"/>
        <item x="247"/>
        <item x="672"/>
        <item x="135"/>
        <item x="261"/>
        <item x="334"/>
        <item x="128"/>
        <item x="32"/>
        <item x="171"/>
        <item x="460"/>
        <item x="484"/>
        <item x="474"/>
        <item x="365"/>
        <item x="512"/>
        <item x="502"/>
        <item x="316"/>
        <item x="292"/>
        <item x="692"/>
        <item x="364"/>
        <item x="750"/>
        <item x="437"/>
        <item x="650"/>
        <item x="268"/>
        <item x="427"/>
        <item x="230"/>
        <item x="467"/>
        <item x="294"/>
        <item x="415"/>
        <item x="253"/>
        <item x="49"/>
        <item x="172"/>
        <item x="249"/>
        <item x="285"/>
        <item x="26"/>
        <item x="745"/>
        <item x="673"/>
        <item x="368"/>
        <item x="450"/>
        <item x="229"/>
        <item x="637"/>
        <item x="56"/>
        <item x="496"/>
        <item x="140"/>
        <item x="263"/>
        <item x="521"/>
        <item x="301"/>
        <item x="702"/>
        <item x="173"/>
        <item x="549"/>
        <item x="169"/>
        <item x="39"/>
        <item x="587"/>
        <item x="704"/>
        <item x="508"/>
        <item x="211"/>
        <item x="277"/>
        <item x="470"/>
        <item x="552"/>
        <item x="105"/>
        <item x="194"/>
        <item x="248"/>
        <item x="148"/>
        <item x="446"/>
        <item x="716"/>
        <item x="517"/>
        <item x="664"/>
        <item x="709"/>
        <item x="382"/>
        <item x="751"/>
        <item x="35"/>
        <item x="625"/>
        <item x="255"/>
        <item x="377"/>
        <item x="270"/>
        <item x="712"/>
        <item x="555"/>
        <item x="197"/>
        <item x="327"/>
        <item x="401"/>
        <item x="700"/>
        <item x="597"/>
        <item x="344"/>
        <item x="636"/>
        <item x="610"/>
        <item x="503"/>
        <item x="714"/>
        <item x="417"/>
        <item x="534"/>
        <item x="647"/>
        <item x="694"/>
        <item x="70"/>
        <item x="465"/>
        <item x="264"/>
        <item x="278"/>
        <item x="1"/>
        <item x="12"/>
        <item x="224"/>
        <item x="414"/>
        <item x="432"/>
        <item x="653"/>
        <item x="457"/>
        <item x="548"/>
        <item x="391"/>
        <item x="147"/>
        <item x="649"/>
        <item x="179"/>
        <item x="58"/>
        <item x="428"/>
        <item x="48"/>
        <item x="495"/>
        <item x="458"/>
        <item x="320"/>
        <item x="708"/>
        <item x="453"/>
        <item x="25"/>
        <item x="208"/>
        <item x="554"/>
        <item x="354"/>
        <item x="607"/>
        <item x="200"/>
        <item x="267"/>
        <item x="116"/>
        <item x="532"/>
        <item x="238"/>
        <item x="387"/>
        <item x="741"/>
        <item x="538"/>
        <item x="523"/>
        <item x="106"/>
        <item x="459"/>
        <item x="36"/>
        <item x="271"/>
        <item x="622"/>
        <item x="652"/>
        <item x="444"/>
        <item x="728"/>
        <item x="130"/>
        <item x="232"/>
        <item x="546"/>
        <item x="275"/>
        <item x="507"/>
        <item x="623"/>
        <item x="328"/>
        <item x="145"/>
        <item x="134"/>
        <item x="486"/>
        <item x="466"/>
        <item x="215"/>
        <item x="126"/>
        <item x="733"/>
        <item x="492"/>
        <item x="175"/>
        <item x="635"/>
        <item x="64"/>
        <item x="122"/>
        <item x="369"/>
        <item x="245"/>
        <item x="62"/>
        <item x="24"/>
        <item x="683"/>
        <item x="581"/>
        <item x="51"/>
        <item x="412"/>
        <item x="218"/>
        <item x="282"/>
        <item x="373"/>
        <item x="141"/>
        <item x="265"/>
        <item x="494"/>
        <item x="108"/>
        <item x="378"/>
        <item x="151"/>
        <item x="340"/>
        <item x="448"/>
        <item x="567"/>
        <item x="186"/>
        <item x="214"/>
        <item x="87"/>
        <item x="410"/>
        <item x="308"/>
        <item x="104"/>
        <item x="509"/>
        <item x="659"/>
        <item x="234"/>
        <item x="41"/>
        <item x="274"/>
        <item x="22"/>
        <item x="640"/>
        <item x="480"/>
        <item x="658"/>
        <item x="603"/>
        <item x="82"/>
        <item x="599"/>
        <item x="699"/>
        <item x="671"/>
        <item x="117"/>
        <item x="236"/>
        <item x="701"/>
        <item x="111"/>
        <item x="142"/>
        <item x="260"/>
        <item x="604"/>
        <item x="596"/>
        <item x="697"/>
        <item x="419"/>
        <item x="298"/>
        <item x="44"/>
        <item x="409"/>
        <item x="478"/>
        <item x="121"/>
        <item x="592"/>
        <item x="681"/>
        <item x="561"/>
        <item x="443"/>
        <item x="240"/>
        <item x="159"/>
        <item x="348"/>
        <item x="375"/>
        <item x="580"/>
        <item x="570"/>
        <item x="433"/>
        <item x="591"/>
        <item x="497"/>
        <item x="360"/>
        <item x="50"/>
        <item x="60"/>
        <item x="711"/>
        <item x="735"/>
        <item x="54"/>
        <item x="476"/>
        <item x="346"/>
        <item x="562"/>
        <item x="606"/>
        <item x="352"/>
        <item x="447"/>
        <item x="389"/>
        <item x="526"/>
        <item x="97"/>
        <item x="21"/>
        <item x="17"/>
        <item x="529"/>
        <item x="154"/>
        <item x="207"/>
        <item x="393"/>
        <item x="183"/>
        <item x="199"/>
        <item x="631"/>
        <item x="729"/>
        <item x="440"/>
        <item x="752"/>
        <item x="668"/>
        <item x="388"/>
        <item x="748"/>
        <item x="182"/>
        <item x="485"/>
        <item x="436"/>
        <item x="0"/>
        <item x="174"/>
        <item x="53"/>
        <item x="547"/>
        <item x="16"/>
        <item x="195"/>
        <item x="81"/>
        <item x="319"/>
        <item x="395"/>
        <item x="89"/>
        <item x="305"/>
        <item x="407"/>
        <item x="630"/>
        <item x="343"/>
        <item x="734"/>
        <item x="213"/>
        <item x="545"/>
        <item x="579"/>
        <item x="210"/>
        <item x="150"/>
        <item x="4"/>
        <item x="738"/>
        <item x="727"/>
        <item x="537"/>
        <item x="657"/>
        <item x="519"/>
        <item x="705"/>
        <item x="756"/>
        <item x="578"/>
        <item x="628"/>
        <item x="225"/>
        <item x="674"/>
        <item x="68"/>
        <item x="724"/>
        <item x="594"/>
        <item x="251"/>
        <item x="386"/>
        <item x="332"/>
        <item x="216"/>
        <item x="524"/>
        <item x="527"/>
        <item x="153"/>
        <item x="737"/>
        <item x="306"/>
        <item x="633"/>
        <item x="296"/>
        <item x="434"/>
        <item x="371"/>
        <item x="353"/>
        <item x="202"/>
        <item x="273"/>
        <item x="695"/>
        <item x="646"/>
        <item x="423"/>
        <item x="383"/>
        <item x="421"/>
        <item x="451"/>
        <item x="188"/>
        <item x="677"/>
        <item x="325"/>
        <item x="312"/>
        <item x="487"/>
        <item x="550"/>
        <item x="645"/>
        <item x="290"/>
        <item x="13"/>
        <item x="160"/>
        <item x="489"/>
        <item x="600"/>
        <item x="615"/>
        <item x="193"/>
        <item x="300"/>
        <item x="190"/>
        <item x="516"/>
        <item x="180"/>
        <item x="14"/>
        <item x="6"/>
        <item x="686"/>
        <item x="355"/>
        <item x="27"/>
        <item x="629"/>
        <item x="144"/>
        <item x="475"/>
        <item x="679"/>
        <item x="577"/>
        <item x="5"/>
        <item x="178"/>
        <item x="608"/>
        <item x="557"/>
        <item x="614"/>
        <item x="731"/>
        <item x="161"/>
        <item x="405"/>
        <item x="304"/>
        <item x="119"/>
        <item x="95"/>
        <item x="504"/>
        <item x="574"/>
        <item x="69"/>
        <item x="501"/>
        <item x="612"/>
        <item x="86"/>
        <item x="511"/>
        <item x="191"/>
        <item x="544"/>
        <item x="680"/>
        <item x="642"/>
        <item x="78"/>
        <item x="706"/>
        <item x="583"/>
        <item x="536"/>
        <item x="473"/>
        <item x="299"/>
        <item x="99"/>
        <item x="221"/>
        <item x="500"/>
        <item x="77"/>
        <item x="513"/>
        <item x="611"/>
        <item x="137"/>
        <item x="506"/>
        <item x="411"/>
        <item x="564"/>
        <item x="342"/>
        <item x="220"/>
        <item x="43"/>
        <item x="372"/>
        <item x="187"/>
        <item x="531"/>
        <item x="740"/>
        <item x="222"/>
        <item x="541"/>
        <item x="143"/>
        <item x="472"/>
        <item x="166"/>
        <item x="322"/>
        <item x="676"/>
        <item x="330"/>
        <item x="482"/>
        <item x="522"/>
        <item x="288"/>
        <item x="744"/>
        <item x="196"/>
        <item x="335"/>
        <item x="98"/>
        <item x="281"/>
        <item x="30"/>
        <item x="259"/>
        <item x="566"/>
        <item x="71"/>
        <item x="242"/>
        <item x="445"/>
        <item x="37"/>
        <item x="15"/>
        <item x="420"/>
        <item x="73"/>
        <item x="291"/>
        <item x="101"/>
        <item x="315"/>
        <item x="703"/>
        <item x="185"/>
        <item x="136"/>
        <item x="47"/>
        <item x="189"/>
        <item x="477"/>
        <item x="666"/>
        <item x="743"/>
        <item x="109"/>
        <item x="205"/>
        <item x="302"/>
        <item x="518"/>
        <item x="18"/>
        <item x="605"/>
        <item x="139"/>
        <item x="586"/>
        <item x="338"/>
        <item x="181"/>
        <item x="235"/>
        <item x="598"/>
        <item x="23"/>
        <item x="336"/>
        <item x="462"/>
        <item x="321"/>
        <item x="376"/>
        <item x="127"/>
        <item x="525"/>
        <item x="710"/>
        <item x="184"/>
        <item x="588"/>
        <item x="362"/>
        <item x="641"/>
        <item x="422"/>
        <item x="540"/>
        <item x="593"/>
        <item x="590"/>
        <item x="333"/>
        <item x="619"/>
        <item x="698"/>
        <item x="643"/>
        <item x="52"/>
        <item x="575"/>
        <item x="693"/>
        <item x="616"/>
        <item x="441"/>
        <item x="176"/>
        <item x="177"/>
        <item x="543"/>
        <item x="392"/>
        <item x="226"/>
        <item x="284"/>
        <item t="default"/>
      </items>
    </pivotField>
    <pivotField showAll="0">
      <items count="10">
        <item x="1"/>
        <item x="3"/>
        <item x="8"/>
        <item x="6"/>
        <item x="7"/>
        <item x="2"/>
        <item x="4"/>
        <item x="5"/>
        <item x="0"/>
        <item t="default"/>
      </items>
    </pivotField>
    <pivotField showAll="0">
      <items count="5">
        <item x="0"/>
        <item x="3"/>
        <item x="1"/>
        <item x="2"/>
        <item t="default"/>
      </items>
    </pivotField>
  </pivotFields>
  <rowFields count="1">
    <field x="5"/>
  </rowFields>
  <rowItems count="11">
    <i>
      <x/>
    </i>
    <i>
      <x v="1"/>
    </i>
    <i>
      <x v="2"/>
    </i>
    <i>
      <x v="3"/>
    </i>
    <i>
      <x v="4"/>
    </i>
    <i>
      <x v="5"/>
    </i>
    <i>
      <x v="6"/>
    </i>
    <i>
      <x v="7"/>
    </i>
    <i>
      <x v="8"/>
    </i>
    <i>
      <x v="9"/>
    </i>
    <i t="grand">
      <x/>
    </i>
  </rowItems>
  <colItems count="1">
    <i/>
  </colItems>
  <dataFields count="1">
    <dataField name="Count of CustomerID" fld="0" subtotal="count" baseField="0" baseItem="0"/>
  </dataFields>
  <chartFormats count="2">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5A5373-EFF2-418C-B54D-8E3ADBA1705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50:B56" firstHeaderRow="1" firstDataRow="1" firstDataCol="1"/>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1"/>
        <item x="0"/>
        <item x="2"/>
        <item x="3"/>
        <item x="4"/>
        <item t="default"/>
      </items>
    </pivotField>
    <pivotField numFmtId="1" showAll="0">
      <items count="41">
        <item x="6"/>
        <item x="30"/>
        <item x="3"/>
        <item x="21"/>
        <item x="20"/>
        <item x="7"/>
        <item x="10"/>
        <item x="17"/>
        <item x="1"/>
        <item x="2"/>
        <item x="4"/>
        <item x="15"/>
        <item x="11"/>
        <item x="27"/>
        <item x="5"/>
        <item x="12"/>
        <item x="32"/>
        <item x="14"/>
        <item x="0"/>
        <item x="9"/>
        <item x="24"/>
        <item x="13"/>
        <item x="22"/>
        <item x="29"/>
        <item x="19"/>
        <item x="25"/>
        <item x="26"/>
        <item x="23"/>
        <item x="8"/>
        <item x="16"/>
        <item x="34"/>
        <item x="31"/>
        <item x="37"/>
        <item x="28"/>
        <item x="18"/>
        <item x="33"/>
        <item x="38"/>
        <item x="35"/>
        <item x="36"/>
        <item x="39"/>
        <item t="default"/>
      </items>
    </pivotField>
    <pivotField showAll="0">
      <items count="6">
        <item x="2"/>
        <item x="1"/>
        <item x="0"/>
        <item x="3"/>
        <item x="4"/>
        <item t="default"/>
      </items>
    </pivotField>
    <pivotField showAll="0">
      <items count="4">
        <item x="1"/>
        <item x="0"/>
        <item x="2"/>
        <item t="default"/>
      </items>
    </pivotField>
    <pivotField showAll="0">
      <items count="11">
        <item x="4"/>
        <item x="6"/>
        <item x="1"/>
        <item x="5"/>
        <item x="7"/>
        <item x="3"/>
        <item x="0"/>
        <item x="9"/>
        <item x="2"/>
        <item x="8"/>
        <item t="default"/>
      </items>
    </pivotField>
    <pivotField dataField="1" showAll="0">
      <items count="61">
        <item x="36"/>
        <item x="59"/>
        <item x="19"/>
        <item x="15"/>
        <item x="13"/>
        <item x="24"/>
        <item x="54"/>
        <item x="31"/>
        <item x="42"/>
        <item x="5"/>
        <item x="6"/>
        <item x="12"/>
        <item x="57"/>
        <item x="55"/>
        <item x="4"/>
        <item x="45"/>
        <item x="0"/>
        <item x="56"/>
        <item x="14"/>
        <item x="35"/>
        <item x="32"/>
        <item x="49"/>
        <item x="18"/>
        <item x="44"/>
        <item x="20"/>
        <item x="39"/>
        <item x="53"/>
        <item x="29"/>
        <item x="21"/>
        <item x="33"/>
        <item x="1"/>
        <item x="58"/>
        <item x="28"/>
        <item x="30"/>
        <item x="22"/>
        <item x="34"/>
        <item x="26"/>
        <item x="41"/>
        <item x="8"/>
        <item x="16"/>
        <item x="27"/>
        <item x="23"/>
        <item x="17"/>
        <item x="48"/>
        <item x="40"/>
        <item x="52"/>
        <item x="38"/>
        <item x="37"/>
        <item x="10"/>
        <item x="2"/>
        <item x="51"/>
        <item x="9"/>
        <item x="7"/>
        <item x="50"/>
        <item x="47"/>
        <item x="11"/>
        <item x="25"/>
        <item x="46"/>
        <item x="43"/>
        <item x="3"/>
        <item t="default"/>
      </items>
    </pivotField>
    <pivotField numFmtId="164" showAll="0">
      <items count="758">
        <item x="258"/>
        <item x="644"/>
        <item x="660"/>
        <item x="722"/>
        <item x="123"/>
        <item x="113"/>
        <item x="397"/>
        <item x="638"/>
        <item x="449"/>
        <item x="75"/>
        <item x="223"/>
        <item x="379"/>
        <item x="74"/>
        <item x="535"/>
        <item x="3"/>
        <item x="499"/>
        <item x="418"/>
        <item x="461"/>
        <item x="269"/>
        <item x="718"/>
        <item x="613"/>
        <item x="120"/>
        <item x="754"/>
        <item x="72"/>
        <item x="696"/>
        <item x="266"/>
        <item x="103"/>
        <item x="209"/>
        <item x="283"/>
        <item x="617"/>
        <item x="678"/>
        <item x="542"/>
        <item x="655"/>
        <item x="402"/>
        <item x="381"/>
        <item x="91"/>
        <item x="326"/>
        <item x="399"/>
        <item x="452"/>
        <item x="217"/>
        <item x="34"/>
        <item x="31"/>
        <item x="400"/>
        <item x="514"/>
        <item x="374"/>
        <item x="609"/>
        <item x="309"/>
        <item x="237"/>
        <item x="719"/>
        <item x="572"/>
        <item x="539"/>
        <item x="736"/>
        <item x="206"/>
        <item x="385"/>
        <item x="620"/>
        <item x="279"/>
        <item x="198"/>
        <item x="201"/>
        <item x="90"/>
        <item x="464"/>
        <item x="257"/>
        <item x="219"/>
        <item x="231"/>
        <item x="107"/>
        <item x="723"/>
        <item x="424"/>
        <item x="390"/>
        <item x="84"/>
        <item x="725"/>
        <item x="272"/>
        <item x="403"/>
        <item x="11"/>
        <item x="63"/>
        <item x="560"/>
        <item x="556"/>
        <item x="357"/>
        <item x="429"/>
        <item x="341"/>
        <item x="408"/>
        <item x="713"/>
        <item x="96"/>
        <item x="438"/>
        <item x="639"/>
        <item x="726"/>
        <item x="510"/>
        <item x="164"/>
        <item x="118"/>
        <item x="239"/>
        <item x="634"/>
        <item x="471"/>
        <item x="565"/>
        <item x="656"/>
        <item x="61"/>
        <item x="38"/>
        <item x="720"/>
        <item x="287"/>
        <item x="170"/>
        <item x="406"/>
        <item x="331"/>
        <item x="7"/>
        <item x="356"/>
        <item x="601"/>
        <item x="648"/>
        <item x="573"/>
        <item x="370"/>
        <item x="133"/>
        <item x="42"/>
        <item x="40"/>
        <item x="246"/>
        <item x="361"/>
        <item x="558"/>
        <item x="9"/>
        <item x="654"/>
        <item x="481"/>
        <item x="732"/>
        <item x="621"/>
        <item x="28"/>
        <item x="687"/>
        <item x="254"/>
        <item x="115"/>
        <item x="125"/>
        <item x="276"/>
        <item x="553"/>
        <item x="582"/>
        <item x="307"/>
        <item x="571"/>
        <item x="707"/>
        <item x="146"/>
        <item x="286"/>
        <item x="347"/>
        <item x="363"/>
        <item x="310"/>
        <item x="163"/>
        <item x="2"/>
        <item x="747"/>
        <item x="667"/>
        <item x="589"/>
        <item x="595"/>
        <item x="92"/>
        <item x="384"/>
        <item x="131"/>
        <item x="442"/>
        <item x="689"/>
        <item x="585"/>
        <item x="505"/>
        <item x="651"/>
        <item x="192"/>
        <item x="394"/>
        <item x="663"/>
        <item x="124"/>
        <item x="626"/>
        <item x="520"/>
        <item x="100"/>
        <item x="749"/>
        <item x="351"/>
        <item x="10"/>
        <item x="46"/>
        <item x="132"/>
        <item x="691"/>
        <item x="670"/>
        <item x="498"/>
        <item x="584"/>
        <item x="469"/>
        <item x="490"/>
        <item x="688"/>
        <item x="721"/>
        <item x="662"/>
        <item x="57"/>
        <item x="339"/>
        <item x="366"/>
        <item x="295"/>
        <item x="297"/>
        <item x="157"/>
        <item x="314"/>
        <item x="491"/>
        <item x="59"/>
        <item x="204"/>
        <item x="426"/>
        <item x="244"/>
        <item x="85"/>
        <item x="152"/>
        <item x="682"/>
        <item x="559"/>
        <item x="155"/>
        <item x="753"/>
        <item x="311"/>
        <item x="755"/>
        <item x="359"/>
        <item x="468"/>
        <item x="715"/>
        <item x="665"/>
        <item x="318"/>
        <item x="129"/>
        <item x="243"/>
        <item x="227"/>
        <item x="488"/>
        <item x="324"/>
        <item x="404"/>
        <item x="280"/>
        <item x="329"/>
        <item x="138"/>
        <item x="431"/>
        <item x="165"/>
        <item x="65"/>
        <item x="456"/>
        <item x="149"/>
        <item x="241"/>
        <item x="168"/>
        <item x="463"/>
        <item x="493"/>
        <item x="515"/>
        <item x="479"/>
        <item x="256"/>
        <item x="102"/>
        <item x="435"/>
        <item x="533"/>
        <item x="530"/>
        <item x="212"/>
        <item x="413"/>
        <item x="455"/>
        <item x="313"/>
        <item x="627"/>
        <item x="167"/>
        <item x="162"/>
        <item x="349"/>
        <item x="624"/>
        <item x="293"/>
        <item x="454"/>
        <item x="669"/>
        <item x="675"/>
        <item x="20"/>
        <item x="350"/>
        <item x="528"/>
        <item x="289"/>
        <item x="83"/>
        <item x="29"/>
        <item x="303"/>
        <item x="742"/>
        <item x="114"/>
        <item x="45"/>
        <item x="425"/>
        <item x="569"/>
        <item x="690"/>
        <item x="618"/>
        <item x="345"/>
        <item x="252"/>
        <item x="228"/>
        <item x="367"/>
        <item x="250"/>
        <item x="317"/>
        <item x="88"/>
        <item x="76"/>
        <item x="551"/>
        <item x="33"/>
        <item x="632"/>
        <item x="80"/>
        <item x="563"/>
        <item x="746"/>
        <item x="66"/>
        <item x="685"/>
        <item x="717"/>
        <item x="112"/>
        <item x="358"/>
        <item x="19"/>
        <item x="439"/>
        <item x="661"/>
        <item x="576"/>
        <item x="430"/>
        <item x="483"/>
        <item x="79"/>
        <item x="602"/>
        <item x="93"/>
        <item x="323"/>
        <item x="55"/>
        <item x="262"/>
        <item x="380"/>
        <item x="203"/>
        <item x="568"/>
        <item x="8"/>
        <item x="416"/>
        <item x="396"/>
        <item x="110"/>
        <item x="398"/>
        <item x="156"/>
        <item x="94"/>
        <item x="730"/>
        <item x="684"/>
        <item x="233"/>
        <item x="158"/>
        <item x="739"/>
        <item x="337"/>
        <item x="67"/>
        <item x="247"/>
        <item x="672"/>
        <item x="135"/>
        <item x="261"/>
        <item x="334"/>
        <item x="128"/>
        <item x="32"/>
        <item x="171"/>
        <item x="460"/>
        <item x="484"/>
        <item x="474"/>
        <item x="365"/>
        <item x="512"/>
        <item x="502"/>
        <item x="316"/>
        <item x="292"/>
        <item x="692"/>
        <item x="364"/>
        <item x="750"/>
        <item x="437"/>
        <item x="650"/>
        <item x="268"/>
        <item x="427"/>
        <item x="230"/>
        <item x="467"/>
        <item x="294"/>
        <item x="415"/>
        <item x="253"/>
        <item x="49"/>
        <item x="172"/>
        <item x="249"/>
        <item x="285"/>
        <item x="26"/>
        <item x="745"/>
        <item x="673"/>
        <item x="368"/>
        <item x="450"/>
        <item x="229"/>
        <item x="637"/>
        <item x="56"/>
        <item x="496"/>
        <item x="140"/>
        <item x="263"/>
        <item x="521"/>
        <item x="301"/>
        <item x="702"/>
        <item x="173"/>
        <item x="549"/>
        <item x="169"/>
        <item x="39"/>
        <item x="587"/>
        <item x="704"/>
        <item x="508"/>
        <item x="211"/>
        <item x="277"/>
        <item x="470"/>
        <item x="552"/>
        <item x="105"/>
        <item x="194"/>
        <item x="248"/>
        <item x="148"/>
        <item x="446"/>
        <item x="716"/>
        <item x="517"/>
        <item x="664"/>
        <item x="709"/>
        <item x="382"/>
        <item x="751"/>
        <item x="35"/>
        <item x="625"/>
        <item x="255"/>
        <item x="377"/>
        <item x="270"/>
        <item x="712"/>
        <item x="555"/>
        <item x="197"/>
        <item x="327"/>
        <item x="401"/>
        <item x="700"/>
        <item x="597"/>
        <item x="344"/>
        <item x="636"/>
        <item x="610"/>
        <item x="503"/>
        <item x="714"/>
        <item x="417"/>
        <item x="534"/>
        <item x="647"/>
        <item x="694"/>
        <item x="70"/>
        <item x="465"/>
        <item x="264"/>
        <item x="278"/>
        <item x="1"/>
        <item x="12"/>
        <item x="224"/>
        <item x="414"/>
        <item x="432"/>
        <item x="653"/>
        <item x="457"/>
        <item x="548"/>
        <item x="391"/>
        <item x="147"/>
        <item x="649"/>
        <item x="179"/>
        <item x="58"/>
        <item x="428"/>
        <item x="48"/>
        <item x="495"/>
        <item x="458"/>
        <item x="320"/>
        <item x="708"/>
        <item x="453"/>
        <item x="25"/>
        <item x="208"/>
        <item x="554"/>
        <item x="354"/>
        <item x="607"/>
        <item x="200"/>
        <item x="267"/>
        <item x="116"/>
        <item x="532"/>
        <item x="238"/>
        <item x="387"/>
        <item x="741"/>
        <item x="538"/>
        <item x="523"/>
        <item x="106"/>
        <item x="459"/>
        <item x="36"/>
        <item x="271"/>
        <item x="622"/>
        <item x="652"/>
        <item x="444"/>
        <item x="728"/>
        <item x="130"/>
        <item x="232"/>
        <item x="546"/>
        <item x="275"/>
        <item x="507"/>
        <item x="623"/>
        <item x="328"/>
        <item x="145"/>
        <item x="134"/>
        <item x="486"/>
        <item x="466"/>
        <item x="215"/>
        <item x="126"/>
        <item x="733"/>
        <item x="492"/>
        <item x="175"/>
        <item x="635"/>
        <item x="64"/>
        <item x="122"/>
        <item x="369"/>
        <item x="245"/>
        <item x="62"/>
        <item x="24"/>
        <item x="683"/>
        <item x="581"/>
        <item x="51"/>
        <item x="412"/>
        <item x="218"/>
        <item x="282"/>
        <item x="373"/>
        <item x="141"/>
        <item x="265"/>
        <item x="494"/>
        <item x="108"/>
        <item x="378"/>
        <item x="151"/>
        <item x="340"/>
        <item x="448"/>
        <item x="567"/>
        <item x="186"/>
        <item x="214"/>
        <item x="87"/>
        <item x="410"/>
        <item x="308"/>
        <item x="104"/>
        <item x="509"/>
        <item x="659"/>
        <item x="234"/>
        <item x="41"/>
        <item x="274"/>
        <item x="22"/>
        <item x="640"/>
        <item x="480"/>
        <item x="658"/>
        <item x="603"/>
        <item x="82"/>
        <item x="599"/>
        <item x="699"/>
        <item x="671"/>
        <item x="117"/>
        <item x="236"/>
        <item x="701"/>
        <item x="111"/>
        <item x="142"/>
        <item x="260"/>
        <item x="604"/>
        <item x="596"/>
        <item x="697"/>
        <item x="419"/>
        <item x="298"/>
        <item x="44"/>
        <item x="409"/>
        <item x="478"/>
        <item x="121"/>
        <item x="592"/>
        <item x="681"/>
        <item x="561"/>
        <item x="443"/>
        <item x="240"/>
        <item x="159"/>
        <item x="348"/>
        <item x="375"/>
        <item x="580"/>
        <item x="570"/>
        <item x="433"/>
        <item x="591"/>
        <item x="497"/>
        <item x="360"/>
        <item x="50"/>
        <item x="60"/>
        <item x="711"/>
        <item x="735"/>
        <item x="54"/>
        <item x="476"/>
        <item x="346"/>
        <item x="562"/>
        <item x="606"/>
        <item x="352"/>
        <item x="447"/>
        <item x="389"/>
        <item x="526"/>
        <item x="97"/>
        <item x="21"/>
        <item x="17"/>
        <item x="529"/>
        <item x="154"/>
        <item x="207"/>
        <item x="393"/>
        <item x="183"/>
        <item x="199"/>
        <item x="631"/>
        <item x="729"/>
        <item x="440"/>
        <item x="752"/>
        <item x="668"/>
        <item x="388"/>
        <item x="748"/>
        <item x="182"/>
        <item x="485"/>
        <item x="436"/>
        <item x="0"/>
        <item x="174"/>
        <item x="53"/>
        <item x="547"/>
        <item x="16"/>
        <item x="195"/>
        <item x="81"/>
        <item x="319"/>
        <item x="395"/>
        <item x="89"/>
        <item x="305"/>
        <item x="407"/>
        <item x="630"/>
        <item x="343"/>
        <item x="734"/>
        <item x="213"/>
        <item x="545"/>
        <item x="579"/>
        <item x="210"/>
        <item x="150"/>
        <item x="4"/>
        <item x="738"/>
        <item x="727"/>
        <item x="537"/>
        <item x="657"/>
        <item x="519"/>
        <item x="705"/>
        <item x="756"/>
        <item x="578"/>
        <item x="628"/>
        <item x="225"/>
        <item x="674"/>
        <item x="68"/>
        <item x="724"/>
        <item x="594"/>
        <item x="251"/>
        <item x="386"/>
        <item x="332"/>
        <item x="216"/>
        <item x="524"/>
        <item x="527"/>
        <item x="153"/>
        <item x="737"/>
        <item x="306"/>
        <item x="633"/>
        <item x="296"/>
        <item x="434"/>
        <item x="371"/>
        <item x="353"/>
        <item x="202"/>
        <item x="273"/>
        <item x="695"/>
        <item x="646"/>
        <item x="423"/>
        <item x="383"/>
        <item x="421"/>
        <item x="451"/>
        <item x="188"/>
        <item x="677"/>
        <item x="325"/>
        <item x="312"/>
        <item x="487"/>
        <item x="550"/>
        <item x="645"/>
        <item x="290"/>
        <item x="13"/>
        <item x="160"/>
        <item x="489"/>
        <item x="600"/>
        <item x="615"/>
        <item x="193"/>
        <item x="300"/>
        <item x="190"/>
        <item x="516"/>
        <item x="180"/>
        <item x="14"/>
        <item x="6"/>
        <item x="686"/>
        <item x="355"/>
        <item x="27"/>
        <item x="629"/>
        <item x="144"/>
        <item x="475"/>
        <item x="679"/>
        <item x="577"/>
        <item x="5"/>
        <item x="178"/>
        <item x="608"/>
        <item x="557"/>
        <item x="614"/>
        <item x="731"/>
        <item x="161"/>
        <item x="405"/>
        <item x="304"/>
        <item x="119"/>
        <item x="95"/>
        <item x="504"/>
        <item x="574"/>
        <item x="69"/>
        <item x="501"/>
        <item x="612"/>
        <item x="86"/>
        <item x="511"/>
        <item x="191"/>
        <item x="544"/>
        <item x="680"/>
        <item x="642"/>
        <item x="78"/>
        <item x="706"/>
        <item x="583"/>
        <item x="536"/>
        <item x="473"/>
        <item x="299"/>
        <item x="99"/>
        <item x="221"/>
        <item x="500"/>
        <item x="77"/>
        <item x="513"/>
        <item x="611"/>
        <item x="137"/>
        <item x="506"/>
        <item x="411"/>
        <item x="564"/>
        <item x="342"/>
        <item x="220"/>
        <item x="43"/>
        <item x="372"/>
        <item x="187"/>
        <item x="531"/>
        <item x="740"/>
        <item x="222"/>
        <item x="541"/>
        <item x="143"/>
        <item x="472"/>
        <item x="166"/>
        <item x="322"/>
        <item x="676"/>
        <item x="330"/>
        <item x="482"/>
        <item x="522"/>
        <item x="288"/>
        <item x="744"/>
        <item x="196"/>
        <item x="335"/>
        <item x="98"/>
        <item x="281"/>
        <item x="30"/>
        <item x="259"/>
        <item x="566"/>
        <item x="71"/>
        <item x="242"/>
        <item x="445"/>
        <item x="37"/>
        <item x="15"/>
        <item x="420"/>
        <item x="73"/>
        <item x="291"/>
        <item x="101"/>
        <item x="315"/>
        <item x="703"/>
        <item x="185"/>
        <item x="136"/>
        <item x="47"/>
        <item x="189"/>
        <item x="477"/>
        <item x="666"/>
        <item x="743"/>
        <item x="109"/>
        <item x="205"/>
        <item x="302"/>
        <item x="518"/>
        <item x="18"/>
        <item x="605"/>
        <item x="139"/>
        <item x="586"/>
        <item x="338"/>
        <item x="181"/>
        <item x="235"/>
        <item x="598"/>
        <item x="23"/>
        <item x="336"/>
        <item x="462"/>
        <item x="321"/>
        <item x="376"/>
        <item x="127"/>
        <item x="525"/>
        <item x="710"/>
        <item x="184"/>
        <item x="588"/>
        <item x="362"/>
        <item x="641"/>
        <item x="422"/>
        <item x="540"/>
        <item x="593"/>
        <item x="590"/>
        <item x="333"/>
        <item x="619"/>
        <item x="698"/>
        <item x="643"/>
        <item x="52"/>
        <item x="575"/>
        <item x="693"/>
        <item x="616"/>
        <item x="441"/>
        <item x="176"/>
        <item x="177"/>
        <item x="543"/>
        <item x="392"/>
        <item x="226"/>
        <item x="284"/>
        <item t="default"/>
      </items>
    </pivotField>
    <pivotField showAll="0">
      <items count="10">
        <item x="1"/>
        <item x="3"/>
        <item x="8"/>
        <item x="6"/>
        <item x="7"/>
        <item x="2"/>
        <item x="4"/>
        <item x="5"/>
        <item x="0"/>
        <item t="default"/>
      </items>
    </pivotField>
    <pivotField showAll="0">
      <items count="5">
        <item x="0"/>
        <item x="3"/>
        <item x="1"/>
        <item x="2"/>
        <item t="default"/>
      </items>
    </pivotField>
  </pivotFields>
  <rowFields count="1">
    <field x="1"/>
  </rowFields>
  <rowItems count="6">
    <i>
      <x/>
    </i>
    <i>
      <x v="1"/>
    </i>
    <i>
      <x v="2"/>
    </i>
    <i>
      <x v="3"/>
    </i>
    <i>
      <x v="4"/>
    </i>
    <i t="grand">
      <x/>
    </i>
  </rowItems>
  <colItems count="1">
    <i/>
  </colItems>
  <dataFields count="1">
    <dataField name="Average of AccountAge_Months" fld="6" subtotal="average" baseField="1" baseItem="0"/>
  </dataFields>
  <chartFormats count="2">
    <chartFormat chart="18"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1ED45A-11D7-4467-B241-66529B874E29}"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outline="1" outlineData="1" multipleFieldFilters="0">
  <location ref="A8:B13" firstHeaderRow="1" firstDataRow="1"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nonAutoSortDefault="1">
      <items count="6">
        <item x="2"/>
        <item x="1"/>
        <item x="0"/>
        <item x="3"/>
        <item x="4"/>
        <item t="default"/>
      </items>
    </pivotField>
    <pivotField numFmtId="1" showAll="0"/>
    <pivotField showAll="0">
      <items count="6">
        <item x="2"/>
        <item x="1"/>
        <item x="0"/>
        <item x="3"/>
        <item x="4"/>
        <item t="default"/>
      </items>
    </pivotField>
    <pivotField showAll="0">
      <items count="4">
        <item x="1"/>
        <item x="0"/>
        <item x="2"/>
        <item t="default"/>
      </items>
    </pivotField>
    <pivotField showAll="0"/>
    <pivotField showAll="0"/>
    <pivotField numFmtId="164" showAll="0">
      <items count="758">
        <item x="258"/>
        <item x="644"/>
        <item x="660"/>
        <item x="722"/>
        <item x="123"/>
        <item x="113"/>
        <item x="397"/>
        <item x="638"/>
        <item x="449"/>
        <item x="75"/>
        <item x="223"/>
        <item x="379"/>
        <item x="74"/>
        <item x="535"/>
        <item x="3"/>
        <item x="499"/>
        <item x="418"/>
        <item x="461"/>
        <item x="269"/>
        <item x="718"/>
        <item x="613"/>
        <item x="120"/>
        <item x="754"/>
        <item x="72"/>
        <item x="696"/>
        <item x="266"/>
        <item x="103"/>
        <item x="209"/>
        <item x="283"/>
        <item x="617"/>
        <item x="678"/>
        <item x="542"/>
        <item x="655"/>
        <item x="402"/>
        <item x="381"/>
        <item x="91"/>
        <item x="326"/>
        <item x="399"/>
        <item x="452"/>
        <item x="217"/>
        <item x="34"/>
        <item x="31"/>
        <item x="400"/>
        <item x="514"/>
        <item x="374"/>
        <item x="609"/>
        <item x="309"/>
        <item x="237"/>
        <item x="719"/>
        <item x="572"/>
        <item x="539"/>
        <item x="736"/>
        <item x="206"/>
        <item x="385"/>
        <item x="620"/>
        <item x="279"/>
        <item x="198"/>
        <item x="201"/>
        <item x="90"/>
        <item x="464"/>
        <item x="257"/>
        <item x="219"/>
        <item x="231"/>
        <item x="107"/>
        <item x="723"/>
        <item x="424"/>
        <item x="390"/>
        <item x="84"/>
        <item x="725"/>
        <item x="272"/>
        <item x="403"/>
        <item x="11"/>
        <item x="63"/>
        <item x="560"/>
        <item x="556"/>
        <item x="357"/>
        <item x="429"/>
        <item x="341"/>
        <item x="408"/>
        <item x="713"/>
        <item x="96"/>
        <item x="438"/>
        <item x="639"/>
        <item x="726"/>
        <item x="510"/>
        <item x="164"/>
        <item x="118"/>
        <item x="239"/>
        <item x="634"/>
        <item x="471"/>
        <item x="565"/>
        <item x="656"/>
        <item x="61"/>
        <item x="38"/>
        <item x="720"/>
        <item x="287"/>
        <item x="170"/>
        <item x="406"/>
        <item x="331"/>
        <item x="7"/>
        <item x="356"/>
        <item x="601"/>
        <item x="648"/>
        <item x="573"/>
        <item x="370"/>
        <item x="133"/>
        <item x="42"/>
        <item x="40"/>
        <item x="246"/>
        <item x="361"/>
        <item x="558"/>
        <item x="9"/>
        <item x="654"/>
        <item x="481"/>
        <item x="732"/>
        <item x="621"/>
        <item x="28"/>
        <item x="687"/>
        <item x="254"/>
        <item x="115"/>
        <item x="125"/>
        <item x="276"/>
        <item x="553"/>
        <item x="582"/>
        <item x="307"/>
        <item x="571"/>
        <item x="707"/>
        <item x="146"/>
        <item x="286"/>
        <item x="347"/>
        <item x="363"/>
        <item x="310"/>
        <item x="163"/>
        <item x="2"/>
        <item x="747"/>
        <item x="667"/>
        <item x="589"/>
        <item x="595"/>
        <item x="92"/>
        <item x="384"/>
        <item x="131"/>
        <item x="442"/>
        <item x="689"/>
        <item x="585"/>
        <item x="505"/>
        <item x="651"/>
        <item x="192"/>
        <item x="394"/>
        <item x="663"/>
        <item x="124"/>
        <item x="626"/>
        <item x="520"/>
        <item x="100"/>
        <item x="749"/>
        <item x="351"/>
        <item x="10"/>
        <item x="46"/>
        <item x="132"/>
        <item x="691"/>
        <item x="670"/>
        <item x="498"/>
        <item x="584"/>
        <item x="469"/>
        <item x="490"/>
        <item x="688"/>
        <item x="721"/>
        <item x="662"/>
        <item x="57"/>
        <item x="339"/>
        <item x="366"/>
        <item x="295"/>
        <item x="297"/>
        <item x="157"/>
        <item x="314"/>
        <item x="491"/>
        <item x="59"/>
        <item x="204"/>
        <item x="426"/>
        <item x="244"/>
        <item x="85"/>
        <item x="152"/>
        <item x="682"/>
        <item x="559"/>
        <item x="155"/>
        <item x="753"/>
        <item x="311"/>
        <item x="755"/>
        <item x="359"/>
        <item x="468"/>
        <item x="715"/>
        <item x="665"/>
        <item x="318"/>
        <item x="129"/>
        <item x="243"/>
        <item x="227"/>
        <item x="488"/>
        <item x="324"/>
        <item x="404"/>
        <item x="280"/>
        <item x="329"/>
        <item x="138"/>
        <item x="431"/>
        <item x="165"/>
        <item x="65"/>
        <item x="456"/>
        <item x="149"/>
        <item x="241"/>
        <item x="168"/>
        <item x="463"/>
        <item x="493"/>
        <item x="515"/>
        <item x="479"/>
        <item x="256"/>
        <item x="102"/>
        <item x="435"/>
        <item x="533"/>
        <item x="530"/>
        <item x="212"/>
        <item x="413"/>
        <item x="455"/>
        <item x="313"/>
        <item x="627"/>
        <item x="167"/>
        <item x="162"/>
        <item x="349"/>
        <item x="624"/>
        <item x="293"/>
        <item x="454"/>
        <item x="669"/>
        <item x="675"/>
        <item x="20"/>
        <item x="350"/>
        <item x="528"/>
        <item x="289"/>
        <item x="83"/>
        <item x="29"/>
        <item x="303"/>
        <item x="742"/>
        <item x="114"/>
        <item x="45"/>
        <item x="425"/>
        <item x="569"/>
        <item x="690"/>
        <item x="618"/>
        <item x="345"/>
        <item x="252"/>
        <item x="228"/>
        <item x="367"/>
        <item x="250"/>
        <item x="317"/>
        <item x="88"/>
        <item x="76"/>
        <item x="551"/>
        <item x="33"/>
        <item x="632"/>
        <item x="80"/>
        <item x="563"/>
        <item x="746"/>
        <item x="66"/>
        <item x="685"/>
        <item x="717"/>
        <item x="112"/>
        <item x="358"/>
        <item x="19"/>
        <item x="439"/>
        <item x="661"/>
        <item x="576"/>
        <item x="430"/>
        <item x="483"/>
        <item x="79"/>
        <item x="602"/>
        <item x="93"/>
        <item x="323"/>
        <item x="55"/>
        <item x="262"/>
        <item x="380"/>
        <item x="203"/>
        <item x="568"/>
        <item x="8"/>
        <item x="416"/>
        <item x="396"/>
        <item x="110"/>
        <item x="398"/>
        <item x="156"/>
        <item x="94"/>
        <item x="730"/>
        <item x="684"/>
        <item x="233"/>
        <item x="158"/>
        <item x="739"/>
        <item x="337"/>
        <item x="67"/>
        <item x="247"/>
        <item x="672"/>
        <item x="135"/>
        <item x="261"/>
        <item x="334"/>
        <item x="128"/>
        <item x="32"/>
        <item x="171"/>
        <item x="460"/>
        <item x="484"/>
        <item x="474"/>
        <item x="365"/>
        <item x="512"/>
        <item x="502"/>
        <item x="316"/>
        <item x="292"/>
        <item x="692"/>
        <item x="364"/>
        <item x="750"/>
        <item x="437"/>
        <item x="650"/>
        <item x="268"/>
        <item x="427"/>
        <item x="230"/>
        <item x="467"/>
        <item x="294"/>
        <item x="415"/>
        <item x="253"/>
        <item x="49"/>
        <item x="172"/>
        <item x="249"/>
        <item x="285"/>
        <item x="26"/>
        <item x="745"/>
        <item x="673"/>
        <item x="368"/>
        <item x="450"/>
        <item x="229"/>
        <item x="637"/>
        <item x="56"/>
        <item x="496"/>
        <item x="140"/>
        <item x="263"/>
        <item x="521"/>
        <item x="301"/>
        <item x="702"/>
        <item x="173"/>
        <item x="549"/>
        <item x="169"/>
        <item x="39"/>
        <item x="587"/>
        <item x="704"/>
        <item x="508"/>
        <item x="211"/>
        <item x="277"/>
        <item x="470"/>
        <item x="552"/>
        <item x="105"/>
        <item x="194"/>
        <item x="248"/>
        <item x="148"/>
        <item x="446"/>
        <item x="716"/>
        <item x="517"/>
        <item x="664"/>
        <item x="709"/>
        <item x="382"/>
        <item x="751"/>
        <item x="35"/>
        <item x="625"/>
        <item x="255"/>
        <item x="377"/>
        <item x="270"/>
        <item x="712"/>
        <item x="555"/>
        <item x="197"/>
        <item x="327"/>
        <item x="401"/>
        <item x="700"/>
        <item x="597"/>
        <item x="344"/>
        <item x="636"/>
        <item x="610"/>
        <item x="503"/>
        <item x="714"/>
        <item x="417"/>
        <item x="534"/>
        <item x="647"/>
        <item x="694"/>
        <item x="70"/>
        <item x="465"/>
        <item x="264"/>
        <item x="278"/>
        <item x="1"/>
        <item x="12"/>
        <item x="224"/>
        <item x="414"/>
        <item x="432"/>
        <item x="653"/>
        <item x="457"/>
        <item x="548"/>
        <item x="391"/>
        <item x="147"/>
        <item x="649"/>
        <item x="179"/>
        <item x="58"/>
        <item x="428"/>
        <item x="48"/>
        <item x="495"/>
        <item x="458"/>
        <item x="320"/>
        <item x="708"/>
        <item x="453"/>
        <item x="25"/>
        <item x="208"/>
        <item x="554"/>
        <item x="354"/>
        <item x="607"/>
        <item x="200"/>
        <item x="267"/>
        <item x="116"/>
        <item x="532"/>
        <item x="238"/>
        <item x="387"/>
        <item x="741"/>
        <item x="538"/>
        <item x="523"/>
        <item x="106"/>
        <item x="459"/>
        <item x="36"/>
        <item x="271"/>
        <item x="622"/>
        <item x="652"/>
        <item x="444"/>
        <item x="728"/>
        <item x="130"/>
        <item x="232"/>
        <item x="546"/>
        <item x="275"/>
        <item x="507"/>
        <item x="623"/>
        <item x="328"/>
        <item x="145"/>
        <item x="134"/>
        <item x="486"/>
        <item x="466"/>
        <item x="215"/>
        <item x="126"/>
        <item x="733"/>
        <item x="492"/>
        <item x="175"/>
        <item x="635"/>
        <item x="64"/>
        <item x="122"/>
        <item x="369"/>
        <item x="245"/>
        <item x="62"/>
        <item x="24"/>
        <item x="683"/>
        <item x="581"/>
        <item x="51"/>
        <item x="412"/>
        <item x="218"/>
        <item x="282"/>
        <item x="373"/>
        <item x="141"/>
        <item x="265"/>
        <item x="494"/>
        <item x="108"/>
        <item x="378"/>
        <item x="151"/>
        <item x="340"/>
        <item x="448"/>
        <item x="567"/>
        <item x="186"/>
        <item x="214"/>
        <item x="87"/>
        <item x="410"/>
        <item x="308"/>
        <item x="104"/>
        <item x="509"/>
        <item x="659"/>
        <item x="234"/>
        <item x="41"/>
        <item x="274"/>
        <item x="22"/>
        <item x="640"/>
        <item x="480"/>
        <item x="658"/>
        <item x="603"/>
        <item x="82"/>
        <item x="599"/>
        <item x="699"/>
        <item x="671"/>
        <item x="117"/>
        <item x="236"/>
        <item x="701"/>
        <item x="111"/>
        <item x="142"/>
        <item x="260"/>
        <item x="604"/>
        <item x="596"/>
        <item x="697"/>
        <item x="419"/>
        <item x="298"/>
        <item x="44"/>
        <item x="409"/>
        <item x="478"/>
        <item x="121"/>
        <item x="592"/>
        <item x="681"/>
        <item x="561"/>
        <item x="443"/>
        <item x="240"/>
        <item x="159"/>
        <item x="348"/>
        <item x="375"/>
        <item x="580"/>
        <item x="570"/>
        <item x="433"/>
        <item x="591"/>
        <item x="497"/>
        <item x="360"/>
        <item x="50"/>
        <item x="60"/>
        <item x="711"/>
        <item x="735"/>
        <item x="54"/>
        <item x="476"/>
        <item x="346"/>
        <item x="562"/>
        <item x="606"/>
        <item x="352"/>
        <item x="447"/>
        <item x="389"/>
        <item x="526"/>
        <item x="97"/>
        <item x="21"/>
        <item x="17"/>
        <item x="529"/>
        <item x="154"/>
        <item x="207"/>
        <item x="393"/>
        <item x="183"/>
        <item x="199"/>
        <item x="631"/>
        <item x="729"/>
        <item x="440"/>
        <item x="752"/>
        <item x="668"/>
        <item x="388"/>
        <item x="748"/>
        <item x="182"/>
        <item x="485"/>
        <item x="436"/>
        <item x="0"/>
        <item x="174"/>
        <item x="53"/>
        <item x="547"/>
        <item x="16"/>
        <item x="195"/>
        <item x="81"/>
        <item x="319"/>
        <item x="395"/>
        <item x="89"/>
        <item x="305"/>
        <item x="407"/>
        <item x="630"/>
        <item x="343"/>
        <item x="734"/>
        <item x="213"/>
        <item x="545"/>
        <item x="579"/>
        <item x="210"/>
        <item x="150"/>
        <item x="4"/>
        <item x="738"/>
        <item x="727"/>
        <item x="537"/>
        <item x="657"/>
        <item x="519"/>
        <item x="705"/>
        <item x="756"/>
        <item x="578"/>
        <item x="628"/>
        <item x="225"/>
        <item x="674"/>
        <item x="68"/>
        <item x="724"/>
        <item x="594"/>
        <item x="251"/>
        <item x="386"/>
        <item x="332"/>
        <item x="216"/>
        <item x="524"/>
        <item x="527"/>
        <item x="153"/>
        <item x="737"/>
        <item x="306"/>
        <item x="633"/>
        <item x="296"/>
        <item x="434"/>
        <item x="371"/>
        <item x="353"/>
        <item x="202"/>
        <item x="273"/>
        <item x="695"/>
        <item x="646"/>
        <item x="423"/>
        <item x="383"/>
        <item x="421"/>
        <item x="451"/>
        <item x="188"/>
        <item x="677"/>
        <item x="325"/>
        <item x="312"/>
        <item x="487"/>
        <item x="550"/>
        <item x="645"/>
        <item x="290"/>
        <item x="13"/>
        <item x="160"/>
        <item x="489"/>
        <item x="600"/>
        <item x="615"/>
        <item x="193"/>
        <item x="300"/>
        <item x="190"/>
        <item x="516"/>
        <item x="180"/>
        <item x="14"/>
        <item x="6"/>
        <item x="686"/>
        <item x="355"/>
        <item x="27"/>
        <item x="629"/>
        <item x="144"/>
        <item x="475"/>
        <item x="679"/>
        <item x="577"/>
        <item x="5"/>
        <item x="178"/>
        <item x="608"/>
        <item x="557"/>
        <item x="614"/>
        <item x="731"/>
        <item x="161"/>
        <item x="405"/>
        <item x="304"/>
        <item x="119"/>
        <item x="95"/>
        <item x="504"/>
        <item x="574"/>
        <item x="69"/>
        <item x="501"/>
        <item x="612"/>
        <item x="86"/>
        <item x="511"/>
        <item x="191"/>
        <item x="544"/>
        <item x="680"/>
        <item x="642"/>
        <item x="78"/>
        <item x="706"/>
        <item x="583"/>
        <item x="536"/>
        <item x="473"/>
        <item x="299"/>
        <item x="99"/>
        <item x="221"/>
        <item x="500"/>
        <item x="77"/>
        <item x="513"/>
        <item x="611"/>
        <item x="137"/>
        <item x="506"/>
        <item x="411"/>
        <item x="564"/>
        <item x="342"/>
        <item x="220"/>
        <item x="43"/>
        <item x="372"/>
        <item x="187"/>
        <item x="531"/>
        <item x="740"/>
        <item x="222"/>
        <item x="541"/>
        <item x="143"/>
        <item x="472"/>
        <item x="166"/>
        <item x="322"/>
        <item x="676"/>
        <item x="330"/>
        <item x="482"/>
        <item x="522"/>
        <item x="288"/>
        <item x="744"/>
        <item x="196"/>
        <item x="335"/>
        <item x="98"/>
        <item x="281"/>
        <item x="30"/>
        <item x="259"/>
        <item x="566"/>
        <item x="71"/>
        <item x="242"/>
        <item x="445"/>
        <item x="37"/>
        <item x="15"/>
        <item x="420"/>
        <item x="73"/>
        <item x="291"/>
        <item x="101"/>
        <item x="315"/>
        <item x="703"/>
        <item x="185"/>
        <item x="136"/>
        <item x="47"/>
        <item x="189"/>
        <item x="477"/>
        <item x="666"/>
        <item x="743"/>
        <item x="109"/>
        <item x="205"/>
        <item x="302"/>
        <item x="518"/>
        <item x="18"/>
        <item x="605"/>
        <item x="139"/>
        <item x="586"/>
        <item x="338"/>
        <item x="181"/>
        <item x="235"/>
        <item x="598"/>
        <item x="23"/>
        <item x="336"/>
        <item x="462"/>
        <item x="321"/>
        <item x="376"/>
        <item x="127"/>
        <item x="525"/>
        <item x="710"/>
        <item x="184"/>
        <item x="588"/>
        <item x="362"/>
        <item x="641"/>
        <item x="422"/>
        <item x="540"/>
        <item x="593"/>
        <item x="590"/>
        <item x="333"/>
        <item x="619"/>
        <item x="698"/>
        <item x="643"/>
        <item x="52"/>
        <item x="575"/>
        <item x="693"/>
        <item x="616"/>
        <item x="441"/>
        <item x="176"/>
        <item x="177"/>
        <item x="543"/>
        <item x="392"/>
        <item x="226"/>
        <item x="284"/>
        <item t="default"/>
      </items>
    </pivotField>
    <pivotField showAll="0"/>
    <pivotField showAll="0">
      <items count="5">
        <item x="0"/>
        <item x="3"/>
        <item x="1"/>
        <item x="2"/>
        <item t="default"/>
      </items>
    </pivotField>
  </pivotFields>
  <rowFields count="1">
    <field x="1"/>
  </rowFields>
  <rowItems count="5">
    <i>
      <x/>
    </i>
    <i>
      <x v="1"/>
    </i>
    <i>
      <x v="2"/>
    </i>
    <i>
      <x v="3"/>
    </i>
    <i>
      <x v="4"/>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E45F4F-0521-4BE5-B592-DD54214F91B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0" firstDataRow="1" firstDataCol="0"/>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1"/>
        <item x="0"/>
        <item x="2"/>
        <item x="3"/>
        <item x="4"/>
        <item t="default"/>
      </items>
    </pivotField>
    <pivotField numFmtId="1" showAll="0">
      <items count="41">
        <item x="6"/>
        <item x="30"/>
        <item x="3"/>
        <item x="21"/>
        <item x="20"/>
        <item x="7"/>
        <item x="10"/>
        <item x="17"/>
        <item x="1"/>
        <item x="2"/>
        <item x="4"/>
        <item x="15"/>
        <item x="11"/>
        <item x="27"/>
        <item x="5"/>
        <item x="12"/>
        <item x="32"/>
        <item x="14"/>
        <item x="0"/>
        <item x="9"/>
        <item x="24"/>
        <item x="13"/>
        <item x="22"/>
        <item x="29"/>
        <item x="19"/>
        <item x="25"/>
        <item x="26"/>
        <item x="23"/>
        <item x="8"/>
        <item x="16"/>
        <item x="34"/>
        <item x="31"/>
        <item x="37"/>
        <item x="28"/>
        <item x="18"/>
        <item x="33"/>
        <item x="38"/>
        <item x="35"/>
        <item x="36"/>
        <item x="39"/>
        <item t="default"/>
      </items>
    </pivotField>
    <pivotField showAll="0">
      <items count="6">
        <item x="2"/>
        <item x="1"/>
        <item x="0"/>
        <item x="3"/>
        <item x="4"/>
        <item t="default"/>
      </items>
    </pivotField>
    <pivotField showAll="0">
      <items count="4">
        <item x="1"/>
        <item x="0"/>
        <item x="2"/>
        <item t="default"/>
      </items>
    </pivotField>
    <pivotField showAll="0"/>
    <pivotField dataField="1" showAll="0"/>
    <pivotField numFmtId="164" showAll="0">
      <items count="758">
        <item x="258"/>
        <item x="644"/>
        <item x="660"/>
        <item x="722"/>
        <item x="123"/>
        <item x="113"/>
        <item x="397"/>
        <item x="638"/>
        <item x="449"/>
        <item x="75"/>
        <item x="223"/>
        <item x="379"/>
        <item x="74"/>
        <item x="535"/>
        <item x="3"/>
        <item x="499"/>
        <item x="418"/>
        <item x="461"/>
        <item x="269"/>
        <item x="718"/>
        <item x="613"/>
        <item x="120"/>
        <item x="754"/>
        <item x="72"/>
        <item x="696"/>
        <item x="266"/>
        <item x="103"/>
        <item x="209"/>
        <item x="283"/>
        <item x="617"/>
        <item x="678"/>
        <item x="542"/>
        <item x="655"/>
        <item x="402"/>
        <item x="381"/>
        <item x="91"/>
        <item x="326"/>
        <item x="399"/>
        <item x="452"/>
        <item x="217"/>
        <item x="34"/>
        <item x="31"/>
        <item x="400"/>
        <item x="514"/>
        <item x="374"/>
        <item x="609"/>
        <item x="309"/>
        <item x="237"/>
        <item x="719"/>
        <item x="572"/>
        <item x="539"/>
        <item x="736"/>
        <item x="206"/>
        <item x="385"/>
        <item x="620"/>
        <item x="279"/>
        <item x="198"/>
        <item x="201"/>
        <item x="90"/>
        <item x="464"/>
        <item x="257"/>
        <item x="219"/>
        <item x="231"/>
        <item x="107"/>
        <item x="723"/>
        <item x="424"/>
        <item x="390"/>
        <item x="84"/>
        <item x="725"/>
        <item x="272"/>
        <item x="403"/>
        <item x="11"/>
        <item x="63"/>
        <item x="560"/>
        <item x="556"/>
        <item x="357"/>
        <item x="429"/>
        <item x="341"/>
        <item x="408"/>
        <item x="713"/>
        <item x="96"/>
        <item x="438"/>
        <item x="639"/>
        <item x="726"/>
        <item x="510"/>
        <item x="164"/>
        <item x="118"/>
        <item x="239"/>
        <item x="634"/>
        <item x="471"/>
        <item x="565"/>
        <item x="656"/>
        <item x="61"/>
        <item x="38"/>
        <item x="720"/>
        <item x="287"/>
        <item x="170"/>
        <item x="406"/>
        <item x="331"/>
        <item x="7"/>
        <item x="356"/>
        <item x="601"/>
        <item x="648"/>
        <item x="573"/>
        <item x="370"/>
        <item x="133"/>
        <item x="42"/>
        <item x="40"/>
        <item x="246"/>
        <item x="361"/>
        <item x="558"/>
        <item x="9"/>
        <item x="654"/>
        <item x="481"/>
        <item x="732"/>
        <item x="621"/>
        <item x="28"/>
        <item x="687"/>
        <item x="254"/>
        <item x="115"/>
        <item x="125"/>
        <item x="276"/>
        <item x="553"/>
        <item x="582"/>
        <item x="307"/>
        <item x="571"/>
        <item x="707"/>
        <item x="146"/>
        <item x="286"/>
        <item x="347"/>
        <item x="363"/>
        <item x="310"/>
        <item x="163"/>
        <item x="2"/>
        <item x="747"/>
        <item x="667"/>
        <item x="589"/>
        <item x="595"/>
        <item x="92"/>
        <item x="384"/>
        <item x="131"/>
        <item x="442"/>
        <item x="689"/>
        <item x="585"/>
        <item x="505"/>
        <item x="651"/>
        <item x="192"/>
        <item x="394"/>
        <item x="663"/>
        <item x="124"/>
        <item x="626"/>
        <item x="520"/>
        <item x="100"/>
        <item x="749"/>
        <item x="351"/>
        <item x="10"/>
        <item x="46"/>
        <item x="132"/>
        <item x="691"/>
        <item x="670"/>
        <item x="498"/>
        <item x="584"/>
        <item x="469"/>
        <item x="490"/>
        <item x="688"/>
        <item x="721"/>
        <item x="662"/>
        <item x="57"/>
        <item x="339"/>
        <item x="366"/>
        <item x="295"/>
        <item x="297"/>
        <item x="157"/>
        <item x="314"/>
        <item x="491"/>
        <item x="59"/>
        <item x="204"/>
        <item x="426"/>
        <item x="244"/>
        <item x="85"/>
        <item x="152"/>
        <item x="682"/>
        <item x="559"/>
        <item x="155"/>
        <item x="753"/>
        <item x="311"/>
        <item x="755"/>
        <item x="359"/>
        <item x="468"/>
        <item x="715"/>
        <item x="665"/>
        <item x="318"/>
        <item x="129"/>
        <item x="243"/>
        <item x="227"/>
        <item x="488"/>
        <item x="324"/>
        <item x="404"/>
        <item x="280"/>
        <item x="329"/>
        <item x="138"/>
        <item x="431"/>
        <item x="165"/>
        <item x="65"/>
        <item x="456"/>
        <item x="149"/>
        <item x="241"/>
        <item x="168"/>
        <item x="463"/>
        <item x="493"/>
        <item x="515"/>
        <item x="479"/>
        <item x="256"/>
        <item x="102"/>
        <item x="435"/>
        <item x="533"/>
        <item x="530"/>
        <item x="212"/>
        <item x="413"/>
        <item x="455"/>
        <item x="313"/>
        <item x="627"/>
        <item x="167"/>
        <item x="162"/>
        <item x="349"/>
        <item x="624"/>
        <item x="293"/>
        <item x="454"/>
        <item x="669"/>
        <item x="675"/>
        <item x="20"/>
        <item x="350"/>
        <item x="528"/>
        <item x="289"/>
        <item x="83"/>
        <item x="29"/>
        <item x="303"/>
        <item x="742"/>
        <item x="114"/>
        <item x="45"/>
        <item x="425"/>
        <item x="569"/>
        <item x="690"/>
        <item x="618"/>
        <item x="345"/>
        <item x="252"/>
        <item x="228"/>
        <item x="367"/>
        <item x="250"/>
        <item x="317"/>
        <item x="88"/>
        <item x="76"/>
        <item x="551"/>
        <item x="33"/>
        <item x="632"/>
        <item x="80"/>
        <item x="563"/>
        <item x="746"/>
        <item x="66"/>
        <item x="685"/>
        <item x="717"/>
        <item x="112"/>
        <item x="358"/>
        <item x="19"/>
        <item x="439"/>
        <item x="661"/>
        <item x="576"/>
        <item x="430"/>
        <item x="483"/>
        <item x="79"/>
        <item x="602"/>
        <item x="93"/>
        <item x="323"/>
        <item x="55"/>
        <item x="262"/>
        <item x="380"/>
        <item x="203"/>
        <item x="568"/>
        <item x="8"/>
        <item x="416"/>
        <item x="396"/>
        <item x="110"/>
        <item x="398"/>
        <item x="156"/>
        <item x="94"/>
        <item x="730"/>
        <item x="684"/>
        <item x="233"/>
        <item x="158"/>
        <item x="739"/>
        <item x="337"/>
        <item x="67"/>
        <item x="247"/>
        <item x="672"/>
        <item x="135"/>
        <item x="261"/>
        <item x="334"/>
        <item x="128"/>
        <item x="32"/>
        <item x="171"/>
        <item x="460"/>
        <item x="484"/>
        <item x="474"/>
        <item x="365"/>
        <item x="512"/>
        <item x="502"/>
        <item x="316"/>
        <item x="292"/>
        <item x="692"/>
        <item x="364"/>
        <item x="750"/>
        <item x="437"/>
        <item x="650"/>
        <item x="268"/>
        <item x="427"/>
        <item x="230"/>
        <item x="467"/>
        <item x="294"/>
        <item x="415"/>
        <item x="253"/>
        <item x="49"/>
        <item x="172"/>
        <item x="249"/>
        <item x="285"/>
        <item x="26"/>
        <item x="745"/>
        <item x="673"/>
        <item x="368"/>
        <item x="450"/>
        <item x="229"/>
        <item x="637"/>
        <item x="56"/>
        <item x="496"/>
        <item x="140"/>
        <item x="263"/>
        <item x="521"/>
        <item x="301"/>
        <item x="702"/>
        <item x="173"/>
        <item x="549"/>
        <item x="169"/>
        <item x="39"/>
        <item x="587"/>
        <item x="704"/>
        <item x="508"/>
        <item x="211"/>
        <item x="277"/>
        <item x="470"/>
        <item x="552"/>
        <item x="105"/>
        <item x="194"/>
        <item x="248"/>
        <item x="148"/>
        <item x="446"/>
        <item x="716"/>
        <item x="517"/>
        <item x="664"/>
        <item x="709"/>
        <item x="382"/>
        <item x="751"/>
        <item x="35"/>
        <item x="625"/>
        <item x="255"/>
        <item x="377"/>
        <item x="270"/>
        <item x="712"/>
        <item x="555"/>
        <item x="197"/>
        <item x="327"/>
        <item x="401"/>
        <item x="700"/>
        <item x="597"/>
        <item x="344"/>
        <item x="636"/>
        <item x="610"/>
        <item x="503"/>
        <item x="714"/>
        <item x="417"/>
        <item x="534"/>
        <item x="647"/>
        <item x="694"/>
        <item x="70"/>
        <item x="465"/>
        <item x="264"/>
        <item x="278"/>
        <item x="1"/>
        <item x="12"/>
        <item x="224"/>
        <item x="414"/>
        <item x="432"/>
        <item x="653"/>
        <item x="457"/>
        <item x="548"/>
        <item x="391"/>
        <item x="147"/>
        <item x="649"/>
        <item x="179"/>
        <item x="58"/>
        <item x="428"/>
        <item x="48"/>
        <item x="495"/>
        <item x="458"/>
        <item x="320"/>
        <item x="708"/>
        <item x="453"/>
        <item x="25"/>
        <item x="208"/>
        <item x="554"/>
        <item x="354"/>
        <item x="607"/>
        <item x="200"/>
        <item x="267"/>
        <item x="116"/>
        <item x="532"/>
        <item x="238"/>
        <item x="387"/>
        <item x="741"/>
        <item x="538"/>
        <item x="523"/>
        <item x="106"/>
        <item x="459"/>
        <item x="36"/>
        <item x="271"/>
        <item x="622"/>
        <item x="652"/>
        <item x="444"/>
        <item x="728"/>
        <item x="130"/>
        <item x="232"/>
        <item x="546"/>
        <item x="275"/>
        <item x="507"/>
        <item x="623"/>
        <item x="328"/>
        <item x="145"/>
        <item x="134"/>
        <item x="486"/>
        <item x="466"/>
        <item x="215"/>
        <item x="126"/>
        <item x="733"/>
        <item x="492"/>
        <item x="175"/>
        <item x="635"/>
        <item x="64"/>
        <item x="122"/>
        <item x="369"/>
        <item x="245"/>
        <item x="62"/>
        <item x="24"/>
        <item x="683"/>
        <item x="581"/>
        <item x="51"/>
        <item x="412"/>
        <item x="218"/>
        <item x="282"/>
        <item x="373"/>
        <item x="141"/>
        <item x="265"/>
        <item x="494"/>
        <item x="108"/>
        <item x="378"/>
        <item x="151"/>
        <item x="340"/>
        <item x="448"/>
        <item x="567"/>
        <item x="186"/>
        <item x="214"/>
        <item x="87"/>
        <item x="410"/>
        <item x="308"/>
        <item x="104"/>
        <item x="509"/>
        <item x="659"/>
        <item x="234"/>
        <item x="41"/>
        <item x="274"/>
        <item x="22"/>
        <item x="640"/>
        <item x="480"/>
        <item x="658"/>
        <item x="603"/>
        <item x="82"/>
        <item x="599"/>
        <item x="699"/>
        <item x="671"/>
        <item x="117"/>
        <item x="236"/>
        <item x="701"/>
        <item x="111"/>
        <item x="142"/>
        <item x="260"/>
        <item x="604"/>
        <item x="596"/>
        <item x="697"/>
        <item x="419"/>
        <item x="298"/>
        <item x="44"/>
        <item x="409"/>
        <item x="478"/>
        <item x="121"/>
        <item x="592"/>
        <item x="681"/>
        <item x="561"/>
        <item x="443"/>
        <item x="240"/>
        <item x="159"/>
        <item x="348"/>
        <item x="375"/>
        <item x="580"/>
        <item x="570"/>
        <item x="433"/>
        <item x="591"/>
        <item x="497"/>
        <item x="360"/>
        <item x="50"/>
        <item x="60"/>
        <item x="711"/>
        <item x="735"/>
        <item x="54"/>
        <item x="476"/>
        <item x="346"/>
        <item x="562"/>
        <item x="606"/>
        <item x="352"/>
        <item x="447"/>
        <item x="389"/>
        <item x="526"/>
        <item x="97"/>
        <item x="21"/>
        <item x="17"/>
        <item x="529"/>
        <item x="154"/>
        <item x="207"/>
        <item x="393"/>
        <item x="183"/>
        <item x="199"/>
        <item x="631"/>
        <item x="729"/>
        <item x="440"/>
        <item x="752"/>
        <item x="668"/>
        <item x="388"/>
        <item x="748"/>
        <item x="182"/>
        <item x="485"/>
        <item x="436"/>
        <item x="0"/>
        <item x="174"/>
        <item x="53"/>
        <item x="547"/>
        <item x="16"/>
        <item x="195"/>
        <item x="81"/>
        <item x="319"/>
        <item x="395"/>
        <item x="89"/>
        <item x="305"/>
        <item x="407"/>
        <item x="630"/>
        <item x="343"/>
        <item x="734"/>
        <item x="213"/>
        <item x="545"/>
        <item x="579"/>
        <item x="210"/>
        <item x="150"/>
        <item x="4"/>
        <item x="738"/>
        <item x="727"/>
        <item x="537"/>
        <item x="657"/>
        <item x="519"/>
        <item x="705"/>
        <item x="756"/>
        <item x="578"/>
        <item x="628"/>
        <item x="225"/>
        <item x="674"/>
        <item x="68"/>
        <item x="724"/>
        <item x="594"/>
        <item x="251"/>
        <item x="386"/>
        <item x="332"/>
        <item x="216"/>
        <item x="524"/>
        <item x="527"/>
        <item x="153"/>
        <item x="737"/>
        <item x="306"/>
        <item x="633"/>
        <item x="296"/>
        <item x="434"/>
        <item x="371"/>
        <item x="353"/>
        <item x="202"/>
        <item x="273"/>
        <item x="695"/>
        <item x="646"/>
        <item x="423"/>
        <item x="383"/>
        <item x="421"/>
        <item x="451"/>
        <item x="188"/>
        <item x="677"/>
        <item x="325"/>
        <item x="312"/>
        <item x="487"/>
        <item x="550"/>
        <item x="645"/>
        <item x="290"/>
        <item x="13"/>
        <item x="160"/>
        <item x="489"/>
        <item x="600"/>
        <item x="615"/>
        <item x="193"/>
        <item x="300"/>
        <item x="190"/>
        <item x="516"/>
        <item x="180"/>
        <item x="14"/>
        <item x="6"/>
        <item x="686"/>
        <item x="355"/>
        <item x="27"/>
        <item x="629"/>
        <item x="144"/>
        <item x="475"/>
        <item x="679"/>
        <item x="577"/>
        <item x="5"/>
        <item x="178"/>
        <item x="608"/>
        <item x="557"/>
        <item x="614"/>
        <item x="731"/>
        <item x="161"/>
        <item x="405"/>
        <item x="304"/>
        <item x="119"/>
        <item x="95"/>
        <item x="504"/>
        <item x="574"/>
        <item x="69"/>
        <item x="501"/>
        <item x="612"/>
        <item x="86"/>
        <item x="511"/>
        <item x="191"/>
        <item x="544"/>
        <item x="680"/>
        <item x="642"/>
        <item x="78"/>
        <item x="706"/>
        <item x="583"/>
        <item x="536"/>
        <item x="473"/>
        <item x="299"/>
        <item x="99"/>
        <item x="221"/>
        <item x="500"/>
        <item x="77"/>
        <item x="513"/>
        <item x="611"/>
        <item x="137"/>
        <item x="506"/>
        <item x="411"/>
        <item x="564"/>
        <item x="342"/>
        <item x="220"/>
        <item x="43"/>
        <item x="372"/>
        <item x="187"/>
        <item x="531"/>
        <item x="740"/>
        <item x="222"/>
        <item x="541"/>
        <item x="143"/>
        <item x="472"/>
        <item x="166"/>
        <item x="322"/>
        <item x="676"/>
        <item x="330"/>
        <item x="482"/>
        <item x="522"/>
        <item x="288"/>
        <item x="744"/>
        <item x="196"/>
        <item x="335"/>
        <item x="98"/>
        <item x="281"/>
        <item x="30"/>
        <item x="259"/>
        <item x="566"/>
        <item x="71"/>
        <item x="242"/>
        <item x="445"/>
        <item x="37"/>
        <item x="15"/>
        <item x="420"/>
        <item x="73"/>
        <item x="291"/>
        <item x="101"/>
        <item x="315"/>
        <item x="703"/>
        <item x="185"/>
        <item x="136"/>
        <item x="47"/>
        <item x="189"/>
        <item x="477"/>
        <item x="666"/>
        <item x="743"/>
        <item x="109"/>
        <item x="205"/>
        <item x="302"/>
        <item x="518"/>
        <item x="18"/>
        <item x="605"/>
        <item x="139"/>
        <item x="586"/>
        <item x="338"/>
        <item x="181"/>
        <item x="235"/>
        <item x="598"/>
        <item x="23"/>
        <item x="336"/>
        <item x="462"/>
        <item x="321"/>
        <item x="376"/>
        <item x="127"/>
        <item x="525"/>
        <item x="710"/>
        <item x="184"/>
        <item x="588"/>
        <item x="362"/>
        <item x="641"/>
        <item x="422"/>
        <item x="540"/>
        <item x="593"/>
        <item x="590"/>
        <item x="333"/>
        <item x="619"/>
        <item x="698"/>
        <item x="643"/>
        <item x="52"/>
        <item x="575"/>
        <item x="693"/>
        <item x="616"/>
        <item x="441"/>
        <item x="176"/>
        <item x="177"/>
        <item x="543"/>
        <item x="392"/>
        <item x="226"/>
        <item x="284"/>
        <item t="default"/>
      </items>
    </pivotField>
    <pivotField showAll="0"/>
    <pivotField showAll="0">
      <items count="5">
        <item x="0"/>
        <item x="3"/>
        <item x="1"/>
        <item x="2"/>
        <item t="default"/>
      </items>
    </pivotField>
  </pivotFields>
  <rowItems count="1">
    <i/>
  </rowItems>
  <colFields count="1">
    <field x="-2"/>
  </colFields>
  <colItems count="2">
    <i>
      <x/>
    </i>
    <i i="1">
      <x v="1"/>
    </i>
  </colItems>
  <dataFields count="2">
    <dataField name="Count of CustomerID" fld="0" subtotal="count" baseField="0" baseItem="0"/>
    <dataField name="Average of AccountAge_Months" fld="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DFB2A8-08FC-4D8E-A02C-F3EE43C61122}"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17:B21" firstHeaderRow="1" firstDataRow="1"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nonAutoSortDefault="1">
      <items count="6">
        <item x="2"/>
        <item x="1"/>
        <item x="0"/>
        <item x="3"/>
        <item x="4"/>
        <item t="default"/>
      </items>
    </pivotField>
    <pivotField numFmtId="1" showAll="0"/>
    <pivotField showAll="0">
      <items count="6">
        <item x="2"/>
        <item x="1"/>
        <item x="0"/>
        <item x="3"/>
        <item x="4"/>
        <item t="default"/>
      </items>
    </pivotField>
    <pivotField showAll="0">
      <items count="4">
        <item x="1"/>
        <item x="0"/>
        <item x="2"/>
        <item t="default"/>
      </items>
    </pivotField>
    <pivotField showAll="0"/>
    <pivotField showAll="0"/>
    <pivotField numFmtId="164" showAll="0">
      <items count="758">
        <item x="258"/>
        <item x="644"/>
        <item x="660"/>
        <item x="722"/>
        <item x="123"/>
        <item x="113"/>
        <item x="397"/>
        <item x="638"/>
        <item x="449"/>
        <item x="75"/>
        <item x="223"/>
        <item x="379"/>
        <item x="74"/>
        <item x="535"/>
        <item x="3"/>
        <item x="499"/>
        <item x="418"/>
        <item x="461"/>
        <item x="269"/>
        <item x="718"/>
        <item x="613"/>
        <item x="120"/>
        <item x="754"/>
        <item x="72"/>
        <item x="696"/>
        <item x="266"/>
        <item x="103"/>
        <item x="209"/>
        <item x="283"/>
        <item x="617"/>
        <item x="678"/>
        <item x="542"/>
        <item x="655"/>
        <item x="402"/>
        <item x="381"/>
        <item x="91"/>
        <item x="326"/>
        <item x="399"/>
        <item x="452"/>
        <item x="217"/>
        <item x="34"/>
        <item x="31"/>
        <item x="400"/>
        <item x="514"/>
        <item x="374"/>
        <item x="609"/>
        <item x="309"/>
        <item x="237"/>
        <item x="719"/>
        <item x="572"/>
        <item x="539"/>
        <item x="736"/>
        <item x="206"/>
        <item x="385"/>
        <item x="620"/>
        <item x="279"/>
        <item x="198"/>
        <item x="201"/>
        <item x="90"/>
        <item x="464"/>
        <item x="257"/>
        <item x="219"/>
        <item x="231"/>
        <item x="107"/>
        <item x="723"/>
        <item x="424"/>
        <item x="390"/>
        <item x="84"/>
        <item x="725"/>
        <item x="272"/>
        <item x="403"/>
        <item x="11"/>
        <item x="63"/>
        <item x="560"/>
        <item x="556"/>
        <item x="357"/>
        <item x="429"/>
        <item x="341"/>
        <item x="408"/>
        <item x="713"/>
        <item x="96"/>
        <item x="438"/>
        <item x="639"/>
        <item x="726"/>
        <item x="510"/>
        <item x="164"/>
        <item x="118"/>
        <item x="239"/>
        <item x="634"/>
        <item x="471"/>
        <item x="565"/>
        <item x="656"/>
        <item x="61"/>
        <item x="38"/>
        <item x="720"/>
        <item x="287"/>
        <item x="170"/>
        <item x="406"/>
        <item x="331"/>
        <item x="7"/>
        <item x="356"/>
        <item x="601"/>
        <item x="648"/>
        <item x="573"/>
        <item x="370"/>
        <item x="133"/>
        <item x="42"/>
        <item x="40"/>
        <item x="246"/>
        <item x="361"/>
        <item x="558"/>
        <item x="9"/>
        <item x="654"/>
        <item x="481"/>
        <item x="732"/>
        <item x="621"/>
        <item x="28"/>
        <item x="687"/>
        <item x="254"/>
        <item x="115"/>
        <item x="125"/>
        <item x="276"/>
        <item x="553"/>
        <item x="582"/>
        <item x="307"/>
        <item x="571"/>
        <item x="707"/>
        <item x="146"/>
        <item x="286"/>
        <item x="347"/>
        <item x="363"/>
        <item x="310"/>
        <item x="163"/>
        <item x="2"/>
        <item x="747"/>
        <item x="667"/>
        <item x="589"/>
        <item x="595"/>
        <item x="92"/>
        <item x="384"/>
        <item x="131"/>
        <item x="442"/>
        <item x="689"/>
        <item x="585"/>
        <item x="505"/>
        <item x="651"/>
        <item x="192"/>
        <item x="394"/>
        <item x="663"/>
        <item x="124"/>
        <item x="626"/>
        <item x="520"/>
        <item x="100"/>
        <item x="749"/>
        <item x="351"/>
        <item x="10"/>
        <item x="46"/>
        <item x="132"/>
        <item x="691"/>
        <item x="670"/>
        <item x="498"/>
        <item x="584"/>
        <item x="469"/>
        <item x="490"/>
        <item x="688"/>
        <item x="721"/>
        <item x="662"/>
        <item x="57"/>
        <item x="339"/>
        <item x="366"/>
        <item x="295"/>
        <item x="297"/>
        <item x="157"/>
        <item x="314"/>
        <item x="491"/>
        <item x="59"/>
        <item x="204"/>
        <item x="426"/>
        <item x="244"/>
        <item x="85"/>
        <item x="152"/>
        <item x="682"/>
        <item x="559"/>
        <item x="155"/>
        <item x="753"/>
        <item x="311"/>
        <item x="755"/>
        <item x="359"/>
        <item x="468"/>
        <item x="715"/>
        <item x="665"/>
        <item x="318"/>
        <item x="129"/>
        <item x="243"/>
        <item x="227"/>
        <item x="488"/>
        <item x="324"/>
        <item x="404"/>
        <item x="280"/>
        <item x="329"/>
        <item x="138"/>
        <item x="431"/>
        <item x="165"/>
        <item x="65"/>
        <item x="456"/>
        <item x="149"/>
        <item x="241"/>
        <item x="168"/>
        <item x="463"/>
        <item x="493"/>
        <item x="515"/>
        <item x="479"/>
        <item x="256"/>
        <item x="102"/>
        <item x="435"/>
        <item x="533"/>
        <item x="530"/>
        <item x="212"/>
        <item x="413"/>
        <item x="455"/>
        <item x="313"/>
        <item x="627"/>
        <item x="167"/>
        <item x="162"/>
        <item x="349"/>
        <item x="624"/>
        <item x="293"/>
        <item x="454"/>
        <item x="669"/>
        <item x="675"/>
        <item x="20"/>
        <item x="350"/>
        <item x="528"/>
        <item x="289"/>
        <item x="83"/>
        <item x="29"/>
        <item x="303"/>
        <item x="742"/>
        <item x="114"/>
        <item x="45"/>
        <item x="425"/>
        <item x="569"/>
        <item x="690"/>
        <item x="618"/>
        <item x="345"/>
        <item x="252"/>
        <item x="228"/>
        <item x="367"/>
        <item x="250"/>
        <item x="317"/>
        <item x="88"/>
        <item x="76"/>
        <item x="551"/>
        <item x="33"/>
        <item x="632"/>
        <item x="80"/>
        <item x="563"/>
        <item x="746"/>
        <item x="66"/>
        <item x="685"/>
        <item x="717"/>
        <item x="112"/>
        <item x="358"/>
        <item x="19"/>
        <item x="439"/>
        <item x="661"/>
        <item x="576"/>
        <item x="430"/>
        <item x="483"/>
        <item x="79"/>
        <item x="602"/>
        <item x="93"/>
        <item x="323"/>
        <item x="55"/>
        <item x="262"/>
        <item x="380"/>
        <item x="203"/>
        <item x="568"/>
        <item x="8"/>
        <item x="416"/>
        <item x="396"/>
        <item x="110"/>
        <item x="398"/>
        <item x="156"/>
        <item x="94"/>
        <item x="730"/>
        <item x="684"/>
        <item x="233"/>
        <item x="158"/>
        <item x="739"/>
        <item x="337"/>
        <item x="67"/>
        <item x="247"/>
        <item x="672"/>
        <item x="135"/>
        <item x="261"/>
        <item x="334"/>
        <item x="128"/>
        <item x="32"/>
        <item x="171"/>
        <item x="460"/>
        <item x="484"/>
        <item x="474"/>
        <item x="365"/>
        <item x="512"/>
        <item x="502"/>
        <item x="316"/>
        <item x="292"/>
        <item x="692"/>
        <item x="364"/>
        <item x="750"/>
        <item x="437"/>
        <item x="650"/>
        <item x="268"/>
        <item x="427"/>
        <item x="230"/>
        <item x="467"/>
        <item x="294"/>
        <item x="415"/>
        <item x="253"/>
        <item x="49"/>
        <item x="172"/>
        <item x="249"/>
        <item x="285"/>
        <item x="26"/>
        <item x="745"/>
        <item x="673"/>
        <item x="368"/>
        <item x="450"/>
        <item x="229"/>
        <item x="637"/>
        <item x="56"/>
        <item x="496"/>
        <item x="140"/>
        <item x="263"/>
        <item x="521"/>
        <item x="301"/>
        <item x="702"/>
        <item x="173"/>
        <item x="549"/>
        <item x="169"/>
        <item x="39"/>
        <item x="587"/>
        <item x="704"/>
        <item x="508"/>
        <item x="211"/>
        <item x="277"/>
        <item x="470"/>
        <item x="552"/>
        <item x="105"/>
        <item x="194"/>
        <item x="248"/>
        <item x="148"/>
        <item x="446"/>
        <item x="716"/>
        <item x="517"/>
        <item x="664"/>
        <item x="709"/>
        <item x="382"/>
        <item x="751"/>
        <item x="35"/>
        <item x="625"/>
        <item x="255"/>
        <item x="377"/>
        <item x="270"/>
        <item x="712"/>
        <item x="555"/>
        <item x="197"/>
        <item x="327"/>
        <item x="401"/>
        <item x="700"/>
        <item x="597"/>
        <item x="344"/>
        <item x="636"/>
        <item x="610"/>
        <item x="503"/>
        <item x="714"/>
        <item x="417"/>
        <item x="534"/>
        <item x="647"/>
        <item x="694"/>
        <item x="70"/>
        <item x="465"/>
        <item x="264"/>
        <item x="278"/>
        <item x="1"/>
        <item x="12"/>
        <item x="224"/>
        <item x="414"/>
        <item x="432"/>
        <item x="653"/>
        <item x="457"/>
        <item x="548"/>
        <item x="391"/>
        <item x="147"/>
        <item x="649"/>
        <item x="179"/>
        <item x="58"/>
        <item x="428"/>
        <item x="48"/>
        <item x="495"/>
        <item x="458"/>
        <item x="320"/>
        <item x="708"/>
        <item x="453"/>
        <item x="25"/>
        <item x="208"/>
        <item x="554"/>
        <item x="354"/>
        <item x="607"/>
        <item x="200"/>
        <item x="267"/>
        <item x="116"/>
        <item x="532"/>
        <item x="238"/>
        <item x="387"/>
        <item x="741"/>
        <item x="538"/>
        <item x="523"/>
        <item x="106"/>
        <item x="459"/>
        <item x="36"/>
        <item x="271"/>
        <item x="622"/>
        <item x="652"/>
        <item x="444"/>
        <item x="728"/>
        <item x="130"/>
        <item x="232"/>
        <item x="546"/>
        <item x="275"/>
        <item x="507"/>
        <item x="623"/>
        <item x="328"/>
        <item x="145"/>
        <item x="134"/>
        <item x="486"/>
        <item x="466"/>
        <item x="215"/>
        <item x="126"/>
        <item x="733"/>
        <item x="492"/>
        <item x="175"/>
        <item x="635"/>
        <item x="64"/>
        <item x="122"/>
        <item x="369"/>
        <item x="245"/>
        <item x="62"/>
        <item x="24"/>
        <item x="683"/>
        <item x="581"/>
        <item x="51"/>
        <item x="412"/>
        <item x="218"/>
        <item x="282"/>
        <item x="373"/>
        <item x="141"/>
        <item x="265"/>
        <item x="494"/>
        <item x="108"/>
        <item x="378"/>
        <item x="151"/>
        <item x="340"/>
        <item x="448"/>
        <item x="567"/>
        <item x="186"/>
        <item x="214"/>
        <item x="87"/>
        <item x="410"/>
        <item x="308"/>
        <item x="104"/>
        <item x="509"/>
        <item x="659"/>
        <item x="234"/>
        <item x="41"/>
        <item x="274"/>
        <item x="22"/>
        <item x="640"/>
        <item x="480"/>
        <item x="658"/>
        <item x="603"/>
        <item x="82"/>
        <item x="599"/>
        <item x="699"/>
        <item x="671"/>
        <item x="117"/>
        <item x="236"/>
        <item x="701"/>
        <item x="111"/>
        <item x="142"/>
        <item x="260"/>
        <item x="604"/>
        <item x="596"/>
        <item x="697"/>
        <item x="419"/>
        <item x="298"/>
        <item x="44"/>
        <item x="409"/>
        <item x="478"/>
        <item x="121"/>
        <item x="592"/>
        <item x="681"/>
        <item x="561"/>
        <item x="443"/>
        <item x="240"/>
        <item x="159"/>
        <item x="348"/>
        <item x="375"/>
        <item x="580"/>
        <item x="570"/>
        <item x="433"/>
        <item x="591"/>
        <item x="497"/>
        <item x="360"/>
        <item x="50"/>
        <item x="60"/>
        <item x="711"/>
        <item x="735"/>
        <item x="54"/>
        <item x="476"/>
        <item x="346"/>
        <item x="562"/>
        <item x="606"/>
        <item x="352"/>
        <item x="447"/>
        <item x="389"/>
        <item x="526"/>
        <item x="97"/>
        <item x="21"/>
        <item x="17"/>
        <item x="529"/>
        <item x="154"/>
        <item x="207"/>
        <item x="393"/>
        <item x="183"/>
        <item x="199"/>
        <item x="631"/>
        <item x="729"/>
        <item x="440"/>
        <item x="752"/>
        <item x="668"/>
        <item x="388"/>
        <item x="748"/>
        <item x="182"/>
        <item x="485"/>
        <item x="436"/>
        <item x="0"/>
        <item x="174"/>
        <item x="53"/>
        <item x="547"/>
        <item x="16"/>
        <item x="195"/>
        <item x="81"/>
        <item x="319"/>
        <item x="395"/>
        <item x="89"/>
        <item x="305"/>
        <item x="407"/>
        <item x="630"/>
        <item x="343"/>
        <item x="734"/>
        <item x="213"/>
        <item x="545"/>
        <item x="579"/>
        <item x="210"/>
        <item x="150"/>
        <item x="4"/>
        <item x="738"/>
        <item x="727"/>
        <item x="537"/>
        <item x="657"/>
        <item x="519"/>
        <item x="705"/>
        <item x="756"/>
        <item x="578"/>
        <item x="628"/>
        <item x="225"/>
        <item x="674"/>
        <item x="68"/>
        <item x="724"/>
        <item x="594"/>
        <item x="251"/>
        <item x="386"/>
        <item x="332"/>
        <item x="216"/>
        <item x="524"/>
        <item x="527"/>
        <item x="153"/>
        <item x="737"/>
        <item x="306"/>
        <item x="633"/>
        <item x="296"/>
        <item x="434"/>
        <item x="371"/>
        <item x="353"/>
        <item x="202"/>
        <item x="273"/>
        <item x="695"/>
        <item x="646"/>
        <item x="423"/>
        <item x="383"/>
        <item x="421"/>
        <item x="451"/>
        <item x="188"/>
        <item x="677"/>
        <item x="325"/>
        <item x="312"/>
        <item x="487"/>
        <item x="550"/>
        <item x="645"/>
        <item x="290"/>
        <item x="13"/>
        <item x="160"/>
        <item x="489"/>
        <item x="600"/>
        <item x="615"/>
        <item x="193"/>
        <item x="300"/>
        <item x="190"/>
        <item x="516"/>
        <item x="180"/>
        <item x="14"/>
        <item x="6"/>
        <item x="686"/>
        <item x="355"/>
        <item x="27"/>
        <item x="629"/>
        <item x="144"/>
        <item x="475"/>
        <item x="679"/>
        <item x="577"/>
        <item x="5"/>
        <item x="178"/>
        <item x="608"/>
        <item x="557"/>
        <item x="614"/>
        <item x="731"/>
        <item x="161"/>
        <item x="405"/>
        <item x="304"/>
        <item x="119"/>
        <item x="95"/>
        <item x="504"/>
        <item x="574"/>
        <item x="69"/>
        <item x="501"/>
        <item x="612"/>
        <item x="86"/>
        <item x="511"/>
        <item x="191"/>
        <item x="544"/>
        <item x="680"/>
        <item x="642"/>
        <item x="78"/>
        <item x="706"/>
        <item x="583"/>
        <item x="536"/>
        <item x="473"/>
        <item x="299"/>
        <item x="99"/>
        <item x="221"/>
        <item x="500"/>
        <item x="77"/>
        <item x="513"/>
        <item x="611"/>
        <item x="137"/>
        <item x="506"/>
        <item x="411"/>
        <item x="564"/>
        <item x="342"/>
        <item x="220"/>
        <item x="43"/>
        <item x="372"/>
        <item x="187"/>
        <item x="531"/>
        <item x="740"/>
        <item x="222"/>
        <item x="541"/>
        <item x="143"/>
        <item x="472"/>
        <item x="166"/>
        <item x="322"/>
        <item x="676"/>
        <item x="330"/>
        <item x="482"/>
        <item x="522"/>
        <item x="288"/>
        <item x="744"/>
        <item x="196"/>
        <item x="335"/>
        <item x="98"/>
        <item x="281"/>
        <item x="30"/>
        <item x="259"/>
        <item x="566"/>
        <item x="71"/>
        <item x="242"/>
        <item x="445"/>
        <item x="37"/>
        <item x="15"/>
        <item x="420"/>
        <item x="73"/>
        <item x="291"/>
        <item x="101"/>
        <item x="315"/>
        <item x="703"/>
        <item x="185"/>
        <item x="136"/>
        <item x="47"/>
        <item x="189"/>
        <item x="477"/>
        <item x="666"/>
        <item x="743"/>
        <item x="109"/>
        <item x="205"/>
        <item x="302"/>
        <item x="518"/>
        <item x="18"/>
        <item x="605"/>
        <item x="139"/>
        <item x="586"/>
        <item x="338"/>
        <item x="181"/>
        <item x="235"/>
        <item x="598"/>
        <item x="23"/>
        <item x="336"/>
        <item x="462"/>
        <item x="321"/>
        <item x="376"/>
        <item x="127"/>
        <item x="525"/>
        <item x="710"/>
        <item x="184"/>
        <item x="588"/>
        <item x="362"/>
        <item x="641"/>
        <item x="422"/>
        <item x="540"/>
        <item x="593"/>
        <item x="590"/>
        <item x="333"/>
        <item x="619"/>
        <item x="698"/>
        <item x="643"/>
        <item x="52"/>
        <item x="575"/>
        <item x="693"/>
        <item x="616"/>
        <item x="441"/>
        <item x="176"/>
        <item x="177"/>
        <item x="543"/>
        <item x="392"/>
        <item x="226"/>
        <item x="284"/>
        <item t="default"/>
      </items>
    </pivotField>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s>
  <rowFields count="1">
    <field x="9"/>
  </rowFields>
  <rowItems count="4">
    <i>
      <x v="3"/>
    </i>
    <i>
      <x/>
    </i>
    <i>
      <x v="2"/>
    </i>
    <i>
      <x v="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F6AC204-9F80-48DC-86D5-66C81D6CD21D}" sourceName="Platform">
  <pivotTables>
    <pivotTable tabId="9" name="PivotTable8"/>
    <pivotTable tabId="9" name="PivotTable10"/>
    <pivotTable tabId="9" name="PivotTable9"/>
    <pivotTable tabId="5" name="PivotTable2"/>
    <pivotTable tabId="5" name="PivotTable6"/>
    <pivotTable tabId="5" name="PivotTable7"/>
  </pivotTables>
  <data>
    <tabular pivotCacheId="1994776399">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7FB1C10C-7B4D-40E5-AD6D-E2BC921B1B4E}" sourceName="AgeGroup">
  <pivotTables>
    <pivotTable tabId="9" name="PivotTable8"/>
    <pivotTable tabId="9" name="PivotTable10"/>
    <pivotTable tabId="9" name="PivotTable9"/>
    <pivotTable tabId="5" name="PivotTable1"/>
    <pivotTable tabId="5" name="PivotTable3"/>
    <pivotTable tabId="5" name="PivotTable5"/>
    <pivotTable tabId="5" name="PivotTable6"/>
    <pivotTable tabId="5" name="PivotTable7"/>
  </pivotTables>
  <data>
    <tabular pivotCacheId="1994776399">
      <items count="5">
        <i x="2"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04D6EAA-6C94-4D70-AC68-E302D9E72840}" sourceName="Gender">
  <pivotTables>
    <pivotTable tabId="9" name="PivotTable8"/>
    <pivotTable tabId="9" name="PivotTable10"/>
    <pivotTable tabId="9" name="PivotTable9"/>
    <pivotTable tabId="5" name="PivotTable1"/>
    <pivotTable tabId="5" name="PivotTable2"/>
    <pivotTable tabId="5" name="PivotTable3"/>
    <pivotTable tabId="5" name="PivotTable5"/>
    <pivotTable tabId="5" name="PivotTable6"/>
  </pivotTables>
  <data>
    <tabular pivotCacheId="1994776399">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Type" xr10:uid="{1B420479-2A9F-4208-B58F-F1BD3EBEFCCA}" sourceName="SubscriptionType">
  <pivotTables>
    <pivotTable tabId="9" name="PivotTable8"/>
    <pivotTable tabId="9" name="PivotTable10"/>
    <pivotTable tabId="9" name="PivotTable9"/>
    <pivotTable tabId="5" name="PivotTable1"/>
    <pivotTable tabId="5" name="PivotTable2"/>
    <pivotTable tabId="5" name="PivotTable5"/>
    <pivotTable tabId="5" name="PivotTable6"/>
    <pivotTable tabId="5" name="PivotTable7"/>
  </pivotTables>
  <data>
    <tabular pivotCacheId="1994776399">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B908DF2-D9C2-489C-B46F-83675AB62DCD}" cache="Slicer_Platform" caption="Platform" rowHeight="234950"/>
  <slicer name="AgeGroup" xr10:uid="{A490CC7A-4928-4E2D-A1BA-5A9FE86CAFF4}" cache="Slicer_AgeGroup" caption="AgeGroup" rowHeight="234950"/>
  <slicer name="Gender" xr10:uid="{5ECB7C6A-247B-4AE6-94AA-A8A9AD77938F}" cache="Slicer_Gender" caption="Gender" rowHeight="234950"/>
  <slicer name="SubscriptionType" xr10:uid="{6773344C-469C-4DA7-B14D-10A309B68CFE}" cache="Slicer_SubscriptionType" caption="Subscription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F96469E3-B8F6-408E-BDD9-159E860DC15E}" cache="Slicer_Platform" caption="Platform" style="SlicerStyleLight3" rowHeight="234950"/>
  <slicer name="AgeGroup 1" xr10:uid="{3C62F687-5823-4D45-8821-D30A4FB3E35E}" cache="Slicer_AgeGroup" caption="AgeGroup" style="SlicerStyleLight3" rowHeight="234950"/>
  <slicer name="Gender 1" xr10:uid="{ECF2B234-E7D7-47FD-838D-46E36AB3C77E}" cache="Slicer_Gender" caption="Gender" style="SlicerStyleLight3" rowHeight="234950"/>
  <slicer name="SubscriptionType 1" xr10:uid="{5EB3917F-EBC6-4DE0-BF54-857E2DBDD427}" cache="Slicer_SubscriptionType" caption="SubscriptionType"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E2ED5D-801B-404C-90AD-F6D7C929199C}" name="Table2" displayName="Table2" ref="A1:J1001" totalsRowShown="0" headerRowDxfId="10">
  <autoFilter ref="A1:J1001" xr:uid="{4AE2ED5D-801B-404C-90AD-F6D7C929199C}"/>
  <tableColumns count="10">
    <tableColumn id="1" xr3:uid="{617414B4-FCDB-4293-8BB7-57E3D6ACB151}" name="CustomerID" dataDxfId="9"/>
    <tableColumn id="2" xr3:uid="{C907C824-3514-4301-AE6C-691BB4DF6442}" name="Platform" dataDxfId="8"/>
    <tableColumn id="3" xr3:uid="{00FB5457-E20A-4C92-BD21-9A8EF928AD62}" name="Age" dataDxfId="7"/>
    <tableColumn id="4" xr3:uid="{B7E92B9E-B62E-4E25-BBA0-26CBC7743DBF}" name="AgeGroup"/>
    <tableColumn id="5" xr3:uid="{A3C42F01-23C3-4059-B907-D40DC0787329}" name="Gender" dataDxfId="6"/>
    <tableColumn id="6" xr3:uid="{76622DE7-DBF4-450B-913F-BCE0C829F53D}" name="Location" dataDxfId="5"/>
    <tableColumn id="7" xr3:uid="{770D3B97-190C-419A-815D-D77B658C0A1F}" name="AccountAge_Months" dataDxfId="4"/>
    <tableColumn id="8" xr3:uid="{C34FCC0A-14AA-4AA4-8274-9410B09145A7}" name="SignupDate" dataDxfId="3"/>
    <tableColumn id="9" xr3:uid="{9C26ECC8-F3A3-483B-91E0-FCA98AD79F70}" name="PreferredLanguage" dataDxfId="2"/>
    <tableColumn id="10" xr3:uid="{91E53B7A-56BB-4146-9899-4C5EFCBB1A59}" name="SubscriptionTyp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ignupDate" xr10:uid="{B9BF7606-967B-4B01-8FC7-D729755BF3C3}" sourceName="SignupDate">
  <pivotTables>
    <pivotTable tabId="9" name="PivotTable8"/>
    <pivotTable tabId="9" name="PivotTable10"/>
    <pivotTable tabId="9" name="PivotTable9"/>
    <pivotTable tabId="5" name="PivotTable1"/>
    <pivotTable tabId="5" name="PivotTable2"/>
    <pivotTable tabId="5" name="PivotTable3"/>
    <pivotTable tabId="5" name="PivotTable5"/>
    <pivotTable tabId="5" name="PivotTable6"/>
    <pivotTable tabId="5" name="PivotTable7"/>
  </pivotTables>
  <state minimalRefreshVersion="6" lastRefreshVersion="6" pivotCacheId="1994776399" filterType="unknown">
    <bounds startDate="2019-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ignupDate" xr10:uid="{1CB23711-E9EC-4086-98DC-76438EFECAE2}" cache="NativeTimeline_SignupDate" caption="Year" level="0" selectionLevel="0"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ignupDate 1" xr10:uid="{3E192A16-A9B4-4C7D-9AF8-7B7196FC8B90}" cache="NativeTimeline_SignupDate" caption="Year" level="0" selectionLevel="0" scrollPosition="2019-01-01T00:00:00" style="TimeSlicerStyleDark3"/>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AFE5D-C8CF-4F0F-A418-814E57557367}">
  <dimension ref="A1:J1001"/>
  <sheetViews>
    <sheetView workbookViewId="0">
      <selection activeCell="F15" sqref="F15"/>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v>36</v>
      </c>
      <c r="D2" t="s">
        <v>12</v>
      </c>
      <c r="E2" t="s">
        <v>13</v>
      </c>
      <c r="F2" t="s">
        <v>14</v>
      </c>
      <c r="G2">
        <v>17</v>
      </c>
      <c r="H2" s="1">
        <v>44761</v>
      </c>
      <c r="I2" t="s">
        <v>15</v>
      </c>
      <c r="J2" t="s">
        <v>16</v>
      </c>
    </row>
    <row r="3" spans="1:10" x14ac:dyDescent="0.3">
      <c r="A3" t="s">
        <v>17</v>
      </c>
      <c r="B3" t="s">
        <v>11</v>
      </c>
      <c r="C3">
        <v>26</v>
      </c>
      <c r="D3" t="s">
        <v>18</v>
      </c>
      <c r="E3" t="s">
        <v>19</v>
      </c>
      <c r="F3" t="s">
        <v>20</v>
      </c>
      <c r="G3">
        <v>31</v>
      </c>
      <c r="H3" s="1">
        <v>44343</v>
      </c>
      <c r="I3" t="s">
        <v>21</v>
      </c>
      <c r="J3" t="s">
        <v>22</v>
      </c>
    </row>
    <row r="4" spans="1:10" x14ac:dyDescent="0.3">
      <c r="A4" t="s">
        <v>23</v>
      </c>
      <c r="B4" t="s">
        <v>24</v>
      </c>
      <c r="C4">
        <v>27</v>
      </c>
      <c r="D4" t="s">
        <v>18</v>
      </c>
      <c r="E4" t="s">
        <v>13</v>
      </c>
      <c r="F4" t="s">
        <v>25</v>
      </c>
      <c r="G4">
        <v>50</v>
      </c>
      <c r="H4" s="1">
        <v>43768</v>
      </c>
      <c r="I4" t="s">
        <v>26</v>
      </c>
      <c r="J4" t="s">
        <v>27</v>
      </c>
    </row>
    <row r="5" spans="1:10" x14ac:dyDescent="0.3">
      <c r="A5" t="s">
        <v>28</v>
      </c>
      <c r="B5" t="s">
        <v>24</v>
      </c>
      <c r="C5">
        <v>26</v>
      </c>
      <c r="D5" t="s">
        <v>18</v>
      </c>
      <c r="E5" t="s">
        <v>13</v>
      </c>
      <c r="F5" t="s">
        <v>20</v>
      </c>
      <c r="G5">
        <v>60</v>
      </c>
      <c r="H5" s="1">
        <v>43488</v>
      </c>
      <c r="I5" t="s">
        <v>29</v>
      </c>
      <c r="J5" t="s">
        <v>27</v>
      </c>
    </row>
    <row r="6" spans="1:10" x14ac:dyDescent="0.3">
      <c r="A6" t="s">
        <v>30</v>
      </c>
      <c r="B6" t="s">
        <v>31</v>
      </c>
      <c r="C6">
        <v>20</v>
      </c>
      <c r="D6" t="s">
        <v>32</v>
      </c>
      <c r="E6" t="s">
        <v>13</v>
      </c>
      <c r="F6" t="s">
        <v>33</v>
      </c>
      <c r="G6">
        <v>15</v>
      </c>
      <c r="H6" s="1">
        <v>44813</v>
      </c>
      <c r="I6" t="s">
        <v>34</v>
      </c>
      <c r="J6" t="s">
        <v>22</v>
      </c>
    </row>
    <row r="7" spans="1:10" x14ac:dyDescent="0.3">
      <c r="A7" t="s">
        <v>35</v>
      </c>
      <c r="B7" t="s">
        <v>31</v>
      </c>
      <c r="C7">
        <v>28</v>
      </c>
      <c r="D7" t="s">
        <v>18</v>
      </c>
      <c r="E7" t="s">
        <v>13</v>
      </c>
      <c r="F7" t="s">
        <v>36</v>
      </c>
      <c r="G7">
        <v>10</v>
      </c>
      <c r="H7" s="1">
        <v>44970</v>
      </c>
      <c r="I7" t="s">
        <v>21</v>
      </c>
      <c r="J7" t="s">
        <v>16</v>
      </c>
    </row>
    <row r="8" spans="1:10" x14ac:dyDescent="0.3">
      <c r="A8" t="s">
        <v>37</v>
      </c>
      <c r="B8" t="s">
        <v>31</v>
      </c>
      <c r="C8">
        <v>32</v>
      </c>
      <c r="D8" t="s">
        <v>18</v>
      </c>
      <c r="E8" t="s">
        <v>13</v>
      </c>
      <c r="F8" t="s">
        <v>38</v>
      </c>
      <c r="G8">
        <v>11</v>
      </c>
      <c r="H8" s="1">
        <v>44949</v>
      </c>
      <c r="I8" t="s">
        <v>39</v>
      </c>
      <c r="J8" t="s">
        <v>22</v>
      </c>
    </row>
    <row r="9" spans="1:10" x14ac:dyDescent="0.3">
      <c r="A9" t="s">
        <v>40</v>
      </c>
      <c r="B9" t="s">
        <v>11</v>
      </c>
      <c r="C9">
        <v>18</v>
      </c>
      <c r="D9" t="s">
        <v>32</v>
      </c>
      <c r="E9" t="s">
        <v>19</v>
      </c>
      <c r="F9" t="s">
        <v>14</v>
      </c>
      <c r="G9">
        <v>53</v>
      </c>
      <c r="H9" s="1">
        <v>43688</v>
      </c>
      <c r="I9" t="s">
        <v>34</v>
      </c>
      <c r="J9" t="s">
        <v>16</v>
      </c>
    </row>
    <row r="10" spans="1:10" x14ac:dyDescent="0.3">
      <c r="A10" t="s">
        <v>41</v>
      </c>
      <c r="B10" t="s">
        <v>42</v>
      </c>
      <c r="C10">
        <v>27</v>
      </c>
      <c r="D10" t="s">
        <v>18</v>
      </c>
      <c r="E10" t="s">
        <v>19</v>
      </c>
      <c r="F10" t="s">
        <v>20</v>
      </c>
      <c r="G10">
        <v>11</v>
      </c>
      <c r="H10" s="1">
        <v>44949</v>
      </c>
      <c r="I10" t="s">
        <v>34</v>
      </c>
      <c r="J10" t="s">
        <v>22</v>
      </c>
    </row>
    <row r="11" spans="1:10" x14ac:dyDescent="0.3">
      <c r="A11" t="s">
        <v>43</v>
      </c>
      <c r="B11" t="s">
        <v>42</v>
      </c>
      <c r="C11">
        <v>36</v>
      </c>
      <c r="D11" t="s">
        <v>12</v>
      </c>
      <c r="E11" t="s">
        <v>13</v>
      </c>
      <c r="F11" t="s">
        <v>20</v>
      </c>
      <c r="G11">
        <v>39</v>
      </c>
      <c r="H11" s="1">
        <v>44101</v>
      </c>
      <c r="I11" t="s">
        <v>29</v>
      </c>
      <c r="J11" t="s">
        <v>16</v>
      </c>
    </row>
    <row r="12" spans="1:10" x14ac:dyDescent="0.3">
      <c r="A12" t="s">
        <v>44</v>
      </c>
      <c r="B12" t="s">
        <v>11</v>
      </c>
      <c r="C12">
        <v>23</v>
      </c>
      <c r="D12" t="s">
        <v>32</v>
      </c>
      <c r="E12" t="s">
        <v>19</v>
      </c>
      <c r="F12" t="s">
        <v>33</v>
      </c>
      <c r="G12">
        <v>52</v>
      </c>
      <c r="H12" s="1">
        <v>43716</v>
      </c>
      <c r="I12" t="s">
        <v>15</v>
      </c>
      <c r="J12" t="s">
        <v>22</v>
      </c>
    </row>
    <row r="13" spans="1:10" x14ac:dyDescent="0.3">
      <c r="A13" t="s">
        <v>45</v>
      </c>
      <c r="B13" t="s">
        <v>31</v>
      </c>
      <c r="C13">
        <v>46</v>
      </c>
      <c r="D13" t="s">
        <v>46</v>
      </c>
      <c r="E13" t="s">
        <v>13</v>
      </c>
      <c r="F13" t="s">
        <v>38</v>
      </c>
      <c r="G13">
        <v>49</v>
      </c>
      <c r="H13" s="1">
        <v>43813</v>
      </c>
      <c r="I13" t="s">
        <v>47</v>
      </c>
      <c r="J13" t="s">
        <v>16</v>
      </c>
    </row>
    <row r="14" spans="1:10" x14ac:dyDescent="0.3">
      <c r="A14" t="s">
        <v>48</v>
      </c>
      <c r="B14" t="s">
        <v>11</v>
      </c>
      <c r="C14">
        <v>26</v>
      </c>
      <c r="D14" t="s">
        <v>18</v>
      </c>
      <c r="E14" t="s">
        <v>13</v>
      </c>
      <c r="F14" t="s">
        <v>36</v>
      </c>
      <c r="G14">
        <v>56</v>
      </c>
      <c r="H14" s="1">
        <v>43609</v>
      </c>
      <c r="I14" t="s">
        <v>49</v>
      </c>
      <c r="J14" t="s">
        <v>16</v>
      </c>
    </row>
    <row r="15" spans="1:10" x14ac:dyDescent="0.3">
      <c r="A15" t="s">
        <v>50</v>
      </c>
      <c r="B15" t="s">
        <v>31</v>
      </c>
      <c r="C15">
        <v>37</v>
      </c>
      <c r="D15" t="s">
        <v>12</v>
      </c>
      <c r="E15" t="s">
        <v>13</v>
      </c>
      <c r="F15" t="s">
        <v>33</v>
      </c>
      <c r="G15">
        <v>31</v>
      </c>
      <c r="H15" s="1">
        <v>44344</v>
      </c>
      <c r="I15" t="s">
        <v>39</v>
      </c>
      <c r="J15" t="s">
        <v>27</v>
      </c>
    </row>
    <row r="16" spans="1:10" x14ac:dyDescent="0.3">
      <c r="A16" t="s">
        <v>51</v>
      </c>
      <c r="B16" t="s">
        <v>31</v>
      </c>
      <c r="C16">
        <v>27</v>
      </c>
      <c r="D16" t="s">
        <v>18</v>
      </c>
      <c r="E16" t="s">
        <v>13</v>
      </c>
      <c r="F16" t="s">
        <v>20</v>
      </c>
      <c r="G16">
        <v>12</v>
      </c>
      <c r="H16" s="1">
        <v>44922</v>
      </c>
      <c r="I16" t="s">
        <v>49</v>
      </c>
      <c r="J16" t="s">
        <v>27</v>
      </c>
    </row>
    <row r="17" spans="1:10" x14ac:dyDescent="0.3">
      <c r="A17" t="s">
        <v>52</v>
      </c>
      <c r="B17" t="s">
        <v>11</v>
      </c>
      <c r="C17">
        <v>18</v>
      </c>
      <c r="D17" t="s">
        <v>32</v>
      </c>
      <c r="E17" t="s">
        <v>19</v>
      </c>
      <c r="F17" t="s">
        <v>36</v>
      </c>
      <c r="G17">
        <v>11</v>
      </c>
      <c r="H17" s="1">
        <v>44945</v>
      </c>
      <c r="I17" t="s">
        <v>15</v>
      </c>
      <c r="J17" t="s">
        <v>16</v>
      </c>
    </row>
    <row r="18" spans="1:10" x14ac:dyDescent="0.3">
      <c r="A18" t="s">
        <v>53</v>
      </c>
      <c r="B18" t="s">
        <v>31</v>
      </c>
      <c r="C18">
        <v>46</v>
      </c>
      <c r="D18" t="s">
        <v>46</v>
      </c>
      <c r="E18" t="s">
        <v>19</v>
      </c>
      <c r="F18" t="s">
        <v>54</v>
      </c>
      <c r="G18">
        <v>5</v>
      </c>
      <c r="H18" s="1">
        <v>45122</v>
      </c>
      <c r="I18" t="s">
        <v>29</v>
      </c>
      <c r="J18" t="s">
        <v>22</v>
      </c>
    </row>
    <row r="19" spans="1:10" x14ac:dyDescent="0.3">
      <c r="A19" t="s">
        <v>55</v>
      </c>
      <c r="B19" t="s">
        <v>24</v>
      </c>
      <c r="C19">
        <v>24</v>
      </c>
      <c r="D19" t="s">
        <v>32</v>
      </c>
      <c r="E19" t="s">
        <v>13</v>
      </c>
      <c r="F19" t="s">
        <v>56</v>
      </c>
      <c r="G19">
        <v>17</v>
      </c>
      <c r="H19" s="1">
        <v>44774</v>
      </c>
      <c r="I19" t="s">
        <v>21</v>
      </c>
      <c r="J19" t="s">
        <v>27</v>
      </c>
    </row>
    <row r="20" spans="1:10" x14ac:dyDescent="0.3">
      <c r="A20" t="s">
        <v>57</v>
      </c>
      <c r="B20" t="s">
        <v>24</v>
      </c>
      <c r="C20">
        <v>32</v>
      </c>
      <c r="D20" t="s">
        <v>18</v>
      </c>
      <c r="E20" t="s">
        <v>13</v>
      </c>
      <c r="F20" t="s">
        <v>56</v>
      </c>
      <c r="G20">
        <v>5</v>
      </c>
      <c r="H20" s="1">
        <v>45122</v>
      </c>
      <c r="I20" t="s">
        <v>15</v>
      </c>
      <c r="J20" t="s">
        <v>27</v>
      </c>
    </row>
    <row r="21" spans="1:10" x14ac:dyDescent="0.3">
      <c r="A21" t="s">
        <v>58</v>
      </c>
      <c r="B21" t="s">
        <v>11</v>
      </c>
      <c r="C21">
        <v>36</v>
      </c>
      <c r="D21" t="s">
        <v>12</v>
      </c>
      <c r="E21" t="s">
        <v>19</v>
      </c>
      <c r="F21" t="s">
        <v>54</v>
      </c>
      <c r="G21">
        <v>19</v>
      </c>
      <c r="H21" s="1">
        <v>44721</v>
      </c>
      <c r="I21" t="s">
        <v>29</v>
      </c>
      <c r="J21" t="s">
        <v>22</v>
      </c>
    </row>
    <row r="22" spans="1:10" x14ac:dyDescent="0.3">
      <c r="A22" t="s">
        <v>59</v>
      </c>
      <c r="B22" t="s">
        <v>31</v>
      </c>
      <c r="C22">
        <v>30</v>
      </c>
      <c r="D22" t="s">
        <v>18</v>
      </c>
      <c r="E22" t="s">
        <v>19</v>
      </c>
      <c r="F22" t="s">
        <v>14</v>
      </c>
      <c r="G22">
        <v>4</v>
      </c>
      <c r="H22" s="1">
        <v>45172</v>
      </c>
      <c r="I22" t="s">
        <v>47</v>
      </c>
      <c r="J22" t="s">
        <v>27</v>
      </c>
    </row>
    <row r="23" spans="1:10" x14ac:dyDescent="0.3">
      <c r="A23" t="s">
        <v>60</v>
      </c>
      <c r="B23" t="s">
        <v>61</v>
      </c>
      <c r="C23">
        <v>33</v>
      </c>
      <c r="D23" t="s">
        <v>18</v>
      </c>
      <c r="E23" t="s">
        <v>19</v>
      </c>
      <c r="F23" t="s">
        <v>56</v>
      </c>
      <c r="G23">
        <v>40</v>
      </c>
      <c r="H23" s="1">
        <v>44070</v>
      </c>
      <c r="I23" t="s">
        <v>62</v>
      </c>
      <c r="J23" t="s">
        <v>16</v>
      </c>
    </row>
    <row r="24" spans="1:10" x14ac:dyDescent="0.3">
      <c r="A24" t="s">
        <v>63</v>
      </c>
      <c r="B24" t="s">
        <v>42</v>
      </c>
      <c r="C24">
        <v>39</v>
      </c>
      <c r="D24" t="s">
        <v>12</v>
      </c>
      <c r="E24" t="s">
        <v>19</v>
      </c>
      <c r="F24" t="s">
        <v>64</v>
      </c>
      <c r="G24">
        <v>43</v>
      </c>
      <c r="H24" s="1">
        <v>43991</v>
      </c>
      <c r="I24" t="s">
        <v>39</v>
      </c>
      <c r="J24" t="s">
        <v>65</v>
      </c>
    </row>
    <row r="25" spans="1:10" x14ac:dyDescent="0.3">
      <c r="A25" t="s">
        <v>66</v>
      </c>
      <c r="B25" t="s">
        <v>42</v>
      </c>
      <c r="C25">
        <v>35</v>
      </c>
      <c r="D25" t="s">
        <v>12</v>
      </c>
      <c r="E25" t="s">
        <v>19</v>
      </c>
      <c r="F25" t="s">
        <v>20</v>
      </c>
      <c r="G25">
        <v>19</v>
      </c>
      <c r="H25" s="1">
        <v>44716</v>
      </c>
      <c r="I25" t="s">
        <v>39</v>
      </c>
      <c r="J25" t="s">
        <v>22</v>
      </c>
    </row>
    <row r="26" spans="1:10" x14ac:dyDescent="0.3">
      <c r="A26" t="s">
        <v>67</v>
      </c>
      <c r="B26" t="s">
        <v>31</v>
      </c>
      <c r="C26">
        <v>26</v>
      </c>
      <c r="D26" t="s">
        <v>18</v>
      </c>
      <c r="E26" t="s">
        <v>19</v>
      </c>
      <c r="F26" t="s">
        <v>64</v>
      </c>
      <c r="G26">
        <v>23</v>
      </c>
      <c r="H26" s="1">
        <v>44590</v>
      </c>
      <c r="I26" t="s">
        <v>21</v>
      </c>
      <c r="J26" t="s">
        <v>22</v>
      </c>
    </row>
    <row r="27" spans="1:10" x14ac:dyDescent="0.3">
      <c r="A27" t="s">
        <v>68</v>
      </c>
      <c r="B27" t="s">
        <v>31</v>
      </c>
      <c r="C27">
        <v>29</v>
      </c>
      <c r="D27" t="s">
        <v>18</v>
      </c>
      <c r="E27" t="s">
        <v>19</v>
      </c>
      <c r="F27" t="s">
        <v>14</v>
      </c>
      <c r="G27">
        <v>3</v>
      </c>
      <c r="H27" s="1">
        <v>45184</v>
      </c>
      <c r="I27" t="s">
        <v>29</v>
      </c>
      <c r="J27" t="s">
        <v>27</v>
      </c>
    </row>
    <row r="28" spans="1:10" x14ac:dyDescent="0.3">
      <c r="A28" t="s">
        <v>69</v>
      </c>
      <c r="B28" t="s">
        <v>24</v>
      </c>
      <c r="C28">
        <v>47</v>
      </c>
      <c r="D28" t="s">
        <v>46</v>
      </c>
      <c r="E28" t="s">
        <v>19</v>
      </c>
      <c r="F28" t="s">
        <v>20</v>
      </c>
      <c r="G28">
        <v>25</v>
      </c>
      <c r="H28" s="1">
        <v>44517</v>
      </c>
      <c r="I28" t="s">
        <v>49</v>
      </c>
      <c r="J28" t="s">
        <v>16</v>
      </c>
    </row>
    <row r="29" spans="1:10" x14ac:dyDescent="0.3">
      <c r="A29" t="s">
        <v>70</v>
      </c>
      <c r="B29" t="s">
        <v>11</v>
      </c>
      <c r="C29">
        <v>26</v>
      </c>
      <c r="D29" t="s">
        <v>18</v>
      </c>
      <c r="E29" t="s">
        <v>19</v>
      </c>
      <c r="F29" t="s">
        <v>20</v>
      </c>
      <c r="G29">
        <v>29</v>
      </c>
      <c r="H29" s="1">
        <v>44401</v>
      </c>
      <c r="I29" t="s">
        <v>49</v>
      </c>
      <c r="J29" t="s">
        <v>22</v>
      </c>
    </row>
    <row r="30" spans="1:10" x14ac:dyDescent="0.3">
      <c r="A30" t="s">
        <v>71</v>
      </c>
      <c r="B30" t="s">
        <v>24</v>
      </c>
      <c r="C30">
        <v>28</v>
      </c>
      <c r="D30" t="s">
        <v>18</v>
      </c>
      <c r="E30" t="s">
        <v>13</v>
      </c>
      <c r="F30" t="s">
        <v>20</v>
      </c>
      <c r="G30">
        <v>35</v>
      </c>
      <c r="H30" s="1">
        <v>44216</v>
      </c>
      <c r="I30" t="s">
        <v>26</v>
      </c>
      <c r="J30" t="s">
        <v>22</v>
      </c>
    </row>
    <row r="31" spans="1:10" x14ac:dyDescent="0.3">
      <c r="A31" t="s">
        <v>72</v>
      </c>
      <c r="B31" t="s">
        <v>11</v>
      </c>
      <c r="C31">
        <v>28</v>
      </c>
      <c r="D31" t="s">
        <v>18</v>
      </c>
      <c r="E31" t="s">
        <v>13</v>
      </c>
      <c r="F31" t="s">
        <v>20</v>
      </c>
      <c r="G31">
        <v>11</v>
      </c>
      <c r="H31" s="1">
        <v>44961</v>
      </c>
      <c r="I31" t="s">
        <v>47</v>
      </c>
      <c r="J31" t="s">
        <v>16</v>
      </c>
    </row>
    <row r="32" spans="1:10" x14ac:dyDescent="0.3">
      <c r="A32" t="s">
        <v>73</v>
      </c>
      <c r="B32" t="s">
        <v>31</v>
      </c>
      <c r="C32">
        <v>35</v>
      </c>
      <c r="D32" t="s">
        <v>12</v>
      </c>
      <c r="E32" t="s">
        <v>19</v>
      </c>
      <c r="F32" t="s">
        <v>25</v>
      </c>
      <c r="G32">
        <v>52</v>
      </c>
      <c r="H32" s="1">
        <v>43725</v>
      </c>
      <c r="I32" t="s">
        <v>29</v>
      </c>
      <c r="J32" t="s">
        <v>22</v>
      </c>
    </row>
    <row r="33" spans="1:10" x14ac:dyDescent="0.3">
      <c r="A33" t="s">
        <v>74</v>
      </c>
      <c r="B33" t="s">
        <v>61</v>
      </c>
      <c r="C33">
        <v>20</v>
      </c>
      <c r="D33" t="s">
        <v>32</v>
      </c>
      <c r="E33" t="s">
        <v>19</v>
      </c>
      <c r="F33" t="s">
        <v>36</v>
      </c>
      <c r="G33">
        <v>42</v>
      </c>
      <c r="H33" s="1">
        <v>44008</v>
      </c>
      <c r="I33" t="s">
        <v>62</v>
      </c>
      <c r="J33" t="s">
        <v>27</v>
      </c>
    </row>
    <row r="34" spans="1:10" x14ac:dyDescent="0.3">
      <c r="A34" t="s">
        <v>75</v>
      </c>
      <c r="B34" t="s">
        <v>24</v>
      </c>
      <c r="C34">
        <v>36</v>
      </c>
      <c r="D34" t="s">
        <v>12</v>
      </c>
      <c r="E34" t="s">
        <v>13</v>
      </c>
      <c r="F34" t="s">
        <v>36</v>
      </c>
      <c r="G34">
        <v>6</v>
      </c>
      <c r="H34" s="1">
        <v>45104</v>
      </c>
      <c r="I34" t="s">
        <v>21</v>
      </c>
      <c r="J34" t="s">
        <v>16</v>
      </c>
    </row>
    <row r="35" spans="1:10" x14ac:dyDescent="0.3">
      <c r="A35" t="s">
        <v>76</v>
      </c>
      <c r="B35" t="s">
        <v>11</v>
      </c>
      <c r="C35">
        <v>25</v>
      </c>
      <c r="D35" t="s">
        <v>18</v>
      </c>
      <c r="E35" t="s">
        <v>13</v>
      </c>
      <c r="F35" t="s">
        <v>20</v>
      </c>
      <c r="G35">
        <v>57</v>
      </c>
      <c r="H35" s="1">
        <v>43557</v>
      </c>
      <c r="I35" t="s">
        <v>49</v>
      </c>
      <c r="J35" t="s">
        <v>27</v>
      </c>
    </row>
    <row r="36" spans="1:10" x14ac:dyDescent="0.3">
      <c r="A36" t="s">
        <v>77</v>
      </c>
      <c r="B36" t="s">
        <v>42</v>
      </c>
      <c r="C36">
        <v>52</v>
      </c>
      <c r="D36" t="s">
        <v>46</v>
      </c>
      <c r="E36" t="s">
        <v>19</v>
      </c>
      <c r="F36" t="s">
        <v>64</v>
      </c>
      <c r="G36">
        <v>37</v>
      </c>
      <c r="H36" s="1">
        <v>44160</v>
      </c>
      <c r="I36" t="s">
        <v>62</v>
      </c>
      <c r="J36" t="s">
        <v>22</v>
      </c>
    </row>
    <row r="37" spans="1:10" x14ac:dyDescent="0.3">
      <c r="A37" t="s">
        <v>78</v>
      </c>
      <c r="B37" t="s">
        <v>61</v>
      </c>
      <c r="C37">
        <v>42</v>
      </c>
      <c r="D37" t="s">
        <v>12</v>
      </c>
      <c r="E37" t="s">
        <v>19</v>
      </c>
      <c r="F37" t="s">
        <v>64</v>
      </c>
      <c r="G37">
        <v>41</v>
      </c>
      <c r="H37" s="1">
        <v>44050</v>
      </c>
      <c r="I37" t="s">
        <v>47</v>
      </c>
      <c r="J37" t="s">
        <v>16</v>
      </c>
    </row>
    <row r="38" spans="1:10" x14ac:dyDescent="0.3">
      <c r="A38" t="s">
        <v>79</v>
      </c>
      <c r="B38" t="s">
        <v>42</v>
      </c>
      <c r="C38">
        <v>22</v>
      </c>
      <c r="D38" t="s">
        <v>32</v>
      </c>
      <c r="E38" t="s">
        <v>19</v>
      </c>
      <c r="F38" t="s">
        <v>14</v>
      </c>
      <c r="G38">
        <v>57</v>
      </c>
      <c r="H38" s="1">
        <v>43553</v>
      </c>
      <c r="I38" t="s">
        <v>29</v>
      </c>
      <c r="J38" t="s">
        <v>27</v>
      </c>
    </row>
    <row r="39" spans="1:10" x14ac:dyDescent="0.3">
      <c r="A39" t="s">
        <v>80</v>
      </c>
      <c r="B39" t="s">
        <v>31</v>
      </c>
      <c r="C39">
        <v>22</v>
      </c>
      <c r="D39" t="s">
        <v>32</v>
      </c>
      <c r="E39" t="s">
        <v>13</v>
      </c>
      <c r="F39" t="s">
        <v>54</v>
      </c>
      <c r="G39">
        <v>33</v>
      </c>
      <c r="H39" s="1">
        <v>44293</v>
      </c>
      <c r="I39" t="s">
        <v>29</v>
      </c>
      <c r="J39" t="s">
        <v>27</v>
      </c>
    </row>
    <row r="40" spans="1:10" x14ac:dyDescent="0.3">
      <c r="A40" t="s">
        <v>81</v>
      </c>
      <c r="B40" t="s">
        <v>61</v>
      </c>
      <c r="C40">
        <v>25</v>
      </c>
      <c r="D40" t="s">
        <v>18</v>
      </c>
      <c r="E40" t="s">
        <v>19</v>
      </c>
      <c r="F40" t="s">
        <v>64</v>
      </c>
      <c r="G40">
        <v>28</v>
      </c>
      <c r="H40" s="1">
        <v>44450</v>
      </c>
      <c r="I40" t="s">
        <v>15</v>
      </c>
      <c r="J40" t="s">
        <v>16</v>
      </c>
    </row>
    <row r="41" spans="1:10" x14ac:dyDescent="0.3">
      <c r="A41" t="s">
        <v>82</v>
      </c>
      <c r="B41" t="s">
        <v>31</v>
      </c>
      <c r="C41">
        <v>24</v>
      </c>
      <c r="D41" t="s">
        <v>32</v>
      </c>
      <c r="E41" t="s">
        <v>19</v>
      </c>
      <c r="F41" t="s">
        <v>56</v>
      </c>
      <c r="G41">
        <v>5</v>
      </c>
      <c r="H41" s="1">
        <v>45121</v>
      </c>
      <c r="I41" t="s">
        <v>62</v>
      </c>
      <c r="J41" t="s">
        <v>27</v>
      </c>
    </row>
    <row r="42" spans="1:10" x14ac:dyDescent="0.3">
      <c r="A42" t="s">
        <v>83</v>
      </c>
      <c r="B42" t="s">
        <v>61</v>
      </c>
      <c r="C42">
        <v>35</v>
      </c>
      <c r="D42" t="s">
        <v>12</v>
      </c>
      <c r="E42" t="s">
        <v>13</v>
      </c>
      <c r="F42" t="s">
        <v>33</v>
      </c>
      <c r="G42">
        <v>53</v>
      </c>
      <c r="H42" s="1">
        <v>43676</v>
      </c>
      <c r="I42" t="s">
        <v>26</v>
      </c>
      <c r="J42" t="s">
        <v>27</v>
      </c>
    </row>
    <row r="43" spans="1:10" x14ac:dyDescent="0.3">
      <c r="A43" t="s">
        <v>84</v>
      </c>
      <c r="B43" t="s">
        <v>11</v>
      </c>
      <c r="C43">
        <v>18</v>
      </c>
      <c r="D43" t="s">
        <v>32</v>
      </c>
      <c r="E43" t="s">
        <v>13</v>
      </c>
      <c r="F43" t="s">
        <v>25</v>
      </c>
      <c r="G43">
        <v>34</v>
      </c>
      <c r="H43" s="1">
        <v>44250</v>
      </c>
      <c r="I43" t="s">
        <v>34</v>
      </c>
      <c r="J43" t="s">
        <v>16</v>
      </c>
    </row>
    <row r="44" spans="1:10" x14ac:dyDescent="0.3">
      <c r="A44" t="s">
        <v>85</v>
      </c>
      <c r="B44" t="s">
        <v>31</v>
      </c>
      <c r="C44">
        <v>33</v>
      </c>
      <c r="D44" t="s">
        <v>18</v>
      </c>
      <c r="E44" t="s">
        <v>13</v>
      </c>
      <c r="F44" t="s">
        <v>33</v>
      </c>
      <c r="G44">
        <v>52</v>
      </c>
      <c r="H44" s="1">
        <v>43710</v>
      </c>
      <c r="I44" t="s">
        <v>15</v>
      </c>
      <c r="J44" t="s">
        <v>22</v>
      </c>
    </row>
    <row r="45" spans="1:10" x14ac:dyDescent="0.3">
      <c r="A45" t="s">
        <v>86</v>
      </c>
      <c r="B45" t="s">
        <v>11</v>
      </c>
      <c r="C45">
        <v>22</v>
      </c>
      <c r="D45" t="s">
        <v>32</v>
      </c>
      <c r="E45" t="s">
        <v>13</v>
      </c>
      <c r="F45" t="s">
        <v>33</v>
      </c>
      <c r="G45">
        <v>23</v>
      </c>
      <c r="H45" s="1">
        <v>44585</v>
      </c>
      <c r="I45" t="s">
        <v>34</v>
      </c>
      <c r="J45" t="s">
        <v>22</v>
      </c>
    </row>
    <row r="46" spans="1:10" x14ac:dyDescent="0.3">
      <c r="A46" t="s">
        <v>87</v>
      </c>
      <c r="B46" t="s">
        <v>11</v>
      </c>
      <c r="C46">
        <v>21</v>
      </c>
      <c r="D46" t="s">
        <v>32</v>
      </c>
      <c r="E46" t="s">
        <v>13</v>
      </c>
      <c r="F46" t="s">
        <v>88</v>
      </c>
      <c r="G46">
        <v>52</v>
      </c>
      <c r="H46" s="1">
        <v>43706</v>
      </c>
      <c r="I46" t="s">
        <v>62</v>
      </c>
      <c r="J46" t="s">
        <v>27</v>
      </c>
    </row>
    <row r="47" spans="1:10" x14ac:dyDescent="0.3">
      <c r="A47" t="s">
        <v>89</v>
      </c>
      <c r="B47" t="s">
        <v>24</v>
      </c>
      <c r="C47">
        <v>40</v>
      </c>
      <c r="D47" t="s">
        <v>12</v>
      </c>
      <c r="E47" t="s">
        <v>19</v>
      </c>
      <c r="F47" t="s">
        <v>36</v>
      </c>
      <c r="G47">
        <v>8</v>
      </c>
      <c r="H47" s="1">
        <v>45052</v>
      </c>
      <c r="I47" t="s">
        <v>47</v>
      </c>
      <c r="J47" t="s">
        <v>27</v>
      </c>
    </row>
    <row r="48" spans="1:10" x14ac:dyDescent="0.3">
      <c r="A48" t="s">
        <v>90</v>
      </c>
      <c r="B48" t="s">
        <v>11</v>
      </c>
      <c r="C48">
        <v>20</v>
      </c>
      <c r="D48" t="s">
        <v>32</v>
      </c>
      <c r="E48" t="s">
        <v>13</v>
      </c>
      <c r="F48" t="s">
        <v>88</v>
      </c>
      <c r="G48">
        <v>21</v>
      </c>
      <c r="H48" s="1">
        <v>44640</v>
      </c>
      <c r="I48" t="s">
        <v>29</v>
      </c>
      <c r="J48" t="s">
        <v>65</v>
      </c>
    </row>
    <row r="49" spans="1:10" x14ac:dyDescent="0.3">
      <c r="A49" t="s">
        <v>91</v>
      </c>
      <c r="B49" t="s">
        <v>24</v>
      </c>
      <c r="C49">
        <v>45</v>
      </c>
      <c r="D49" t="s">
        <v>46</v>
      </c>
      <c r="E49" t="s">
        <v>19</v>
      </c>
      <c r="F49" t="s">
        <v>25</v>
      </c>
      <c r="G49">
        <v>42</v>
      </c>
      <c r="H49" s="1">
        <v>44014</v>
      </c>
      <c r="I49" t="s">
        <v>29</v>
      </c>
      <c r="J49" t="s">
        <v>65</v>
      </c>
    </row>
    <row r="50" spans="1:10" x14ac:dyDescent="0.3">
      <c r="A50" t="s">
        <v>92</v>
      </c>
      <c r="B50" t="s">
        <v>24</v>
      </c>
      <c r="C50">
        <v>30</v>
      </c>
      <c r="D50" t="s">
        <v>18</v>
      </c>
      <c r="E50" t="s">
        <v>13</v>
      </c>
      <c r="F50" t="s">
        <v>14</v>
      </c>
      <c r="G50">
        <v>49</v>
      </c>
      <c r="H50" s="1">
        <v>43815</v>
      </c>
      <c r="I50" t="s">
        <v>21</v>
      </c>
      <c r="J50" t="s">
        <v>22</v>
      </c>
    </row>
    <row r="51" spans="1:10" x14ac:dyDescent="0.3">
      <c r="A51" t="s">
        <v>93</v>
      </c>
      <c r="B51" t="s">
        <v>61</v>
      </c>
      <c r="C51">
        <v>21</v>
      </c>
      <c r="D51" t="s">
        <v>32</v>
      </c>
      <c r="E51" t="s">
        <v>19</v>
      </c>
      <c r="F51" t="s">
        <v>38</v>
      </c>
      <c r="G51">
        <v>5</v>
      </c>
      <c r="H51" s="1">
        <v>45140</v>
      </c>
      <c r="I51" t="s">
        <v>39</v>
      </c>
      <c r="J51" t="s">
        <v>22</v>
      </c>
    </row>
    <row r="52" spans="1:10" x14ac:dyDescent="0.3">
      <c r="A52" t="s">
        <v>94</v>
      </c>
      <c r="B52" t="s">
        <v>24</v>
      </c>
      <c r="C52">
        <v>18</v>
      </c>
      <c r="D52" t="s">
        <v>32</v>
      </c>
      <c r="E52" t="s">
        <v>13</v>
      </c>
      <c r="F52" t="s">
        <v>25</v>
      </c>
      <c r="G52">
        <v>30</v>
      </c>
      <c r="H52" s="1">
        <v>44378</v>
      </c>
      <c r="I52" t="s">
        <v>34</v>
      </c>
      <c r="J52" t="s">
        <v>27</v>
      </c>
    </row>
    <row r="53" spans="1:10" x14ac:dyDescent="0.3">
      <c r="A53" t="s">
        <v>95</v>
      </c>
      <c r="B53" t="s">
        <v>31</v>
      </c>
      <c r="C53">
        <v>37</v>
      </c>
      <c r="D53" t="s">
        <v>12</v>
      </c>
      <c r="E53" t="s">
        <v>19</v>
      </c>
      <c r="F53" t="s">
        <v>36</v>
      </c>
      <c r="G53">
        <v>36</v>
      </c>
      <c r="H53" s="1">
        <v>44200</v>
      </c>
      <c r="I53" t="s">
        <v>26</v>
      </c>
      <c r="J53" t="s">
        <v>65</v>
      </c>
    </row>
    <row r="54" spans="1:10" x14ac:dyDescent="0.3">
      <c r="A54" t="s">
        <v>96</v>
      </c>
      <c r="B54" t="s">
        <v>31</v>
      </c>
      <c r="C54">
        <v>35</v>
      </c>
      <c r="D54" t="s">
        <v>12</v>
      </c>
      <c r="E54" t="s">
        <v>13</v>
      </c>
      <c r="F54" t="s">
        <v>36</v>
      </c>
      <c r="G54">
        <v>20</v>
      </c>
      <c r="H54" s="1">
        <v>44672</v>
      </c>
      <c r="I54" t="s">
        <v>49</v>
      </c>
      <c r="J54" t="s">
        <v>22</v>
      </c>
    </row>
    <row r="55" spans="1:10" x14ac:dyDescent="0.3">
      <c r="A55" t="s">
        <v>97</v>
      </c>
      <c r="B55" t="s">
        <v>24</v>
      </c>
      <c r="C55">
        <v>39</v>
      </c>
      <c r="D55" t="s">
        <v>12</v>
      </c>
      <c r="E55" t="s">
        <v>13</v>
      </c>
      <c r="F55" t="s">
        <v>33</v>
      </c>
      <c r="G55">
        <v>25</v>
      </c>
      <c r="H55" s="1">
        <v>44522</v>
      </c>
      <c r="I55" t="s">
        <v>26</v>
      </c>
      <c r="J55" t="s">
        <v>27</v>
      </c>
    </row>
    <row r="56" spans="1:10" x14ac:dyDescent="0.3">
      <c r="A56" t="s">
        <v>98</v>
      </c>
      <c r="B56" t="s">
        <v>31</v>
      </c>
      <c r="C56">
        <v>35</v>
      </c>
      <c r="D56" t="s">
        <v>12</v>
      </c>
      <c r="E56" t="s">
        <v>13</v>
      </c>
      <c r="F56" t="s">
        <v>33</v>
      </c>
      <c r="G56">
        <v>1</v>
      </c>
      <c r="H56" s="1">
        <v>45234</v>
      </c>
      <c r="I56" t="s">
        <v>62</v>
      </c>
      <c r="J56" t="s">
        <v>27</v>
      </c>
    </row>
    <row r="57" spans="1:10" x14ac:dyDescent="0.3">
      <c r="A57" t="s">
        <v>99</v>
      </c>
      <c r="B57" t="s">
        <v>31</v>
      </c>
      <c r="C57">
        <v>25</v>
      </c>
      <c r="D57" t="s">
        <v>18</v>
      </c>
      <c r="E57" t="s">
        <v>19</v>
      </c>
      <c r="F57" t="s">
        <v>36</v>
      </c>
      <c r="G57">
        <v>17</v>
      </c>
      <c r="H57" s="1">
        <v>44763</v>
      </c>
      <c r="I57" t="s">
        <v>26</v>
      </c>
      <c r="J57" t="s">
        <v>27</v>
      </c>
    </row>
    <row r="58" spans="1:10" x14ac:dyDescent="0.3">
      <c r="A58" t="s">
        <v>100</v>
      </c>
      <c r="B58" t="s">
        <v>42</v>
      </c>
      <c r="C58">
        <v>32</v>
      </c>
      <c r="D58" t="s">
        <v>18</v>
      </c>
      <c r="E58" t="s">
        <v>13</v>
      </c>
      <c r="F58" t="s">
        <v>25</v>
      </c>
      <c r="G58">
        <v>20</v>
      </c>
      <c r="H58" s="1">
        <v>44683</v>
      </c>
      <c r="I58" t="s">
        <v>21</v>
      </c>
      <c r="J58" t="s">
        <v>22</v>
      </c>
    </row>
    <row r="59" spans="1:10" x14ac:dyDescent="0.3">
      <c r="A59" t="s">
        <v>101</v>
      </c>
      <c r="B59" t="s">
        <v>24</v>
      </c>
      <c r="C59">
        <v>23</v>
      </c>
      <c r="D59" t="s">
        <v>32</v>
      </c>
      <c r="E59" t="s">
        <v>13</v>
      </c>
      <c r="F59" t="s">
        <v>20</v>
      </c>
      <c r="G59">
        <v>40</v>
      </c>
      <c r="H59" s="1">
        <v>44091</v>
      </c>
      <c r="I59" t="s">
        <v>49</v>
      </c>
      <c r="J59" t="s">
        <v>16</v>
      </c>
    </row>
    <row r="60" spans="1:10" x14ac:dyDescent="0.3">
      <c r="A60" t="s">
        <v>102</v>
      </c>
      <c r="B60" t="s">
        <v>31</v>
      </c>
      <c r="C60">
        <v>21</v>
      </c>
      <c r="D60" t="s">
        <v>32</v>
      </c>
      <c r="E60" t="s">
        <v>19</v>
      </c>
      <c r="F60" t="s">
        <v>54</v>
      </c>
      <c r="G60">
        <v>35</v>
      </c>
      <c r="H60" s="1">
        <v>44234</v>
      </c>
      <c r="I60" t="s">
        <v>34</v>
      </c>
      <c r="J60" t="s">
        <v>22</v>
      </c>
    </row>
    <row r="61" spans="1:10" x14ac:dyDescent="0.3">
      <c r="A61" t="s">
        <v>103</v>
      </c>
      <c r="B61" t="s">
        <v>42</v>
      </c>
      <c r="C61">
        <v>18</v>
      </c>
      <c r="D61" t="s">
        <v>32</v>
      </c>
      <c r="E61" t="s">
        <v>13</v>
      </c>
      <c r="F61" t="s">
        <v>88</v>
      </c>
      <c r="G61">
        <v>48</v>
      </c>
      <c r="H61" s="1">
        <v>43844</v>
      </c>
      <c r="I61" t="s">
        <v>49</v>
      </c>
      <c r="J61" t="s">
        <v>27</v>
      </c>
    </row>
    <row r="62" spans="1:10" x14ac:dyDescent="0.3">
      <c r="A62" t="s">
        <v>104</v>
      </c>
      <c r="B62" t="s">
        <v>61</v>
      </c>
      <c r="C62">
        <v>27</v>
      </c>
      <c r="D62" t="s">
        <v>18</v>
      </c>
      <c r="E62" t="s">
        <v>105</v>
      </c>
      <c r="F62" t="s">
        <v>38</v>
      </c>
      <c r="G62">
        <v>30</v>
      </c>
      <c r="H62" s="1">
        <v>44374</v>
      </c>
      <c r="I62" t="s">
        <v>29</v>
      </c>
      <c r="J62" t="s">
        <v>22</v>
      </c>
    </row>
    <row r="63" spans="1:10" x14ac:dyDescent="0.3">
      <c r="A63" t="s">
        <v>106</v>
      </c>
      <c r="B63" t="s">
        <v>31</v>
      </c>
      <c r="C63">
        <v>26</v>
      </c>
      <c r="D63" t="s">
        <v>18</v>
      </c>
      <c r="E63" t="s">
        <v>19</v>
      </c>
      <c r="F63" t="s">
        <v>88</v>
      </c>
      <c r="G63">
        <v>47</v>
      </c>
      <c r="H63" s="1">
        <v>43866</v>
      </c>
      <c r="I63" t="s">
        <v>39</v>
      </c>
      <c r="J63" t="s">
        <v>16</v>
      </c>
    </row>
    <row r="64" spans="1:10" x14ac:dyDescent="0.3">
      <c r="A64" t="s">
        <v>107</v>
      </c>
      <c r="B64" t="s">
        <v>11</v>
      </c>
      <c r="C64">
        <v>25</v>
      </c>
      <c r="D64" t="s">
        <v>18</v>
      </c>
      <c r="E64" t="s">
        <v>19</v>
      </c>
      <c r="F64" t="s">
        <v>36</v>
      </c>
      <c r="G64">
        <v>20</v>
      </c>
      <c r="H64" s="1">
        <v>44673</v>
      </c>
      <c r="I64" t="s">
        <v>62</v>
      </c>
      <c r="J64" t="s">
        <v>16</v>
      </c>
    </row>
    <row r="65" spans="1:10" x14ac:dyDescent="0.3">
      <c r="A65" t="s">
        <v>108</v>
      </c>
      <c r="B65" t="s">
        <v>42</v>
      </c>
      <c r="C65">
        <v>38</v>
      </c>
      <c r="D65" t="s">
        <v>12</v>
      </c>
      <c r="E65" t="s">
        <v>13</v>
      </c>
      <c r="F65" t="s">
        <v>64</v>
      </c>
      <c r="G65">
        <v>40</v>
      </c>
      <c r="H65" s="1">
        <v>44091</v>
      </c>
      <c r="I65" t="s">
        <v>34</v>
      </c>
      <c r="J65" t="s">
        <v>27</v>
      </c>
    </row>
    <row r="66" spans="1:10" x14ac:dyDescent="0.3">
      <c r="A66" t="s">
        <v>109</v>
      </c>
      <c r="B66" t="s">
        <v>61</v>
      </c>
      <c r="C66">
        <v>43</v>
      </c>
      <c r="D66" t="s">
        <v>12</v>
      </c>
      <c r="E66" t="s">
        <v>19</v>
      </c>
      <c r="F66" t="s">
        <v>14</v>
      </c>
      <c r="G66">
        <v>53</v>
      </c>
      <c r="H66" s="1">
        <v>43674</v>
      </c>
      <c r="I66" t="s">
        <v>15</v>
      </c>
      <c r="J66" t="s">
        <v>27</v>
      </c>
    </row>
    <row r="67" spans="1:10" x14ac:dyDescent="0.3">
      <c r="A67" t="s">
        <v>110</v>
      </c>
      <c r="B67" t="s">
        <v>24</v>
      </c>
      <c r="C67">
        <v>44</v>
      </c>
      <c r="D67" t="s">
        <v>12</v>
      </c>
      <c r="E67" t="s">
        <v>13</v>
      </c>
      <c r="F67" t="s">
        <v>88</v>
      </c>
      <c r="G67">
        <v>25</v>
      </c>
      <c r="H67" s="1">
        <v>44515</v>
      </c>
      <c r="I67" t="s">
        <v>39</v>
      </c>
      <c r="J67" t="s">
        <v>16</v>
      </c>
    </row>
    <row r="68" spans="1:10" x14ac:dyDescent="0.3">
      <c r="A68" t="s">
        <v>111</v>
      </c>
      <c r="B68" t="s">
        <v>31</v>
      </c>
      <c r="C68">
        <v>31</v>
      </c>
      <c r="D68" t="s">
        <v>18</v>
      </c>
      <c r="E68" t="s">
        <v>19</v>
      </c>
      <c r="F68" t="s">
        <v>36</v>
      </c>
      <c r="G68">
        <v>56</v>
      </c>
      <c r="H68" s="1">
        <v>43611</v>
      </c>
      <c r="I68" t="s">
        <v>21</v>
      </c>
      <c r="J68" t="s">
        <v>22</v>
      </c>
    </row>
    <row r="69" spans="1:10" x14ac:dyDescent="0.3">
      <c r="A69" t="s">
        <v>112</v>
      </c>
      <c r="B69" t="s">
        <v>31</v>
      </c>
      <c r="C69">
        <v>31</v>
      </c>
      <c r="D69" t="s">
        <v>18</v>
      </c>
      <c r="E69" t="s">
        <v>19</v>
      </c>
      <c r="F69" t="s">
        <v>36</v>
      </c>
      <c r="G69">
        <v>26</v>
      </c>
      <c r="H69" s="1">
        <v>44508</v>
      </c>
      <c r="I69" t="s">
        <v>21</v>
      </c>
      <c r="J69" t="s">
        <v>27</v>
      </c>
    </row>
    <row r="70" spans="1:10" x14ac:dyDescent="0.3">
      <c r="A70" t="s">
        <v>113</v>
      </c>
      <c r="B70" t="s">
        <v>11</v>
      </c>
      <c r="C70">
        <v>30</v>
      </c>
      <c r="D70" t="s">
        <v>18</v>
      </c>
      <c r="E70" t="s">
        <v>13</v>
      </c>
      <c r="F70" t="s">
        <v>14</v>
      </c>
      <c r="G70">
        <v>45</v>
      </c>
      <c r="H70" s="1">
        <v>43933</v>
      </c>
      <c r="I70" t="s">
        <v>49</v>
      </c>
      <c r="J70" t="s">
        <v>16</v>
      </c>
    </row>
    <row r="71" spans="1:10" x14ac:dyDescent="0.3">
      <c r="A71" t="s">
        <v>114</v>
      </c>
      <c r="B71" t="s">
        <v>11</v>
      </c>
      <c r="C71">
        <v>25</v>
      </c>
      <c r="D71" t="s">
        <v>18</v>
      </c>
      <c r="E71" t="s">
        <v>19</v>
      </c>
      <c r="F71" t="s">
        <v>64</v>
      </c>
      <c r="G71">
        <v>41</v>
      </c>
      <c r="H71" s="1">
        <v>44060</v>
      </c>
      <c r="I71" t="s">
        <v>39</v>
      </c>
      <c r="J71" t="s">
        <v>22</v>
      </c>
    </row>
    <row r="72" spans="1:10" x14ac:dyDescent="0.3">
      <c r="A72" t="s">
        <v>115</v>
      </c>
      <c r="B72" t="s">
        <v>24</v>
      </c>
      <c r="C72">
        <v>51</v>
      </c>
      <c r="D72" t="s">
        <v>46</v>
      </c>
      <c r="E72" t="s">
        <v>105</v>
      </c>
      <c r="F72" t="s">
        <v>56</v>
      </c>
      <c r="G72">
        <v>38</v>
      </c>
      <c r="H72" s="1">
        <v>44147</v>
      </c>
      <c r="I72" t="s">
        <v>34</v>
      </c>
      <c r="J72" t="s">
        <v>16</v>
      </c>
    </row>
    <row r="73" spans="1:10" x14ac:dyDescent="0.3">
      <c r="A73" t="s">
        <v>116</v>
      </c>
      <c r="B73" t="s">
        <v>31</v>
      </c>
      <c r="C73">
        <v>21</v>
      </c>
      <c r="D73" t="s">
        <v>32</v>
      </c>
      <c r="E73" t="s">
        <v>13</v>
      </c>
      <c r="F73" t="s">
        <v>88</v>
      </c>
      <c r="G73">
        <v>15</v>
      </c>
      <c r="H73" s="1">
        <v>44842</v>
      </c>
      <c r="I73" t="s">
        <v>29</v>
      </c>
      <c r="J73" t="s">
        <v>22</v>
      </c>
    </row>
    <row r="74" spans="1:10" x14ac:dyDescent="0.3">
      <c r="A74" t="s">
        <v>117</v>
      </c>
      <c r="B74" t="s">
        <v>31</v>
      </c>
      <c r="C74">
        <v>42</v>
      </c>
      <c r="D74" t="s">
        <v>12</v>
      </c>
      <c r="E74" t="s">
        <v>13</v>
      </c>
      <c r="F74" t="s">
        <v>25</v>
      </c>
      <c r="G74">
        <v>9</v>
      </c>
      <c r="H74" s="1">
        <v>44993</v>
      </c>
      <c r="I74" t="s">
        <v>47</v>
      </c>
      <c r="J74" t="s">
        <v>27</v>
      </c>
    </row>
    <row r="75" spans="1:10" x14ac:dyDescent="0.3">
      <c r="A75" t="s">
        <v>118</v>
      </c>
      <c r="B75" t="s">
        <v>42</v>
      </c>
      <c r="C75">
        <v>29</v>
      </c>
      <c r="D75" t="s">
        <v>18</v>
      </c>
      <c r="E75" t="s">
        <v>19</v>
      </c>
      <c r="F75" t="s">
        <v>38</v>
      </c>
      <c r="G75">
        <v>31</v>
      </c>
      <c r="H75" s="1">
        <v>44337</v>
      </c>
      <c r="I75" t="s">
        <v>62</v>
      </c>
      <c r="J75" t="s">
        <v>16</v>
      </c>
    </row>
    <row r="76" spans="1:10" x14ac:dyDescent="0.3">
      <c r="A76" t="s">
        <v>119</v>
      </c>
      <c r="B76" t="s">
        <v>11</v>
      </c>
      <c r="C76">
        <v>31</v>
      </c>
      <c r="D76" t="s">
        <v>18</v>
      </c>
      <c r="E76" t="s">
        <v>13</v>
      </c>
      <c r="F76" t="s">
        <v>36</v>
      </c>
      <c r="G76">
        <v>6</v>
      </c>
      <c r="H76" s="1">
        <v>45112</v>
      </c>
      <c r="I76" t="s">
        <v>29</v>
      </c>
      <c r="J76" t="s">
        <v>27</v>
      </c>
    </row>
    <row r="77" spans="1:10" x14ac:dyDescent="0.3">
      <c r="A77" t="s">
        <v>120</v>
      </c>
      <c r="B77" t="s">
        <v>11</v>
      </c>
      <c r="C77">
        <v>38</v>
      </c>
      <c r="D77" t="s">
        <v>12</v>
      </c>
      <c r="E77" t="s">
        <v>13</v>
      </c>
      <c r="F77" t="s">
        <v>38</v>
      </c>
      <c r="G77">
        <v>59</v>
      </c>
      <c r="H77" s="1">
        <v>43516</v>
      </c>
      <c r="I77" t="s">
        <v>62</v>
      </c>
      <c r="J77" t="s">
        <v>22</v>
      </c>
    </row>
    <row r="78" spans="1:10" x14ac:dyDescent="0.3">
      <c r="A78" t="s">
        <v>121</v>
      </c>
      <c r="B78" t="s">
        <v>61</v>
      </c>
      <c r="C78">
        <v>38</v>
      </c>
      <c r="D78" t="s">
        <v>12</v>
      </c>
      <c r="E78" t="s">
        <v>19</v>
      </c>
      <c r="F78" t="s">
        <v>36</v>
      </c>
      <c r="G78">
        <v>5</v>
      </c>
      <c r="H78" s="1">
        <v>45125</v>
      </c>
      <c r="I78" t="s">
        <v>29</v>
      </c>
      <c r="J78" t="s">
        <v>22</v>
      </c>
    </row>
    <row r="79" spans="1:10" x14ac:dyDescent="0.3">
      <c r="A79" t="s">
        <v>122</v>
      </c>
      <c r="B79" t="s">
        <v>24</v>
      </c>
      <c r="C79">
        <v>37</v>
      </c>
      <c r="D79" t="s">
        <v>12</v>
      </c>
      <c r="E79" t="s">
        <v>19</v>
      </c>
      <c r="F79" t="s">
        <v>64</v>
      </c>
      <c r="G79">
        <v>60</v>
      </c>
      <c r="H79" s="1">
        <v>43485</v>
      </c>
      <c r="I79" t="s">
        <v>47</v>
      </c>
      <c r="J79" t="s">
        <v>65</v>
      </c>
    </row>
    <row r="80" spans="1:10" x14ac:dyDescent="0.3">
      <c r="A80" t="s">
        <v>123</v>
      </c>
      <c r="B80" t="s">
        <v>31</v>
      </c>
      <c r="C80">
        <v>29</v>
      </c>
      <c r="D80" t="s">
        <v>18</v>
      </c>
      <c r="E80" t="s">
        <v>13</v>
      </c>
      <c r="F80" t="s">
        <v>20</v>
      </c>
      <c r="G80">
        <v>56</v>
      </c>
      <c r="H80" s="1">
        <v>43609</v>
      </c>
      <c r="I80" t="s">
        <v>49</v>
      </c>
      <c r="J80" t="s">
        <v>22</v>
      </c>
    </row>
    <row r="81" spans="1:10" x14ac:dyDescent="0.3">
      <c r="A81" t="s">
        <v>124</v>
      </c>
      <c r="B81" t="s">
        <v>61</v>
      </c>
      <c r="C81">
        <v>33</v>
      </c>
      <c r="D81" t="s">
        <v>18</v>
      </c>
      <c r="E81" t="s">
        <v>13</v>
      </c>
      <c r="F81" t="s">
        <v>54</v>
      </c>
      <c r="G81">
        <v>60</v>
      </c>
      <c r="H81" s="1">
        <v>43481</v>
      </c>
      <c r="I81" t="s">
        <v>39</v>
      </c>
      <c r="J81" t="s">
        <v>27</v>
      </c>
    </row>
    <row r="82" spans="1:10" x14ac:dyDescent="0.3">
      <c r="A82" t="s">
        <v>125</v>
      </c>
      <c r="B82" t="s">
        <v>24</v>
      </c>
      <c r="C82">
        <v>41</v>
      </c>
      <c r="D82" t="s">
        <v>12</v>
      </c>
      <c r="E82" t="s">
        <v>13</v>
      </c>
      <c r="F82" t="s">
        <v>88</v>
      </c>
      <c r="G82">
        <v>41</v>
      </c>
      <c r="H82" s="1">
        <v>44041</v>
      </c>
      <c r="I82" t="s">
        <v>29</v>
      </c>
      <c r="J82" t="s">
        <v>22</v>
      </c>
    </row>
    <row r="83" spans="1:10" x14ac:dyDescent="0.3">
      <c r="A83" t="s">
        <v>126</v>
      </c>
      <c r="B83" t="s">
        <v>42</v>
      </c>
      <c r="C83">
        <v>30</v>
      </c>
      <c r="D83" t="s">
        <v>18</v>
      </c>
      <c r="E83" t="s">
        <v>13</v>
      </c>
      <c r="F83" t="s">
        <v>64</v>
      </c>
      <c r="G83">
        <v>8</v>
      </c>
      <c r="H83" s="1">
        <v>45035</v>
      </c>
      <c r="I83" t="s">
        <v>21</v>
      </c>
      <c r="J83" t="s">
        <v>22</v>
      </c>
    </row>
    <row r="84" spans="1:10" x14ac:dyDescent="0.3">
      <c r="A84" t="s">
        <v>127</v>
      </c>
      <c r="B84" t="s">
        <v>31</v>
      </c>
      <c r="C84">
        <v>30</v>
      </c>
      <c r="D84" t="s">
        <v>18</v>
      </c>
      <c r="E84" t="s">
        <v>13</v>
      </c>
      <c r="F84" t="s">
        <v>56</v>
      </c>
      <c r="G84">
        <v>9</v>
      </c>
      <c r="H84" s="1">
        <v>45017</v>
      </c>
      <c r="I84" t="s">
        <v>47</v>
      </c>
      <c r="J84" t="s">
        <v>27</v>
      </c>
    </row>
    <row r="85" spans="1:10" x14ac:dyDescent="0.3">
      <c r="A85" t="s">
        <v>128</v>
      </c>
      <c r="B85" t="s">
        <v>31</v>
      </c>
      <c r="C85">
        <v>19</v>
      </c>
      <c r="D85" t="s">
        <v>32</v>
      </c>
      <c r="E85" t="s">
        <v>19</v>
      </c>
      <c r="F85" t="s">
        <v>56</v>
      </c>
      <c r="G85">
        <v>40</v>
      </c>
      <c r="H85" s="1">
        <v>44083</v>
      </c>
      <c r="I85" t="s">
        <v>49</v>
      </c>
      <c r="J85" t="s">
        <v>27</v>
      </c>
    </row>
    <row r="86" spans="1:10" x14ac:dyDescent="0.3">
      <c r="A86" t="s">
        <v>129</v>
      </c>
      <c r="B86" t="s">
        <v>24</v>
      </c>
      <c r="C86">
        <v>37</v>
      </c>
      <c r="D86" t="s">
        <v>12</v>
      </c>
      <c r="E86" t="s">
        <v>13</v>
      </c>
      <c r="F86" t="s">
        <v>64</v>
      </c>
      <c r="G86">
        <v>41</v>
      </c>
      <c r="H86" s="1">
        <v>44056</v>
      </c>
      <c r="I86" t="s">
        <v>49</v>
      </c>
      <c r="J86" t="s">
        <v>27</v>
      </c>
    </row>
    <row r="87" spans="1:10" x14ac:dyDescent="0.3">
      <c r="A87" t="s">
        <v>130</v>
      </c>
      <c r="B87" t="s">
        <v>42</v>
      </c>
      <c r="C87">
        <v>49</v>
      </c>
      <c r="D87" t="s">
        <v>46</v>
      </c>
      <c r="E87" t="s">
        <v>13</v>
      </c>
      <c r="F87" t="s">
        <v>54</v>
      </c>
      <c r="G87">
        <v>17</v>
      </c>
      <c r="H87" s="1">
        <v>44779</v>
      </c>
      <c r="I87" t="s">
        <v>29</v>
      </c>
      <c r="J87" t="s">
        <v>16</v>
      </c>
    </row>
    <row r="88" spans="1:10" x14ac:dyDescent="0.3">
      <c r="A88" t="s">
        <v>131</v>
      </c>
      <c r="B88" t="s">
        <v>11</v>
      </c>
      <c r="C88">
        <v>18</v>
      </c>
      <c r="D88" t="s">
        <v>32</v>
      </c>
      <c r="E88" t="s">
        <v>19</v>
      </c>
      <c r="F88" t="s">
        <v>88</v>
      </c>
      <c r="G88">
        <v>23</v>
      </c>
      <c r="H88" s="1">
        <v>44601</v>
      </c>
      <c r="I88" t="s">
        <v>34</v>
      </c>
      <c r="J88" t="s">
        <v>16</v>
      </c>
    </row>
    <row r="89" spans="1:10" x14ac:dyDescent="0.3">
      <c r="A89" t="s">
        <v>132</v>
      </c>
      <c r="B89" t="s">
        <v>24</v>
      </c>
      <c r="C89">
        <v>37</v>
      </c>
      <c r="D89" t="s">
        <v>12</v>
      </c>
      <c r="E89" t="s">
        <v>19</v>
      </c>
      <c r="F89" t="s">
        <v>38</v>
      </c>
      <c r="G89">
        <v>42</v>
      </c>
      <c r="H89" s="1">
        <v>44003</v>
      </c>
      <c r="I89" t="s">
        <v>62</v>
      </c>
      <c r="J89" t="s">
        <v>27</v>
      </c>
    </row>
    <row r="90" spans="1:10" x14ac:dyDescent="0.3">
      <c r="A90" t="s">
        <v>133</v>
      </c>
      <c r="B90" t="s">
        <v>31</v>
      </c>
      <c r="C90">
        <v>27</v>
      </c>
      <c r="D90" t="s">
        <v>18</v>
      </c>
      <c r="E90" t="s">
        <v>13</v>
      </c>
      <c r="F90" t="s">
        <v>38</v>
      </c>
      <c r="G90">
        <v>56</v>
      </c>
      <c r="H90" s="1">
        <v>43602</v>
      </c>
      <c r="I90" t="s">
        <v>34</v>
      </c>
      <c r="J90" t="s">
        <v>65</v>
      </c>
    </row>
    <row r="91" spans="1:10" x14ac:dyDescent="0.3">
      <c r="A91" t="s">
        <v>134</v>
      </c>
      <c r="B91" t="s">
        <v>24</v>
      </c>
      <c r="C91">
        <v>47</v>
      </c>
      <c r="D91" t="s">
        <v>46</v>
      </c>
      <c r="E91" t="s">
        <v>13</v>
      </c>
      <c r="F91" t="s">
        <v>56</v>
      </c>
      <c r="G91">
        <v>47</v>
      </c>
      <c r="H91" s="1">
        <v>43872</v>
      </c>
      <c r="I91" t="s">
        <v>47</v>
      </c>
      <c r="J91" t="s">
        <v>22</v>
      </c>
    </row>
    <row r="92" spans="1:10" x14ac:dyDescent="0.3">
      <c r="A92" t="s">
        <v>135</v>
      </c>
      <c r="B92" t="s">
        <v>31</v>
      </c>
      <c r="C92">
        <v>20</v>
      </c>
      <c r="D92" t="s">
        <v>32</v>
      </c>
      <c r="E92" t="s">
        <v>13</v>
      </c>
      <c r="F92" t="s">
        <v>64</v>
      </c>
      <c r="G92">
        <v>9</v>
      </c>
      <c r="H92" s="1">
        <v>44998</v>
      </c>
      <c r="I92" t="s">
        <v>29</v>
      </c>
      <c r="J92" t="s">
        <v>27</v>
      </c>
    </row>
    <row r="93" spans="1:10" x14ac:dyDescent="0.3">
      <c r="A93" t="s">
        <v>136</v>
      </c>
      <c r="B93" t="s">
        <v>31</v>
      </c>
      <c r="C93">
        <v>27</v>
      </c>
      <c r="D93" t="s">
        <v>18</v>
      </c>
      <c r="E93" t="s">
        <v>13</v>
      </c>
      <c r="F93" t="s">
        <v>20</v>
      </c>
      <c r="G93">
        <v>24</v>
      </c>
      <c r="H93" s="1">
        <v>44563</v>
      </c>
      <c r="I93" t="s">
        <v>26</v>
      </c>
      <c r="J93" t="s">
        <v>16</v>
      </c>
    </row>
    <row r="94" spans="1:10" x14ac:dyDescent="0.3">
      <c r="A94" t="s">
        <v>137</v>
      </c>
      <c r="B94" t="s">
        <v>24</v>
      </c>
      <c r="C94">
        <v>18</v>
      </c>
      <c r="D94" t="s">
        <v>32</v>
      </c>
      <c r="E94" t="s">
        <v>19</v>
      </c>
      <c r="F94" t="s">
        <v>54</v>
      </c>
      <c r="G94">
        <v>41</v>
      </c>
      <c r="H94" s="1">
        <v>44039</v>
      </c>
      <c r="I94" t="s">
        <v>49</v>
      </c>
      <c r="J94" t="s">
        <v>16</v>
      </c>
    </row>
    <row r="95" spans="1:10" x14ac:dyDescent="0.3">
      <c r="A95" t="s">
        <v>138</v>
      </c>
      <c r="B95" t="s">
        <v>24</v>
      </c>
      <c r="C95">
        <v>31</v>
      </c>
      <c r="D95" t="s">
        <v>18</v>
      </c>
      <c r="E95" t="s">
        <v>13</v>
      </c>
      <c r="F95" t="s">
        <v>36</v>
      </c>
      <c r="G95">
        <v>16</v>
      </c>
      <c r="H95" s="1">
        <v>44783</v>
      </c>
      <c r="I95" t="s">
        <v>62</v>
      </c>
      <c r="J95" t="s">
        <v>16</v>
      </c>
    </row>
    <row r="96" spans="1:10" x14ac:dyDescent="0.3">
      <c r="A96" t="s">
        <v>139</v>
      </c>
      <c r="B96" t="s">
        <v>24</v>
      </c>
      <c r="C96">
        <v>18</v>
      </c>
      <c r="D96" t="s">
        <v>32</v>
      </c>
      <c r="E96" t="s">
        <v>19</v>
      </c>
      <c r="F96" t="s">
        <v>54</v>
      </c>
      <c r="G96">
        <v>56</v>
      </c>
      <c r="H96" s="1">
        <v>43590</v>
      </c>
      <c r="I96" t="s">
        <v>15</v>
      </c>
      <c r="J96" t="s">
        <v>22</v>
      </c>
    </row>
    <row r="97" spans="1:10" x14ac:dyDescent="0.3">
      <c r="A97" t="s">
        <v>140</v>
      </c>
      <c r="B97" t="s">
        <v>31</v>
      </c>
      <c r="C97">
        <v>18</v>
      </c>
      <c r="D97" t="s">
        <v>32</v>
      </c>
      <c r="E97" t="s">
        <v>13</v>
      </c>
      <c r="F97" t="s">
        <v>33</v>
      </c>
      <c r="G97">
        <v>11</v>
      </c>
      <c r="H97" s="1">
        <v>44961</v>
      </c>
      <c r="I97" t="s">
        <v>49</v>
      </c>
      <c r="J97" t="s">
        <v>16</v>
      </c>
    </row>
    <row r="98" spans="1:10" x14ac:dyDescent="0.3">
      <c r="A98" t="s">
        <v>141</v>
      </c>
      <c r="B98" t="s">
        <v>24</v>
      </c>
      <c r="C98">
        <v>37</v>
      </c>
      <c r="D98" t="s">
        <v>12</v>
      </c>
      <c r="E98" t="s">
        <v>13</v>
      </c>
      <c r="F98" t="s">
        <v>38</v>
      </c>
      <c r="G98">
        <v>58</v>
      </c>
      <c r="H98" s="1">
        <v>43544</v>
      </c>
      <c r="I98" t="s">
        <v>34</v>
      </c>
      <c r="J98" t="s">
        <v>22</v>
      </c>
    </row>
    <row r="99" spans="1:10" x14ac:dyDescent="0.3">
      <c r="A99" t="s">
        <v>142</v>
      </c>
      <c r="B99" t="s">
        <v>31</v>
      </c>
      <c r="C99">
        <v>32</v>
      </c>
      <c r="D99" t="s">
        <v>18</v>
      </c>
      <c r="E99" t="s">
        <v>19</v>
      </c>
      <c r="F99" t="s">
        <v>33</v>
      </c>
      <c r="G99">
        <v>50</v>
      </c>
      <c r="H99" s="1">
        <v>43773</v>
      </c>
      <c r="I99" t="s">
        <v>62</v>
      </c>
      <c r="J99" t="s">
        <v>27</v>
      </c>
    </row>
    <row r="100" spans="1:10" x14ac:dyDescent="0.3">
      <c r="A100" t="s">
        <v>143</v>
      </c>
      <c r="B100" t="s">
        <v>11</v>
      </c>
      <c r="C100">
        <v>18</v>
      </c>
      <c r="D100" t="s">
        <v>32</v>
      </c>
      <c r="E100" t="s">
        <v>13</v>
      </c>
      <c r="F100" t="s">
        <v>33</v>
      </c>
      <c r="G100">
        <v>40</v>
      </c>
      <c r="H100" s="1">
        <v>44085</v>
      </c>
      <c r="I100" t="s">
        <v>15</v>
      </c>
      <c r="J100" t="s">
        <v>22</v>
      </c>
    </row>
    <row r="101" spans="1:10" x14ac:dyDescent="0.3">
      <c r="A101" t="s">
        <v>144</v>
      </c>
      <c r="B101" t="s">
        <v>11</v>
      </c>
      <c r="C101">
        <v>29</v>
      </c>
      <c r="D101" t="s">
        <v>18</v>
      </c>
      <c r="E101" t="s">
        <v>19</v>
      </c>
      <c r="F101" t="s">
        <v>33</v>
      </c>
      <c r="G101">
        <v>38</v>
      </c>
      <c r="H101" s="1">
        <v>44128</v>
      </c>
      <c r="I101" t="s">
        <v>47</v>
      </c>
      <c r="J101" t="s">
        <v>27</v>
      </c>
    </row>
    <row r="102" spans="1:10" x14ac:dyDescent="0.3">
      <c r="A102" t="s">
        <v>145</v>
      </c>
      <c r="B102" t="s">
        <v>42</v>
      </c>
      <c r="C102">
        <v>18</v>
      </c>
      <c r="D102" t="s">
        <v>32</v>
      </c>
      <c r="E102" t="s">
        <v>19</v>
      </c>
      <c r="F102" t="s">
        <v>56</v>
      </c>
      <c r="G102">
        <v>10</v>
      </c>
      <c r="H102" s="1">
        <v>44989</v>
      </c>
      <c r="I102" t="s">
        <v>47</v>
      </c>
      <c r="J102" t="s">
        <v>27</v>
      </c>
    </row>
    <row r="103" spans="1:10" x14ac:dyDescent="0.3">
      <c r="A103" t="s">
        <v>146</v>
      </c>
      <c r="B103" t="s">
        <v>24</v>
      </c>
      <c r="C103">
        <v>43</v>
      </c>
      <c r="D103" t="s">
        <v>12</v>
      </c>
      <c r="E103" t="s">
        <v>13</v>
      </c>
      <c r="F103" t="s">
        <v>25</v>
      </c>
      <c r="G103">
        <v>55</v>
      </c>
      <c r="H103" s="1">
        <v>43642</v>
      </c>
      <c r="I103" t="s">
        <v>15</v>
      </c>
      <c r="J103" t="s">
        <v>22</v>
      </c>
    </row>
    <row r="104" spans="1:10" x14ac:dyDescent="0.3">
      <c r="A104" t="s">
        <v>147</v>
      </c>
      <c r="B104" t="s">
        <v>42</v>
      </c>
      <c r="C104">
        <v>34</v>
      </c>
      <c r="D104" t="s">
        <v>18</v>
      </c>
      <c r="E104" t="s">
        <v>19</v>
      </c>
      <c r="F104" t="s">
        <v>56</v>
      </c>
      <c r="G104">
        <v>19</v>
      </c>
      <c r="H104" s="1">
        <v>44703</v>
      </c>
      <c r="I104" t="s">
        <v>29</v>
      </c>
      <c r="J104" t="s">
        <v>22</v>
      </c>
    </row>
    <row r="105" spans="1:10" x14ac:dyDescent="0.3">
      <c r="A105" t="s">
        <v>148</v>
      </c>
      <c r="B105" t="s">
        <v>24</v>
      </c>
      <c r="C105">
        <v>51</v>
      </c>
      <c r="D105" t="s">
        <v>46</v>
      </c>
      <c r="E105" t="s">
        <v>19</v>
      </c>
      <c r="F105" t="s">
        <v>64</v>
      </c>
      <c r="G105">
        <v>6</v>
      </c>
      <c r="H105" s="1">
        <v>45101</v>
      </c>
      <c r="I105" t="s">
        <v>49</v>
      </c>
      <c r="J105" t="s">
        <v>27</v>
      </c>
    </row>
    <row r="106" spans="1:10" x14ac:dyDescent="0.3">
      <c r="A106" t="s">
        <v>149</v>
      </c>
      <c r="B106" t="s">
        <v>24</v>
      </c>
      <c r="C106">
        <v>30</v>
      </c>
      <c r="D106" t="s">
        <v>18</v>
      </c>
      <c r="E106" t="s">
        <v>13</v>
      </c>
      <c r="F106" t="s">
        <v>56</v>
      </c>
      <c r="G106">
        <v>42</v>
      </c>
      <c r="H106" s="1">
        <v>44003</v>
      </c>
      <c r="I106" t="s">
        <v>49</v>
      </c>
      <c r="J106" t="s">
        <v>16</v>
      </c>
    </row>
    <row r="107" spans="1:10" x14ac:dyDescent="0.3">
      <c r="A107" t="s">
        <v>150</v>
      </c>
      <c r="B107" t="s">
        <v>42</v>
      </c>
      <c r="C107">
        <v>26</v>
      </c>
      <c r="D107" t="s">
        <v>18</v>
      </c>
      <c r="E107" t="s">
        <v>13</v>
      </c>
      <c r="F107" t="s">
        <v>38</v>
      </c>
      <c r="G107">
        <v>17</v>
      </c>
      <c r="H107" s="1">
        <v>44779</v>
      </c>
      <c r="I107" t="s">
        <v>34</v>
      </c>
      <c r="J107" t="s">
        <v>27</v>
      </c>
    </row>
    <row r="108" spans="1:10" x14ac:dyDescent="0.3">
      <c r="A108" t="s">
        <v>151</v>
      </c>
      <c r="B108" t="s">
        <v>24</v>
      </c>
      <c r="C108">
        <v>26</v>
      </c>
      <c r="D108" t="s">
        <v>18</v>
      </c>
      <c r="E108" t="s">
        <v>19</v>
      </c>
      <c r="F108" t="s">
        <v>20</v>
      </c>
      <c r="G108">
        <v>8</v>
      </c>
      <c r="H108" s="1">
        <v>45030</v>
      </c>
      <c r="I108" t="s">
        <v>47</v>
      </c>
      <c r="J108" t="s">
        <v>22</v>
      </c>
    </row>
    <row r="109" spans="1:10" x14ac:dyDescent="0.3">
      <c r="A109" t="s">
        <v>152</v>
      </c>
      <c r="B109" t="s">
        <v>61</v>
      </c>
      <c r="C109">
        <v>30</v>
      </c>
      <c r="D109" t="s">
        <v>18</v>
      </c>
      <c r="E109" t="s">
        <v>13</v>
      </c>
      <c r="F109" t="s">
        <v>54</v>
      </c>
      <c r="G109">
        <v>59</v>
      </c>
      <c r="H109" s="1">
        <v>43516</v>
      </c>
      <c r="I109" t="s">
        <v>29</v>
      </c>
      <c r="J109" t="s">
        <v>27</v>
      </c>
    </row>
    <row r="110" spans="1:10" x14ac:dyDescent="0.3">
      <c r="A110" t="s">
        <v>153</v>
      </c>
      <c r="B110" t="s">
        <v>24</v>
      </c>
      <c r="C110">
        <v>28</v>
      </c>
      <c r="D110" t="s">
        <v>18</v>
      </c>
      <c r="E110" t="s">
        <v>13</v>
      </c>
      <c r="F110" t="s">
        <v>54</v>
      </c>
      <c r="G110">
        <v>49</v>
      </c>
      <c r="H110" s="1">
        <v>43805</v>
      </c>
      <c r="I110" t="s">
        <v>39</v>
      </c>
      <c r="J110" t="s">
        <v>22</v>
      </c>
    </row>
    <row r="111" spans="1:10" x14ac:dyDescent="0.3">
      <c r="A111" t="s">
        <v>154</v>
      </c>
      <c r="B111" t="s">
        <v>61</v>
      </c>
      <c r="C111">
        <v>47</v>
      </c>
      <c r="D111" t="s">
        <v>46</v>
      </c>
      <c r="E111" t="s">
        <v>13</v>
      </c>
      <c r="F111" t="s">
        <v>38</v>
      </c>
      <c r="G111">
        <v>5</v>
      </c>
      <c r="H111" s="1">
        <v>45128</v>
      </c>
      <c r="I111" t="s">
        <v>21</v>
      </c>
      <c r="J111" t="s">
        <v>27</v>
      </c>
    </row>
    <row r="112" spans="1:10" x14ac:dyDescent="0.3">
      <c r="A112" t="s">
        <v>155</v>
      </c>
      <c r="B112" t="s">
        <v>11</v>
      </c>
      <c r="C112">
        <v>35</v>
      </c>
      <c r="D112" t="s">
        <v>12</v>
      </c>
      <c r="E112" t="s">
        <v>13</v>
      </c>
      <c r="F112" t="s">
        <v>33</v>
      </c>
      <c r="G112">
        <v>44</v>
      </c>
      <c r="H112" s="1">
        <v>43952</v>
      </c>
      <c r="I112" t="s">
        <v>39</v>
      </c>
      <c r="J112" t="s">
        <v>22</v>
      </c>
    </row>
    <row r="113" spans="1:10" x14ac:dyDescent="0.3">
      <c r="A113" t="s">
        <v>156</v>
      </c>
      <c r="B113" t="s">
        <v>24</v>
      </c>
      <c r="C113">
        <v>42</v>
      </c>
      <c r="D113" t="s">
        <v>12</v>
      </c>
      <c r="E113" t="s">
        <v>19</v>
      </c>
      <c r="F113" t="s">
        <v>14</v>
      </c>
      <c r="G113">
        <v>58</v>
      </c>
      <c r="H113" s="1">
        <v>43530</v>
      </c>
      <c r="I113" t="s">
        <v>29</v>
      </c>
      <c r="J113" t="s">
        <v>16</v>
      </c>
    </row>
    <row r="114" spans="1:10" x14ac:dyDescent="0.3">
      <c r="A114" t="s">
        <v>157</v>
      </c>
      <c r="B114" t="s">
        <v>31</v>
      </c>
      <c r="C114">
        <v>33</v>
      </c>
      <c r="D114" t="s">
        <v>18</v>
      </c>
      <c r="E114" t="s">
        <v>19</v>
      </c>
      <c r="F114" t="s">
        <v>88</v>
      </c>
      <c r="G114">
        <v>24</v>
      </c>
      <c r="H114" s="1">
        <v>44571</v>
      </c>
      <c r="I114" t="s">
        <v>47</v>
      </c>
      <c r="J114" t="s">
        <v>22</v>
      </c>
    </row>
    <row r="115" spans="1:10" x14ac:dyDescent="0.3">
      <c r="A115" t="s">
        <v>158</v>
      </c>
      <c r="B115" t="s">
        <v>11</v>
      </c>
      <c r="C115">
        <v>29</v>
      </c>
      <c r="D115" t="s">
        <v>18</v>
      </c>
      <c r="E115" t="s">
        <v>13</v>
      </c>
      <c r="F115" t="s">
        <v>14</v>
      </c>
      <c r="G115">
        <v>33</v>
      </c>
      <c r="H115" s="1">
        <v>44273</v>
      </c>
      <c r="I115" t="s">
        <v>15</v>
      </c>
      <c r="J115" t="s">
        <v>22</v>
      </c>
    </row>
    <row r="116" spans="1:10" x14ac:dyDescent="0.3">
      <c r="A116" t="s">
        <v>159</v>
      </c>
      <c r="B116" t="s">
        <v>42</v>
      </c>
      <c r="C116">
        <v>40</v>
      </c>
      <c r="D116" t="s">
        <v>12</v>
      </c>
      <c r="E116" t="s">
        <v>13</v>
      </c>
      <c r="F116" t="s">
        <v>56</v>
      </c>
      <c r="G116">
        <v>28</v>
      </c>
      <c r="H116" s="1">
        <v>44446</v>
      </c>
      <c r="I116" t="s">
        <v>39</v>
      </c>
      <c r="J116" t="s">
        <v>22</v>
      </c>
    </row>
    <row r="117" spans="1:10" x14ac:dyDescent="0.3">
      <c r="A117" t="s">
        <v>160</v>
      </c>
      <c r="B117" t="s">
        <v>11</v>
      </c>
      <c r="C117">
        <v>18</v>
      </c>
      <c r="D117" t="s">
        <v>32</v>
      </c>
      <c r="E117" t="s">
        <v>13</v>
      </c>
      <c r="F117" t="s">
        <v>54</v>
      </c>
      <c r="G117">
        <v>56</v>
      </c>
      <c r="H117" s="1">
        <v>43596</v>
      </c>
      <c r="I117" t="s">
        <v>34</v>
      </c>
      <c r="J117" t="s">
        <v>65</v>
      </c>
    </row>
    <row r="118" spans="1:10" x14ac:dyDescent="0.3">
      <c r="A118" t="s">
        <v>161</v>
      </c>
      <c r="B118" t="s">
        <v>24</v>
      </c>
      <c r="C118">
        <v>33</v>
      </c>
      <c r="D118" t="s">
        <v>18</v>
      </c>
      <c r="E118" t="s">
        <v>13</v>
      </c>
      <c r="F118" t="s">
        <v>88</v>
      </c>
      <c r="G118">
        <v>25</v>
      </c>
      <c r="H118" s="1">
        <v>44540</v>
      </c>
      <c r="I118" t="s">
        <v>47</v>
      </c>
      <c r="J118" t="s">
        <v>16</v>
      </c>
    </row>
    <row r="119" spans="1:10" x14ac:dyDescent="0.3">
      <c r="A119" t="s">
        <v>162</v>
      </c>
      <c r="B119" t="s">
        <v>42</v>
      </c>
      <c r="C119">
        <v>24</v>
      </c>
      <c r="D119" t="s">
        <v>32</v>
      </c>
      <c r="E119" t="s">
        <v>13</v>
      </c>
      <c r="F119" t="s">
        <v>64</v>
      </c>
      <c r="G119">
        <v>4</v>
      </c>
      <c r="H119" s="1">
        <v>45158</v>
      </c>
      <c r="I119" t="s">
        <v>62</v>
      </c>
      <c r="J119" t="s">
        <v>16</v>
      </c>
    </row>
    <row r="120" spans="1:10" x14ac:dyDescent="0.3">
      <c r="A120" t="s">
        <v>163</v>
      </c>
      <c r="B120" t="s">
        <v>24</v>
      </c>
      <c r="C120">
        <v>33</v>
      </c>
      <c r="D120" t="s">
        <v>18</v>
      </c>
      <c r="E120" t="s">
        <v>19</v>
      </c>
      <c r="F120" t="s">
        <v>56</v>
      </c>
      <c r="G120">
        <v>39</v>
      </c>
      <c r="H120" s="1">
        <v>44120</v>
      </c>
      <c r="I120" t="s">
        <v>34</v>
      </c>
      <c r="J120" t="s">
        <v>22</v>
      </c>
    </row>
    <row r="121" spans="1:10" x14ac:dyDescent="0.3">
      <c r="A121" t="s">
        <v>164</v>
      </c>
      <c r="B121" t="s">
        <v>61</v>
      </c>
      <c r="C121">
        <v>18</v>
      </c>
      <c r="D121" t="s">
        <v>32</v>
      </c>
      <c r="E121" t="s">
        <v>13</v>
      </c>
      <c r="F121" t="s">
        <v>88</v>
      </c>
      <c r="G121">
        <v>22</v>
      </c>
      <c r="H121" s="1">
        <v>44610</v>
      </c>
      <c r="I121" t="s">
        <v>39</v>
      </c>
      <c r="J121" t="s">
        <v>27</v>
      </c>
    </row>
    <row r="122" spans="1:10" x14ac:dyDescent="0.3">
      <c r="A122" t="s">
        <v>165</v>
      </c>
      <c r="B122" t="s">
        <v>24</v>
      </c>
      <c r="C122">
        <v>29</v>
      </c>
      <c r="D122" t="s">
        <v>18</v>
      </c>
      <c r="E122" t="s">
        <v>19</v>
      </c>
      <c r="F122" t="s">
        <v>64</v>
      </c>
      <c r="G122">
        <v>40</v>
      </c>
      <c r="H122" s="1">
        <v>44067</v>
      </c>
      <c r="I122" t="s">
        <v>21</v>
      </c>
      <c r="J122" t="s">
        <v>22</v>
      </c>
    </row>
    <row r="123" spans="1:10" x14ac:dyDescent="0.3">
      <c r="A123" t="s">
        <v>166</v>
      </c>
      <c r="B123" t="s">
        <v>31</v>
      </c>
      <c r="C123">
        <v>33</v>
      </c>
      <c r="D123" t="s">
        <v>18</v>
      </c>
      <c r="E123" t="s">
        <v>19</v>
      </c>
      <c r="F123" t="s">
        <v>88</v>
      </c>
      <c r="G123">
        <v>53</v>
      </c>
      <c r="H123" s="1">
        <v>43676</v>
      </c>
      <c r="I123" t="s">
        <v>49</v>
      </c>
      <c r="J123" t="s">
        <v>16</v>
      </c>
    </row>
    <row r="124" spans="1:10" x14ac:dyDescent="0.3">
      <c r="A124" t="s">
        <v>167</v>
      </c>
      <c r="B124" t="s">
        <v>24</v>
      </c>
      <c r="C124">
        <v>38</v>
      </c>
      <c r="D124" t="s">
        <v>12</v>
      </c>
      <c r="E124" t="s">
        <v>19</v>
      </c>
      <c r="F124" t="s">
        <v>36</v>
      </c>
      <c r="G124">
        <v>60</v>
      </c>
      <c r="H124" s="1">
        <v>43475</v>
      </c>
      <c r="I124" t="s">
        <v>47</v>
      </c>
      <c r="J124" t="s">
        <v>22</v>
      </c>
    </row>
    <row r="125" spans="1:10" x14ac:dyDescent="0.3">
      <c r="A125" t="s">
        <v>168</v>
      </c>
      <c r="B125" t="s">
        <v>11</v>
      </c>
      <c r="C125">
        <v>33</v>
      </c>
      <c r="D125" t="s">
        <v>18</v>
      </c>
      <c r="E125" t="s">
        <v>19</v>
      </c>
      <c r="F125" t="s">
        <v>14</v>
      </c>
      <c r="G125">
        <v>42</v>
      </c>
      <c r="H125" s="1">
        <v>44013</v>
      </c>
      <c r="I125" t="s">
        <v>26</v>
      </c>
      <c r="J125" t="s">
        <v>16</v>
      </c>
    </row>
    <row r="126" spans="1:10" x14ac:dyDescent="0.3">
      <c r="A126" t="s">
        <v>169</v>
      </c>
      <c r="B126" t="s">
        <v>24</v>
      </c>
      <c r="C126">
        <v>28</v>
      </c>
      <c r="D126" t="s">
        <v>18</v>
      </c>
      <c r="E126" t="s">
        <v>19</v>
      </c>
      <c r="F126" t="s">
        <v>14</v>
      </c>
      <c r="G126">
        <v>20</v>
      </c>
      <c r="H126" s="1">
        <v>44673</v>
      </c>
      <c r="I126" t="s">
        <v>29</v>
      </c>
      <c r="J126" t="s">
        <v>27</v>
      </c>
    </row>
    <row r="127" spans="1:10" x14ac:dyDescent="0.3">
      <c r="A127" t="s">
        <v>170</v>
      </c>
      <c r="B127" t="s">
        <v>24</v>
      </c>
      <c r="C127">
        <v>53</v>
      </c>
      <c r="D127" t="s">
        <v>46</v>
      </c>
      <c r="E127" t="s">
        <v>13</v>
      </c>
      <c r="F127" t="s">
        <v>14</v>
      </c>
      <c r="G127">
        <v>52</v>
      </c>
      <c r="H127" s="1">
        <v>43732</v>
      </c>
      <c r="I127" t="s">
        <v>26</v>
      </c>
      <c r="J127" t="s">
        <v>16</v>
      </c>
    </row>
    <row r="128" spans="1:10" x14ac:dyDescent="0.3">
      <c r="A128" t="s">
        <v>171</v>
      </c>
      <c r="B128" t="s">
        <v>31</v>
      </c>
      <c r="C128">
        <v>46</v>
      </c>
      <c r="D128" t="s">
        <v>46</v>
      </c>
      <c r="E128" t="s">
        <v>13</v>
      </c>
      <c r="F128" t="s">
        <v>38</v>
      </c>
      <c r="G128">
        <v>29</v>
      </c>
      <c r="H128" s="1">
        <v>44416</v>
      </c>
      <c r="I128" t="s">
        <v>34</v>
      </c>
      <c r="J128" t="s">
        <v>22</v>
      </c>
    </row>
    <row r="129" spans="1:10" x14ac:dyDescent="0.3">
      <c r="A129" t="s">
        <v>172</v>
      </c>
      <c r="B129" t="s">
        <v>11</v>
      </c>
      <c r="C129">
        <v>32</v>
      </c>
      <c r="D129" t="s">
        <v>18</v>
      </c>
      <c r="E129" t="s">
        <v>19</v>
      </c>
      <c r="F129" t="s">
        <v>14</v>
      </c>
      <c r="G129">
        <v>22</v>
      </c>
      <c r="H129" s="1">
        <v>44605</v>
      </c>
      <c r="I129" t="s">
        <v>21</v>
      </c>
      <c r="J129" t="s">
        <v>27</v>
      </c>
    </row>
    <row r="130" spans="1:10" x14ac:dyDescent="0.3">
      <c r="A130" t="s">
        <v>173</v>
      </c>
      <c r="B130" t="s">
        <v>31</v>
      </c>
      <c r="C130">
        <v>30</v>
      </c>
      <c r="D130" t="s">
        <v>18</v>
      </c>
      <c r="E130" t="s">
        <v>19</v>
      </c>
      <c r="F130" t="s">
        <v>64</v>
      </c>
      <c r="G130">
        <v>54</v>
      </c>
      <c r="H130" s="1">
        <v>43649</v>
      </c>
      <c r="I130" t="s">
        <v>26</v>
      </c>
      <c r="J130" t="s">
        <v>16</v>
      </c>
    </row>
    <row r="131" spans="1:10" x14ac:dyDescent="0.3">
      <c r="A131" t="s">
        <v>174</v>
      </c>
      <c r="B131" t="s">
        <v>61</v>
      </c>
      <c r="C131">
        <v>29</v>
      </c>
      <c r="D131" t="s">
        <v>18</v>
      </c>
      <c r="E131" t="s">
        <v>19</v>
      </c>
      <c r="F131" t="s">
        <v>36</v>
      </c>
      <c r="G131">
        <v>10</v>
      </c>
      <c r="H131" s="1">
        <v>44988</v>
      </c>
      <c r="I131" t="s">
        <v>62</v>
      </c>
      <c r="J131" t="s">
        <v>27</v>
      </c>
    </row>
    <row r="132" spans="1:10" x14ac:dyDescent="0.3">
      <c r="A132" t="s">
        <v>175</v>
      </c>
      <c r="B132" t="s">
        <v>11</v>
      </c>
      <c r="C132">
        <v>24</v>
      </c>
      <c r="D132" t="s">
        <v>32</v>
      </c>
      <c r="E132" t="s">
        <v>13</v>
      </c>
      <c r="F132" t="s">
        <v>88</v>
      </c>
      <c r="G132">
        <v>59</v>
      </c>
      <c r="H132" s="1">
        <v>43509</v>
      </c>
      <c r="I132" t="s">
        <v>49</v>
      </c>
      <c r="J132" t="s">
        <v>22</v>
      </c>
    </row>
    <row r="133" spans="1:10" x14ac:dyDescent="0.3">
      <c r="A133" t="s">
        <v>176</v>
      </c>
      <c r="B133" t="s">
        <v>24</v>
      </c>
      <c r="C133">
        <v>30</v>
      </c>
      <c r="D133" t="s">
        <v>18</v>
      </c>
      <c r="E133" t="s">
        <v>13</v>
      </c>
      <c r="F133" t="s">
        <v>56</v>
      </c>
      <c r="G133">
        <v>21</v>
      </c>
      <c r="H133" s="1">
        <v>44644</v>
      </c>
      <c r="I133" t="s">
        <v>47</v>
      </c>
      <c r="J133" t="s">
        <v>16</v>
      </c>
    </row>
    <row r="134" spans="1:10" x14ac:dyDescent="0.3">
      <c r="A134" t="s">
        <v>177</v>
      </c>
      <c r="B134" t="s">
        <v>11</v>
      </c>
      <c r="C134">
        <v>36</v>
      </c>
      <c r="D134" t="s">
        <v>12</v>
      </c>
      <c r="E134" t="s">
        <v>19</v>
      </c>
      <c r="F134" t="s">
        <v>14</v>
      </c>
      <c r="G134">
        <v>26</v>
      </c>
      <c r="H134" s="1">
        <v>44510</v>
      </c>
      <c r="I134" t="s">
        <v>15</v>
      </c>
      <c r="J134" t="s">
        <v>16</v>
      </c>
    </row>
    <row r="135" spans="1:10" x14ac:dyDescent="0.3">
      <c r="A135" t="s">
        <v>178</v>
      </c>
      <c r="B135" t="s">
        <v>42</v>
      </c>
      <c r="C135">
        <v>52</v>
      </c>
      <c r="D135" t="s">
        <v>46</v>
      </c>
      <c r="E135" t="s">
        <v>19</v>
      </c>
      <c r="F135" t="s">
        <v>88</v>
      </c>
      <c r="G135">
        <v>60</v>
      </c>
      <c r="H135" s="1">
        <v>43474</v>
      </c>
      <c r="I135" t="s">
        <v>29</v>
      </c>
      <c r="J135" t="s">
        <v>27</v>
      </c>
    </row>
    <row r="136" spans="1:10" x14ac:dyDescent="0.3">
      <c r="A136" t="s">
        <v>179</v>
      </c>
      <c r="B136" t="s">
        <v>42</v>
      </c>
      <c r="C136">
        <v>23</v>
      </c>
      <c r="D136" t="s">
        <v>32</v>
      </c>
      <c r="E136" t="s">
        <v>13</v>
      </c>
      <c r="F136" t="s">
        <v>20</v>
      </c>
      <c r="G136">
        <v>49</v>
      </c>
      <c r="H136" s="1">
        <v>43794</v>
      </c>
      <c r="I136" t="s">
        <v>26</v>
      </c>
      <c r="J136" t="s">
        <v>16</v>
      </c>
    </row>
    <row r="137" spans="1:10" x14ac:dyDescent="0.3">
      <c r="A137" t="s">
        <v>180</v>
      </c>
      <c r="B137" t="s">
        <v>31</v>
      </c>
      <c r="C137">
        <v>32</v>
      </c>
      <c r="D137" t="s">
        <v>18</v>
      </c>
      <c r="E137" t="s">
        <v>13</v>
      </c>
      <c r="F137" t="s">
        <v>25</v>
      </c>
      <c r="G137">
        <v>51</v>
      </c>
      <c r="H137" s="1">
        <v>43735</v>
      </c>
      <c r="I137" t="s">
        <v>15</v>
      </c>
      <c r="J137" t="s">
        <v>27</v>
      </c>
    </row>
    <row r="138" spans="1:10" x14ac:dyDescent="0.3">
      <c r="A138" t="s">
        <v>181</v>
      </c>
      <c r="B138" t="s">
        <v>31</v>
      </c>
      <c r="C138">
        <v>40</v>
      </c>
      <c r="D138" t="s">
        <v>12</v>
      </c>
      <c r="E138" t="s">
        <v>13</v>
      </c>
      <c r="F138" t="s">
        <v>64</v>
      </c>
      <c r="G138">
        <v>26</v>
      </c>
      <c r="H138" s="1">
        <v>44496</v>
      </c>
      <c r="I138" t="s">
        <v>49</v>
      </c>
      <c r="J138" t="s">
        <v>27</v>
      </c>
    </row>
    <row r="139" spans="1:10" x14ac:dyDescent="0.3">
      <c r="A139" t="s">
        <v>182</v>
      </c>
      <c r="B139" t="s">
        <v>11</v>
      </c>
      <c r="C139">
        <v>40</v>
      </c>
      <c r="D139" t="s">
        <v>12</v>
      </c>
      <c r="E139" t="s">
        <v>19</v>
      </c>
      <c r="F139" t="s">
        <v>20</v>
      </c>
      <c r="G139">
        <v>57</v>
      </c>
      <c r="H139" s="1">
        <v>43553</v>
      </c>
      <c r="I139" t="s">
        <v>47</v>
      </c>
      <c r="J139" t="s">
        <v>22</v>
      </c>
    </row>
    <row r="140" spans="1:10" x14ac:dyDescent="0.3">
      <c r="A140" t="s">
        <v>183</v>
      </c>
      <c r="B140" t="s">
        <v>61</v>
      </c>
      <c r="C140">
        <v>18</v>
      </c>
      <c r="D140" t="s">
        <v>32</v>
      </c>
      <c r="E140" t="s">
        <v>19</v>
      </c>
      <c r="F140" t="s">
        <v>38</v>
      </c>
      <c r="G140">
        <v>3</v>
      </c>
      <c r="H140" s="1">
        <v>45197</v>
      </c>
      <c r="I140" t="s">
        <v>49</v>
      </c>
      <c r="J140" t="s">
        <v>27</v>
      </c>
    </row>
    <row r="141" spans="1:10" x14ac:dyDescent="0.3">
      <c r="A141" t="s">
        <v>184</v>
      </c>
      <c r="B141" t="s">
        <v>11</v>
      </c>
      <c r="C141">
        <v>41</v>
      </c>
      <c r="D141" t="s">
        <v>12</v>
      </c>
      <c r="E141" t="s">
        <v>13</v>
      </c>
      <c r="F141" t="s">
        <v>20</v>
      </c>
      <c r="G141">
        <v>37</v>
      </c>
      <c r="H141" s="1">
        <v>44157</v>
      </c>
      <c r="I141" t="s">
        <v>15</v>
      </c>
      <c r="J141" t="s">
        <v>22</v>
      </c>
    </row>
    <row r="142" spans="1:10" x14ac:dyDescent="0.3">
      <c r="A142" t="s">
        <v>185</v>
      </c>
      <c r="B142" t="s">
        <v>24</v>
      </c>
      <c r="C142">
        <v>38</v>
      </c>
      <c r="D142" t="s">
        <v>12</v>
      </c>
      <c r="E142" t="s">
        <v>13</v>
      </c>
      <c r="F142" t="s">
        <v>54</v>
      </c>
      <c r="G142">
        <v>46</v>
      </c>
      <c r="H142" s="1">
        <v>43910</v>
      </c>
      <c r="I142" t="s">
        <v>62</v>
      </c>
      <c r="J142" t="s">
        <v>16</v>
      </c>
    </row>
    <row r="143" spans="1:10" x14ac:dyDescent="0.3">
      <c r="A143" t="s">
        <v>186</v>
      </c>
      <c r="B143" t="s">
        <v>11</v>
      </c>
      <c r="C143">
        <v>30</v>
      </c>
      <c r="D143" t="s">
        <v>18</v>
      </c>
      <c r="E143" t="s">
        <v>13</v>
      </c>
      <c r="F143" t="s">
        <v>33</v>
      </c>
      <c r="G143">
        <v>22</v>
      </c>
      <c r="H143" s="1">
        <v>44610</v>
      </c>
      <c r="I143" t="s">
        <v>49</v>
      </c>
      <c r="J143" t="s">
        <v>27</v>
      </c>
    </row>
    <row r="144" spans="1:10" x14ac:dyDescent="0.3">
      <c r="A144" t="s">
        <v>187</v>
      </c>
      <c r="B144" t="s">
        <v>61</v>
      </c>
      <c r="C144">
        <v>32</v>
      </c>
      <c r="D144" t="s">
        <v>18</v>
      </c>
      <c r="E144" t="s">
        <v>19</v>
      </c>
      <c r="F144" t="s">
        <v>54</v>
      </c>
      <c r="G144">
        <v>27</v>
      </c>
      <c r="H144" s="1">
        <v>44467</v>
      </c>
      <c r="I144" t="s">
        <v>15</v>
      </c>
      <c r="J144" t="s">
        <v>16</v>
      </c>
    </row>
    <row r="145" spans="1:10" x14ac:dyDescent="0.3">
      <c r="A145" t="s">
        <v>188</v>
      </c>
      <c r="B145" t="s">
        <v>31</v>
      </c>
      <c r="C145">
        <v>28</v>
      </c>
      <c r="D145" t="s">
        <v>18</v>
      </c>
      <c r="E145" t="s">
        <v>13</v>
      </c>
      <c r="F145" t="s">
        <v>88</v>
      </c>
      <c r="G145">
        <v>50</v>
      </c>
      <c r="H145" s="1">
        <v>43779</v>
      </c>
      <c r="I145" t="s">
        <v>62</v>
      </c>
      <c r="J145" t="s">
        <v>16</v>
      </c>
    </row>
    <row r="146" spans="1:10" x14ac:dyDescent="0.3">
      <c r="A146" t="s">
        <v>189</v>
      </c>
      <c r="B146" t="s">
        <v>24</v>
      </c>
      <c r="C146">
        <v>26</v>
      </c>
      <c r="D146" t="s">
        <v>18</v>
      </c>
      <c r="E146" t="s">
        <v>13</v>
      </c>
      <c r="F146" t="s">
        <v>88</v>
      </c>
      <c r="G146">
        <v>49</v>
      </c>
      <c r="H146" s="1">
        <v>43821</v>
      </c>
      <c r="I146" t="s">
        <v>15</v>
      </c>
      <c r="J146" t="s">
        <v>27</v>
      </c>
    </row>
    <row r="147" spans="1:10" x14ac:dyDescent="0.3">
      <c r="A147" t="s">
        <v>190</v>
      </c>
      <c r="B147" t="s">
        <v>31</v>
      </c>
      <c r="C147">
        <v>26</v>
      </c>
      <c r="D147" t="s">
        <v>18</v>
      </c>
      <c r="E147" t="s">
        <v>105</v>
      </c>
      <c r="F147" t="s">
        <v>36</v>
      </c>
      <c r="G147">
        <v>52</v>
      </c>
      <c r="H147" s="1">
        <v>43703</v>
      </c>
      <c r="I147" t="s">
        <v>34</v>
      </c>
      <c r="J147" t="s">
        <v>65</v>
      </c>
    </row>
    <row r="148" spans="1:10" x14ac:dyDescent="0.3">
      <c r="A148" t="s">
        <v>191</v>
      </c>
      <c r="B148" t="s">
        <v>24</v>
      </c>
      <c r="C148">
        <v>30</v>
      </c>
      <c r="D148" t="s">
        <v>18</v>
      </c>
      <c r="E148" t="s">
        <v>13</v>
      </c>
      <c r="F148" t="s">
        <v>20</v>
      </c>
      <c r="G148">
        <v>26</v>
      </c>
      <c r="H148" s="1">
        <v>44485</v>
      </c>
      <c r="I148" t="s">
        <v>15</v>
      </c>
      <c r="J148" t="s">
        <v>27</v>
      </c>
    </row>
    <row r="149" spans="1:10" x14ac:dyDescent="0.3">
      <c r="A149" t="s">
        <v>192</v>
      </c>
      <c r="B149" t="s">
        <v>31</v>
      </c>
      <c r="C149">
        <v>18</v>
      </c>
      <c r="D149" t="s">
        <v>32</v>
      </c>
      <c r="E149" t="s">
        <v>19</v>
      </c>
      <c r="F149" t="s">
        <v>54</v>
      </c>
      <c r="G149">
        <v>38</v>
      </c>
      <c r="H149" s="1">
        <v>44152</v>
      </c>
      <c r="I149" t="s">
        <v>47</v>
      </c>
      <c r="J149" t="s">
        <v>27</v>
      </c>
    </row>
    <row r="150" spans="1:10" x14ac:dyDescent="0.3">
      <c r="A150" t="s">
        <v>193</v>
      </c>
      <c r="B150" t="s">
        <v>31</v>
      </c>
      <c r="C150">
        <v>44</v>
      </c>
      <c r="D150" t="s">
        <v>12</v>
      </c>
      <c r="E150" t="s">
        <v>19</v>
      </c>
      <c r="F150" t="s">
        <v>56</v>
      </c>
      <c r="G150">
        <v>5</v>
      </c>
      <c r="H150" s="1">
        <v>45139</v>
      </c>
      <c r="I150" t="s">
        <v>26</v>
      </c>
      <c r="J150" t="s">
        <v>22</v>
      </c>
    </row>
    <row r="151" spans="1:10" x14ac:dyDescent="0.3">
      <c r="A151" t="s">
        <v>194</v>
      </c>
      <c r="B151" t="s">
        <v>11</v>
      </c>
      <c r="C151">
        <v>36</v>
      </c>
      <c r="D151" t="s">
        <v>12</v>
      </c>
      <c r="E151" t="s">
        <v>19</v>
      </c>
      <c r="F151" t="s">
        <v>54</v>
      </c>
      <c r="G151">
        <v>8</v>
      </c>
      <c r="H151" s="1">
        <v>45043</v>
      </c>
      <c r="I151" t="s">
        <v>29</v>
      </c>
      <c r="J151" t="s">
        <v>27</v>
      </c>
    </row>
    <row r="152" spans="1:10" x14ac:dyDescent="0.3">
      <c r="A152" t="s">
        <v>195</v>
      </c>
      <c r="B152" t="s">
        <v>61</v>
      </c>
      <c r="C152">
        <v>39</v>
      </c>
      <c r="D152" t="s">
        <v>12</v>
      </c>
      <c r="E152" t="s">
        <v>13</v>
      </c>
      <c r="F152" t="s">
        <v>38</v>
      </c>
      <c r="G152">
        <v>45</v>
      </c>
      <c r="H152" s="1">
        <v>43924</v>
      </c>
      <c r="I152" t="s">
        <v>47</v>
      </c>
      <c r="J152" t="s">
        <v>16</v>
      </c>
    </row>
    <row r="153" spans="1:10" x14ac:dyDescent="0.3">
      <c r="A153" t="s">
        <v>196</v>
      </c>
      <c r="B153" t="s">
        <v>61</v>
      </c>
      <c r="C153">
        <v>36</v>
      </c>
      <c r="D153" t="s">
        <v>12</v>
      </c>
      <c r="E153" t="s">
        <v>105</v>
      </c>
      <c r="F153" t="s">
        <v>33</v>
      </c>
      <c r="G153">
        <v>3</v>
      </c>
      <c r="H153" s="1">
        <v>45175</v>
      </c>
      <c r="I153" t="s">
        <v>15</v>
      </c>
      <c r="J153" t="s">
        <v>16</v>
      </c>
    </row>
    <row r="154" spans="1:10" x14ac:dyDescent="0.3">
      <c r="A154" t="s">
        <v>197</v>
      </c>
      <c r="B154" t="s">
        <v>61</v>
      </c>
      <c r="C154">
        <v>27</v>
      </c>
      <c r="D154" t="s">
        <v>18</v>
      </c>
      <c r="E154" t="s">
        <v>13</v>
      </c>
      <c r="F154" t="s">
        <v>20</v>
      </c>
      <c r="G154">
        <v>41</v>
      </c>
      <c r="H154" s="1">
        <v>44060</v>
      </c>
      <c r="I154" t="s">
        <v>39</v>
      </c>
      <c r="J154" t="s">
        <v>22</v>
      </c>
    </row>
    <row r="155" spans="1:10" x14ac:dyDescent="0.3">
      <c r="A155" t="s">
        <v>198</v>
      </c>
      <c r="B155" t="s">
        <v>11</v>
      </c>
      <c r="C155">
        <v>48</v>
      </c>
      <c r="D155" t="s">
        <v>46</v>
      </c>
      <c r="E155" t="s">
        <v>19</v>
      </c>
      <c r="F155" t="s">
        <v>38</v>
      </c>
      <c r="G155">
        <v>35</v>
      </c>
      <c r="H155" s="1">
        <v>44237</v>
      </c>
      <c r="I155" t="s">
        <v>34</v>
      </c>
      <c r="J155" t="s">
        <v>16</v>
      </c>
    </row>
    <row r="156" spans="1:10" x14ac:dyDescent="0.3">
      <c r="A156" t="s">
        <v>199</v>
      </c>
      <c r="B156" t="s">
        <v>42</v>
      </c>
      <c r="C156">
        <v>39</v>
      </c>
      <c r="D156" t="s">
        <v>12</v>
      </c>
      <c r="E156" t="s">
        <v>13</v>
      </c>
      <c r="F156" t="s">
        <v>20</v>
      </c>
      <c r="G156">
        <v>25</v>
      </c>
      <c r="H156" s="1">
        <v>44534</v>
      </c>
      <c r="I156" t="s">
        <v>62</v>
      </c>
      <c r="J156" t="s">
        <v>65</v>
      </c>
    </row>
    <row r="157" spans="1:10" x14ac:dyDescent="0.3">
      <c r="A157" t="s">
        <v>200</v>
      </c>
      <c r="B157" t="s">
        <v>11</v>
      </c>
      <c r="C157">
        <v>55</v>
      </c>
      <c r="D157" t="s">
        <v>201</v>
      </c>
      <c r="E157" t="s">
        <v>19</v>
      </c>
      <c r="F157" t="s">
        <v>64</v>
      </c>
      <c r="G157">
        <v>22</v>
      </c>
      <c r="H157" s="1">
        <v>44614</v>
      </c>
      <c r="I157" t="s">
        <v>34</v>
      </c>
      <c r="J157" t="s">
        <v>16</v>
      </c>
    </row>
    <row r="158" spans="1:10" x14ac:dyDescent="0.3">
      <c r="A158" t="s">
        <v>202</v>
      </c>
      <c r="B158" t="s">
        <v>31</v>
      </c>
      <c r="C158">
        <v>18</v>
      </c>
      <c r="D158" t="s">
        <v>32</v>
      </c>
      <c r="E158" t="s">
        <v>13</v>
      </c>
      <c r="F158" t="s">
        <v>33</v>
      </c>
      <c r="G158">
        <v>7</v>
      </c>
      <c r="H158" s="1">
        <v>45072</v>
      </c>
      <c r="I158" t="s">
        <v>34</v>
      </c>
      <c r="J158" t="s">
        <v>22</v>
      </c>
    </row>
    <row r="159" spans="1:10" x14ac:dyDescent="0.3">
      <c r="A159" t="s">
        <v>203</v>
      </c>
      <c r="B159" t="s">
        <v>31</v>
      </c>
      <c r="C159">
        <v>35</v>
      </c>
      <c r="D159" t="s">
        <v>12</v>
      </c>
      <c r="E159" t="s">
        <v>13</v>
      </c>
      <c r="F159" t="s">
        <v>36</v>
      </c>
      <c r="G159">
        <v>10</v>
      </c>
      <c r="H159" s="1">
        <v>44964</v>
      </c>
      <c r="I159" t="s">
        <v>29</v>
      </c>
      <c r="J159" t="s">
        <v>16</v>
      </c>
    </row>
    <row r="160" spans="1:10" x14ac:dyDescent="0.3">
      <c r="A160" t="s">
        <v>204</v>
      </c>
      <c r="B160" t="s">
        <v>61</v>
      </c>
      <c r="C160">
        <v>36</v>
      </c>
      <c r="D160" t="s">
        <v>12</v>
      </c>
      <c r="E160" t="s">
        <v>13</v>
      </c>
      <c r="F160" t="s">
        <v>88</v>
      </c>
      <c r="G160">
        <v>26</v>
      </c>
      <c r="H160" s="1">
        <v>44484</v>
      </c>
      <c r="I160" t="s">
        <v>34</v>
      </c>
      <c r="J160" t="s">
        <v>27</v>
      </c>
    </row>
    <row r="161" spans="1:10" x14ac:dyDescent="0.3">
      <c r="A161" t="s">
        <v>205</v>
      </c>
      <c r="B161" t="s">
        <v>61</v>
      </c>
      <c r="C161">
        <v>18</v>
      </c>
      <c r="D161" t="s">
        <v>32</v>
      </c>
      <c r="E161" t="s">
        <v>19</v>
      </c>
      <c r="F161" t="s">
        <v>14</v>
      </c>
      <c r="G161">
        <v>51</v>
      </c>
      <c r="H161" s="1">
        <v>43757</v>
      </c>
      <c r="I161" t="s">
        <v>26</v>
      </c>
      <c r="J161" t="s">
        <v>65</v>
      </c>
    </row>
    <row r="162" spans="1:10" x14ac:dyDescent="0.3">
      <c r="A162" t="s">
        <v>206</v>
      </c>
      <c r="B162" t="s">
        <v>31</v>
      </c>
      <c r="C162">
        <v>41</v>
      </c>
      <c r="D162" t="s">
        <v>12</v>
      </c>
      <c r="E162" t="s">
        <v>19</v>
      </c>
      <c r="F162" t="s">
        <v>20</v>
      </c>
      <c r="G162">
        <v>30</v>
      </c>
      <c r="H162" s="1">
        <v>44365</v>
      </c>
      <c r="I162" t="s">
        <v>21</v>
      </c>
      <c r="J162" t="s">
        <v>22</v>
      </c>
    </row>
    <row r="163" spans="1:10" x14ac:dyDescent="0.3">
      <c r="A163" t="s">
        <v>207</v>
      </c>
      <c r="B163" t="s">
        <v>42</v>
      </c>
      <c r="C163">
        <v>22</v>
      </c>
      <c r="D163" t="s">
        <v>32</v>
      </c>
      <c r="E163" t="s">
        <v>13</v>
      </c>
      <c r="F163" t="s">
        <v>88</v>
      </c>
      <c r="G163">
        <v>33</v>
      </c>
      <c r="H163" s="1">
        <v>44281</v>
      </c>
      <c r="I163" t="s">
        <v>49</v>
      </c>
      <c r="J163" t="s">
        <v>27</v>
      </c>
    </row>
    <row r="164" spans="1:10" x14ac:dyDescent="0.3">
      <c r="A164" t="s">
        <v>208</v>
      </c>
      <c r="B164" t="s">
        <v>31</v>
      </c>
      <c r="C164">
        <v>33</v>
      </c>
      <c r="D164" t="s">
        <v>18</v>
      </c>
      <c r="E164" t="s">
        <v>19</v>
      </c>
      <c r="F164" t="s">
        <v>54</v>
      </c>
      <c r="G164">
        <v>45</v>
      </c>
      <c r="H164" s="1">
        <v>43937</v>
      </c>
      <c r="I164" t="s">
        <v>47</v>
      </c>
      <c r="J164" t="s">
        <v>27</v>
      </c>
    </row>
    <row r="165" spans="1:10" x14ac:dyDescent="0.3">
      <c r="A165" t="s">
        <v>209</v>
      </c>
      <c r="B165" t="s">
        <v>24</v>
      </c>
      <c r="C165">
        <v>26</v>
      </c>
      <c r="D165" t="s">
        <v>18</v>
      </c>
      <c r="E165" t="s">
        <v>19</v>
      </c>
      <c r="F165" t="s">
        <v>88</v>
      </c>
      <c r="G165">
        <v>16</v>
      </c>
      <c r="H165" s="1">
        <v>44810</v>
      </c>
      <c r="I165" t="s">
        <v>26</v>
      </c>
      <c r="J165" t="s">
        <v>27</v>
      </c>
    </row>
    <row r="166" spans="1:10" x14ac:dyDescent="0.3">
      <c r="A166" t="s">
        <v>210</v>
      </c>
      <c r="B166" t="s">
        <v>31</v>
      </c>
      <c r="C166">
        <v>25</v>
      </c>
      <c r="D166" t="s">
        <v>18</v>
      </c>
      <c r="E166" t="s">
        <v>19</v>
      </c>
      <c r="F166" t="s">
        <v>54</v>
      </c>
      <c r="G166">
        <v>24</v>
      </c>
      <c r="H166" s="1">
        <v>44549</v>
      </c>
      <c r="I166" t="s">
        <v>21</v>
      </c>
      <c r="J166" t="s">
        <v>27</v>
      </c>
    </row>
    <row r="167" spans="1:10" x14ac:dyDescent="0.3">
      <c r="A167" t="s">
        <v>211</v>
      </c>
      <c r="B167" t="s">
        <v>31</v>
      </c>
      <c r="C167">
        <v>29</v>
      </c>
      <c r="D167" t="s">
        <v>18</v>
      </c>
      <c r="E167" t="s">
        <v>19</v>
      </c>
      <c r="F167" t="s">
        <v>38</v>
      </c>
      <c r="G167">
        <v>47</v>
      </c>
      <c r="H167" s="1">
        <v>43876</v>
      </c>
      <c r="I167" t="s">
        <v>39</v>
      </c>
      <c r="J167" t="s">
        <v>65</v>
      </c>
    </row>
    <row r="168" spans="1:10" x14ac:dyDescent="0.3">
      <c r="A168" t="s">
        <v>212</v>
      </c>
      <c r="B168" t="s">
        <v>24</v>
      </c>
      <c r="C168">
        <v>28</v>
      </c>
      <c r="D168" t="s">
        <v>18</v>
      </c>
      <c r="E168" t="s">
        <v>13</v>
      </c>
      <c r="F168" t="s">
        <v>88</v>
      </c>
      <c r="G168">
        <v>14</v>
      </c>
      <c r="H168" s="1">
        <v>44858</v>
      </c>
      <c r="I168" t="s">
        <v>26</v>
      </c>
      <c r="J168" t="s">
        <v>27</v>
      </c>
    </row>
    <row r="169" spans="1:10" x14ac:dyDescent="0.3">
      <c r="A169" t="s">
        <v>213</v>
      </c>
      <c r="B169" t="s">
        <v>24</v>
      </c>
      <c r="C169">
        <v>23</v>
      </c>
      <c r="D169" t="s">
        <v>32</v>
      </c>
      <c r="E169" t="s">
        <v>13</v>
      </c>
      <c r="F169" t="s">
        <v>38</v>
      </c>
      <c r="G169">
        <v>18</v>
      </c>
      <c r="H169" s="1">
        <v>44725</v>
      </c>
      <c r="I169" t="s">
        <v>26</v>
      </c>
      <c r="J169" t="s">
        <v>27</v>
      </c>
    </row>
    <row r="170" spans="1:10" x14ac:dyDescent="0.3">
      <c r="A170" t="s">
        <v>214</v>
      </c>
      <c r="B170" t="s">
        <v>24</v>
      </c>
      <c r="C170">
        <v>33</v>
      </c>
      <c r="D170" t="s">
        <v>18</v>
      </c>
      <c r="E170" t="s">
        <v>19</v>
      </c>
      <c r="F170" t="s">
        <v>38</v>
      </c>
      <c r="G170">
        <v>46</v>
      </c>
      <c r="H170" s="1">
        <v>43886</v>
      </c>
      <c r="I170" t="s">
        <v>39</v>
      </c>
      <c r="J170" t="s">
        <v>27</v>
      </c>
    </row>
    <row r="171" spans="1:10" x14ac:dyDescent="0.3">
      <c r="A171" t="s">
        <v>215</v>
      </c>
      <c r="B171" t="s">
        <v>11</v>
      </c>
      <c r="C171">
        <v>39</v>
      </c>
      <c r="D171" t="s">
        <v>12</v>
      </c>
      <c r="E171" t="s">
        <v>19</v>
      </c>
      <c r="F171" t="s">
        <v>54</v>
      </c>
      <c r="G171">
        <v>38</v>
      </c>
      <c r="H171" s="1">
        <v>44126</v>
      </c>
      <c r="I171" t="s">
        <v>39</v>
      </c>
      <c r="J171" t="s">
        <v>27</v>
      </c>
    </row>
    <row r="172" spans="1:10" x14ac:dyDescent="0.3">
      <c r="A172" t="s">
        <v>216</v>
      </c>
      <c r="B172" t="s">
        <v>11</v>
      </c>
      <c r="C172">
        <v>25</v>
      </c>
      <c r="D172" t="s">
        <v>18</v>
      </c>
      <c r="E172" t="s">
        <v>19</v>
      </c>
      <c r="F172" t="s">
        <v>64</v>
      </c>
      <c r="G172">
        <v>47</v>
      </c>
      <c r="H172" s="1">
        <v>43860</v>
      </c>
      <c r="I172" t="s">
        <v>26</v>
      </c>
      <c r="J172" t="s">
        <v>27</v>
      </c>
    </row>
    <row r="173" spans="1:10" x14ac:dyDescent="0.3">
      <c r="A173" t="s">
        <v>217</v>
      </c>
      <c r="B173" t="s">
        <v>42</v>
      </c>
      <c r="C173">
        <v>52</v>
      </c>
      <c r="D173" t="s">
        <v>46</v>
      </c>
      <c r="E173" t="s">
        <v>19</v>
      </c>
      <c r="F173" t="s">
        <v>36</v>
      </c>
      <c r="G173">
        <v>38</v>
      </c>
      <c r="H173" s="1">
        <v>44137</v>
      </c>
      <c r="I173" t="s">
        <v>62</v>
      </c>
      <c r="J173" t="s">
        <v>16</v>
      </c>
    </row>
    <row r="174" spans="1:10" x14ac:dyDescent="0.3">
      <c r="A174" t="s">
        <v>218</v>
      </c>
      <c r="B174" t="s">
        <v>24</v>
      </c>
      <c r="C174">
        <v>18</v>
      </c>
      <c r="D174" t="s">
        <v>32</v>
      </c>
      <c r="E174" t="s">
        <v>19</v>
      </c>
      <c r="F174" t="s">
        <v>20</v>
      </c>
      <c r="G174">
        <v>21</v>
      </c>
      <c r="H174" s="1">
        <v>44653</v>
      </c>
      <c r="I174" t="s">
        <v>47</v>
      </c>
      <c r="J174" t="s">
        <v>27</v>
      </c>
    </row>
    <row r="175" spans="1:10" x14ac:dyDescent="0.3">
      <c r="A175" t="s">
        <v>219</v>
      </c>
      <c r="B175" t="s">
        <v>42</v>
      </c>
      <c r="C175">
        <v>31</v>
      </c>
      <c r="D175" t="s">
        <v>18</v>
      </c>
      <c r="E175" t="s">
        <v>19</v>
      </c>
      <c r="F175" t="s">
        <v>64</v>
      </c>
      <c r="G175">
        <v>12</v>
      </c>
      <c r="H175" s="1">
        <v>44923</v>
      </c>
      <c r="I175" t="s">
        <v>39</v>
      </c>
      <c r="J175" t="s">
        <v>22</v>
      </c>
    </row>
    <row r="176" spans="1:10" x14ac:dyDescent="0.3">
      <c r="A176" t="s">
        <v>220</v>
      </c>
      <c r="B176" t="s">
        <v>31</v>
      </c>
      <c r="C176">
        <v>47</v>
      </c>
      <c r="D176" t="s">
        <v>46</v>
      </c>
      <c r="E176" t="s">
        <v>19</v>
      </c>
      <c r="F176" t="s">
        <v>38</v>
      </c>
      <c r="G176">
        <v>10</v>
      </c>
      <c r="H176" s="1">
        <v>44985</v>
      </c>
      <c r="I176" t="s">
        <v>49</v>
      </c>
      <c r="J176" t="s">
        <v>65</v>
      </c>
    </row>
    <row r="177" spans="1:10" x14ac:dyDescent="0.3">
      <c r="A177" t="s">
        <v>221</v>
      </c>
      <c r="B177" t="s">
        <v>24</v>
      </c>
      <c r="C177">
        <v>40</v>
      </c>
      <c r="D177" t="s">
        <v>12</v>
      </c>
      <c r="E177" t="s">
        <v>19</v>
      </c>
      <c r="F177" t="s">
        <v>14</v>
      </c>
      <c r="G177">
        <v>43</v>
      </c>
      <c r="H177" s="1">
        <v>43977</v>
      </c>
      <c r="I177" t="s">
        <v>49</v>
      </c>
      <c r="J177" t="s">
        <v>27</v>
      </c>
    </row>
    <row r="178" spans="1:10" x14ac:dyDescent="0.3">
      <c r="A178" t="s">
        <v>222</v>
      </c>
      <c r="B178" t="s">
        <v>42</v>
      </c>
      <c r="C178">
        <v>19</v>
      </c>
      <c r="D178" t="s">
        <v>32</v>
      </c>
      <c r="E178" t="s">
        <v>19</v>
      </c>
      <c r="F178" t="s">
        <v>38</v>
      </c>
      <c r="G178">
        <v>50</v>
      </c>
      <c r="H178" s="1">
        <v>43766</v>
      </c>
      <c r="I178" t="s">
        <v>26</v>
      </c>
      <c r="J178" t="s">
        <v>27</v>
      </c>
    </row>
    <row r="179" spans="1:10" x14ac:dyDescent="0.3">
      <c r="A179" t="s">
        <v>223</v>
      </c>
      <c r="B179" t="s">
        <v>11</v>
      </c>
      <c r="C179">
        <v>26</v>
      </c>
      <c r="D179" t="s">
        <v>18</v>
      </c>
      <c r="E179" t="s">
        <v>13</v>
      </c>
      <c r="F179" t="s">
        <v>36</v>
      </c>
      <c r="G179">
        <v>54</v>
      </c>
      <c r="H179" s="1">
        <v>43648</v>
      </c>
      <c r="I179" t="s">
        <v>34</v>
      </c>
      <c r="J179" t="s">
        <v>22</v>
      </c>
    </row>
    <row r="180" spans="1:10" x14ac:dyDescent="0.3">
      <c r="A180" t="s">
        <v>224</v>
      </c>
      <c r="B180" t="s">
        <v>31</v>
      </c>
      <c r="C180">
        <v>33</v>
      </c>
      <c r="D180" t="s">
        <v>18</v>
      </c>
      <c r="E180" t="s">
        <v>19</v>
      </c>
      <c r="F180" t="s">
        <v>54</v>
      </c>
      <c r="G180">
        <v>45</v>
      </c>
      <c r="H180" s="1">
        <v>43931</v>
      </c>
      <c r="I180" t="s">
        <v>21</v>
      </c>
      <c r="J180" t="s">
        <v>16</v>
      </c>
    </row>
    <row r="181" spans="1:10" x14ac:dyDescent="0.3">
      <c r="A181" t="s">
        <v>225</v>
      </c>
      <c r="B181" t="s">
        <v>42</v>
      </c>
      <c r="C181">
        <v>31</v>
      </c>
      <c r="D181" t="s">
        <v>18</v>
      </c>
      <c r="E181" t="s">
        <v>13</v>
      </c>
      <c r="F181" t="s">
        <v>38</v>
      </c>
      <c r="G181">
        <v>49</v>
      </c>
      <c r="H181" s="1">
        <v>43821</v>
      </c>
      <c r="I181" t="s">
        <v>29</v>
      </c>
      <c r="J181" t="s">
        <v>16</v>
      </c>
    </row>
    <row r="182" spans="1:10" x14ac:dyDescent="0.3">
      <c r="A182" t="s">
        <v>226</v>
      </c>
      <c r="B182" t="s">
        <v>31</v>
      </c>
      <c r="C182">
        <v>23</v>
      </c>
      <c r="D182" t="s">
        <v>32</v>
      </c>
      <c r="E182" t="s">
        <v>13</v>
      </c>
      <c r="F182" t="s">
        <v>64</v>
      </c>
      <c r="G182">
        <v>7</v>
      </c>
      <c r="H182" s="1">
        <v>45080</v>
      </c>
      <c r="I182" t="s">
        <v>29</v>
      </c>
      <c r="J182" t="s">
        <v>16</v>
      </c>
    </row>
    <row r="183" spans="1:10" x14ac:dyDescent="0.3">
      <c r="A183" t="s">
        <v>227</v>
      </c>
      <c r="B183" t="s">
        <v>31</v>
      </c>
      <c r="C183">
        <v>34</v>
      </c>
      <c r="D183" t="s">
        <v>18</v>
      </c>
      <c r="E183" t="s">
        <v>13</v>
      </c>
      <c r="F183" t="s">
        <v>20</v>
      </c>
      <c r="G183">
        <v>43</v>
      </c>
      <c r="H183" s="1">
        <v>43976</v>
      </c>
      <c r="I183" t="s">
        <v>39</v>
      </c>
      <c r="J183" t="s">
        <v>65</v>
      </c>
    </row>
    <row r="184" spans="1:10" x14ac:dyDescent="0.3">
      <c r="A184" t="s">
        <v>228</v>
      </c>
      <c r="B184" t="s">
        <v>24</v>
      </c>
      <c r="C184">
        <v>22</v>
      </c>
      <c r="D184" t="s">
        <v>32</v>
      </c>
      <c r="E184" t="s">
        <v>13</v>
      </c>
      <c r="F184" t="s">
        <v>14</v>
      </c>
      <c r="G184">
        <v>45</v>
      </c>
      <c r="H184" s="1">
        <v>43942</v>
      </c>
      <c r="I184" t="s">
        <v>29</v>
      </c>
      <c r="J184" t="s">
        <v>16</v>
      </c>
    </row>
    <row r="185" spans="1:10" x14ac:dyDescent="0.3">
      <c r="A185" t="s">
        <v>229</v>
      </c>
      <c r="B185" t="s">
        <v>11</v>
      </c>
      <c r="C185">
        <v>39</v>
      </c>
      <c r="D185" t="s">
        <v>12</v>
      </c>
      <c r="E185" t="s">
        <v>19</v>
      </c>
      <c r="F185" t="s">
        <v>20</v>
      </c>
      <c r="G185">
        <v>34</v>
      </c>
      <c r="H185" s="1">
        <v>44249</v>
      </c>
      <c r="I185" t="s">
        <v>49</v>
      </c>
      <c r="J185" t="s">
        <v>16</v>
      </c>
    </row>
    <row r="186" spans="1:10" x14ac:dyDescent="0.3">
      <c r="A186" t="s">
        <v>230</v>
      </c>
      <c r="B186" t="s">
        <v>24</v>
      </c>
      <c r="C186">
        <v>37</v>
      </c>
      <c r="D186" t="s">
        <v>12</v>
      </c>
      <c r="E186" t="s">
        <v>19</v>
      </c>
      <c r="F186" t="s">
        <v>36</v>
      </c>
      <c r="G186">
        <v>53</v>
      </c>
      <c r="H186" s="1">
        <v>43685</v>
      </c>
      <c r="I186" t="s">
        <v>29</v>
      </c>
      <c r="J186" t="s">
        <v>16</v>
      </c>
    </row>
    <row r="187" spans="1:10" x14ac:dyDescent="0.3">
      <c r="A187" t="s">
        <v>231</v>
      </c>
      <c r="B187" t="s">
        <v>24</v>
      </c>
      <c r="C187">
        <v>19</v>
      </c>
      <c r="D187" t="s">
        <v>32</v>
      </c>
      <c r="E187" t="s">
        <v>13</v>
      </c>
      <c r="F187" t="s">
        <v>33</v>
      </c>
      <c r="G187">
        <v>37</v>
      </c>
      <c r="H187" s="1">
        <v>44161</v>
      </c>
      <c r="I187" t="s">
        <v>39</v>
      </c>
      <c r="J187" t="s">
        <v>16</v>
      </c>
    </row>
    <row r="188" spans="1:10" x14ac:dyDescent="0.3">
      <c r="A188" t="s">
        <v>232</v>
      </c>
      <c r="B188" t="s">
        <v>11</v>
      </c>
      <c r="C188">
        <v>42</v>
      </c>
      <c r="D188" t="s">
        <v>12</v>
      </c>
      <c r="E188" t="s">
        <v>13</v>
      </c>
      <c r="F188" t="s">
        <v>64</v>
      </c>
      <c r="G188">
        <v>50</v>
      </c>
      <c r="H188" s="1">
        <v>43768</v>
      </c>
      <c r="I188" t="s">
        <v>15</v>
      </c>
      <c r="J188" t="s">
        <v>16</v>
      </c>
    </row>
    <row r="189" spans="1:10" x14ac:dyDescent="0.3">
      <c r="A189" t="s">
        <v>233</v>
      </c>
      <c r="B189" t="s">
        <v>31</v>
      </c>
      <c r="C189">
        <v>33</v>
      </c>
      <c r="D189" t="s">
        <v>18</v>
      </c>
      <c r="E189" t="s">
        <v>19</v>
      </c>
      <c r="F189" t="s">
        <v>33</v>
      </c>
      <c r="G189">
        <v>36</v>
      </c>
      <c r="H189" s="1">
        <v>44203</v>
      </c>
      <c r="I189" t="s">
        <v>21</v>
      </c>
      <c r="J189" t="s">
        <v>16</v>
      </c>
    </row>
    <row r="190" spans="1:10" x14ac:dyDescent="0.3">
      <c r="A190" t="s">
        <v>234</v>
      </c>
      <c r="B190" t="s">
        <v>31</v>
      </c>
      <c r="C190">
        <v>40</v>
      </c>
      <c r="D190" t="s">
        <v>12</v>
      </c>
      <c r="E190" t="s">
        <v>105</v>
      </c>
      <c r="F190" t="s">
        <v>38</v>
      </c>
      <c r="G190">
        <v>34</v>
      </c>
      <c r="H190" s="1">
        <v>44246</v>
      </c>
      <c r="I190" t="s">
        <v>26</v>
      </c>
      <c r="J190" t="s">
        <v>27</v>
      </c>
    </row>
    <row r="191" spans="1:10" x14ac:dyDescent="0.3">
      <c r="A191" t="s">
        <v>235</v>
      </c>
      <c r="B191" t="s">
        <v>31</v>
      </c>
      <c r="C191">
        <v>33</v>
      </c>
      <c r="D191" t="s">
        <v>18</v>
      </c>
      <c r="E191" t="s">
        <v>19</v>
      </c>
      <c r="F191" t="s">
        <v>25</v>
      </c>
      <c r="G191">
        <v>17</v>
      </c>
      <c r="H191" s="1">
        <v>44762</v>
      </c>
      <c r="I191" t="s">
        <v>47</v>
      </c>
      <c r="J191" t="s">
        <v>27</v>
      </c>
    </row>
    <row r="192" spans="1:10" x14ac:dyDescent="0.3">
      <c r="A192" t="s">
        <v>236</v>
      </c>
      <c r="B192" t="s">
        <v>24</v>
      </c>
      <c r="C192">
        <v>36</v>
      </c>
      <c r="D192" t="s">
        <v>12</v>
      </c>
      <c r="E192" t="s">
        <v>19</v>
      </c>
      <c r="F192" t="s">
        <v>88</v>
      </c>
      <c r="G192">
        <v>26</v>
      </c>
      <c r="H192" s="1">
        <v>44499</v>
      </c>
      <c r="I192" t="s">
        <v>29</v>
      </c>
      <c r="J192" t="s">
        <v>27</v>
      </c>
    </row>
    <row r="193" spans="1:10" x14ac:dyDescent="0.3">
      <c r="A193" t="s">
        <v>237</v>
      </c>
      <c r="B193" t="s">
        <v>24</v>
      </c>
      <c r="C193">
        <v>29</v>
      </c>
      <c r="D193" t="s">
        <v>18</v>
      </c>
      <c r="E193" t="s">
        <v>13</v>
      </c>
      <c r="F193" t="s">
        <v>36</v>
      </c>
      <c r="G193">
        <v>1</v>
      </c>
      <c r="H193" s="1">
        <v>45246</v>
      </c>
      <c r="I193" t="s">
        <v>34</v>
      </c>
      <c r="J193" t="s">
        <v>16</v>
      </c>
    </row>
    <row r="194" spans="1:10" x14ac:dyDescent="0.3">
      <c r="A194" t="s">
        <v>238</v>
      </c>
      <c r="B194" t="s">
        <v>11</v>
      </c>
      <c r="C194">
        <v>49</v>
      </c>
      <c r="D194" t="s">
        <v>46</v>
      </c>
      <c r="E194" t="s">
        <v>19</v>
      </c>
      <c r="F194" t="s">
        <v>54</v>
      </c>
      <c r="G194">
        <v>1</v>
      </c>
      <c r="H194" s="1">
        <v>45249</v>
      </c>
      <c r="I194" t="s">
        <v>49</v>
      </c>
      <c r="J194" t="s">
        <v>16</v>
      </c>
    </row>
    <row r="195" spans="1:10" x14ac:dyDescent="0.3">
      <c r="A195" t="s">
        <v>239</v>
      </c>
      <c r="B195" t="s">
        <v>31</v>
      </c>
      <c r="C195">
        <v>28</v>
      </c>
      <c r="D195" t="s">
        <v>18</v>
      </c>
      <c r="E195" t="s">
        <v>13</v>
      </c>
      <c r="F195" t="s">
        <v>25</v>
      </c>
      <c r="G195">
        <v>10</v>
      </c>
      <c r="H195" s="1">
        <v>44971</v>
      </c>
      <c r="I195" t="s">
        <v>21</v>
      </c>
      <c r="J195" t="s">
        <v>16</v>
      </c>
    </row>
    <row r="196" spans="1:10" x14ac:dyDescent="0.3">
      <c r="A196" t="s">
        <v>240</v>
      </c>
      <c r="B196" t="s">
        <v>24</v>
      </c>
      <c r="C196">
        <v>18</v>
      </c>
      <c r="D196" t="s">
        <v>32</v>
      </c>
      <c r="E196" t="s">
        <v>19</v>
      </c>
      <c r="F196" t="s">
        <v>25</v>
      </c>
      <c r="G196">
        <v>30</v>
      </c>
      <c r="H196" s="1">
        <v>44372</v>
      </c>
      <c r="I196" t="s">
        <v>39</v>
      </c>
      <c r="J196" t="s">
        <v>16</v>
      </c>
    </row>
    <row r="197" spans="1:10" x14ac:dyDescent="0.3">
      <c r="A197" t="s">
        <v>241</v>
      </c>
      <c r="B197" t="s">
        <v>31</v>
      </c>
      <c r="C197">
        <v>36</v>
      </c>
      <c r="D197" t="s">
        <v>12</v>
      </c>
      <c r="E197" t="s">
        <v>19</v>
      </c>
      <c r="F197" t="s">
        <v>38</v>
      </c>
      <c r="G197">
        <v>11</v>
      </c>
      <c r="H197" s="1">
        <v>44944</v>
      </c>
      <c r="I197" t="s">
        <v>29</v>
      </c>
      <c r="J197" t="s">
        <v>16</v>
      </c>
    </row>
    <row r="198" spans="1:10" x14ac:dyDescent="0.3">
      <c r="A198" t="s">
        <v>242</v>
      </c>
      <c r="B198" t="s">
        <v>42</v>
      </c>
      <c r="C198">
        <v>39</v>
      </c>
      <c r="D198" t="s">
        <v>12</v>
      </c>
      <c r="E198" t="s">
        <v>13</v>
      </c>
      <c r="F198" t="s">
        <v>88</v>
      </c>
      <c r="G198">
        <v>3</v>
      </c>
      <c r="H198" s="1">
        <v>45180</v>
      </c>
      <c r="I198" t="s">
        <v>15</v>
      </c>
      <c r="J198" t="s">
        <v>22</v>
      </c>
    </row>
    <row r="199" spans="1:10" x14ac:dyDescent="0.3">
      <c r="A199" t="s">
        <v>243</v>
      </c>
      <c r="B199" t="s">
        <v>24</v>
      </c>
      <c r="C199">
        <v>41</v>
      </c>
      <c r="D199" t="s">
        <v>12</v>
      </c>
      <c r="E199" t="s">
        <v>13</v>
      </c>
      <c r="F199" t="s">
        <v>33</v>
      </c>
      <c r="G199">
        <v>18</v>
      </c>
      <c r="H199" s="1">
        <v>44751</v>
      </c>
      <c r="I199" t="s">
        <v>29</v>
      </c>
      <c r="J199" t="s">
        <v>27</v>
      </c>
    </row>
    <row r="200" spans="1:10" x14ac:dyDescent="0.3">
      <c r="A200" t="s">
        <v>244</v>
      </c>
      <c r="B200" t="s">
        <v>61</v>
      </c>
      <c r="C200">
        <v>36</v>
      </c>
      <c r="D200" t="s">
        <v>12</v>
      </c>
      <c r="E200" t="s">
        <v>13</v>
      </c>
      <c r="F200" t="s">
        <v>88</v>
      </c>
      <c r="G200">
        <v>18</v>
      </c>
      <c r="H200" s="1">
        <v>44732</v>
      </c>
      <c r="I200" t="s">
        <v>29</v>
      </c>
      <c r="J200" t="s">
        <v>16</v>
      </c>
    </row>
    <row r="201" spans="1:10" x14ac:dyDescent="0.3">
      <c r="A201" t="s">
        <v>245</v>
      </c>
      <c r="B201" t="s">
        <v>24</v>
      </c>
      <c r="C201">
        <v>21</v>
      </c>
      <c r="D201" t="s">
        <v>32</v>
      </c>
      <c r="E201" t="s">
        <v>19</v>
      </c>
      <c r="F201" t="s">
        <v>36</v>
      </c>
      <c r="G201">
        <v>3</v>
      </c>
      <c r="H201" s="1">
        <v>45202</v>
      </c>
      <c r="I201" t="s">
        <v>49</v>
      </c>
      <c r="J201" t="s">
        <v>22</v>
      </c>
    </row>
    <row r="202" spans="1:10" x14ac:dyDescent="0.3">
      <c r="A202" t="s">
        <v>246</v>
      </c>
      <c r="B202" t="s">
        <v>24</v>
      </c>
      <c r="C202">
        <v>37</v>
      </c>
      <c r="D202" t="s">
        <v>12</v>
      </c>
      <c r="E202" t="s">
        <v>19</v>
      </c>
      <c r="F202" t="s">
        <v>36</v>
      </c>
      <c r="G202">
        <v>5</v>
      </c>
      <c r="H202" s="1">
        <v>45138</v>
      </c>
      <c r="I202" t="s">
        <v>29</v>
      </c>
      <c r="J202" t="s">
        <v>16</v>
      </c>
    </row>
    <row r="203" spans="1:10" x14ac:dyDescent="0.3">
      <c r="A203" t="s">
        <v>247</v>
      </c>
      <c r="B203" t="s">
        <v>24</v>
      </c>
      <c r="C203">
        <v>32</v>
      </c>
      <c r="D203" t="s">
        <v>18</v>
      </c>
      <c r="E203" t="s">
        <v>19</v>
      </c>
      <c r="F203" t="s">
        <v>36</v>
      </c>
      <c r="G203">
        <v>24</v>
      </c>
      <c r="H203" s="1">
        <v>44558</v>
      </c>
      <c r="I203" t="s">
        <v>62</v>
      </c>
      <c r="J203" t="s">
        <v>27</v>
      </c>
    </row>
    <row r="204" spans="1:10" x14ac:dyDescent="0.3">
      <c r="A204" t="s">
        <v>248</v>
      </c>
      <c r="B204" t="s">
        <v>42</v>
      </c>
      <c r="C204">
        <v>36</v>
      </c>
      <c r="D204" t="s">
        <v>12</v>
      </c>
      <c r="E204" t="s">
        <v>105</v>
      </c>
      <c r="F204" t="s">
        <v>54</v>
      </c>
      <c r="G204">
        <v>7</v>
      </c>
      <c r="H204" s="1">
        <v>45057</v>
      </c>
      <c r="I204" t="s">
        <v>15</v>
      </c>
      <c r="J204" t="s">
        <v>22</v>
      </c>
    </row>
    <row r="205" spans="1:10" x14ac:dyDescent="0.3">
      <c r="A205" t="s">
        <v>249</v>
      </c>
      <c r="B205" t="s">
        <v>61</v>
      </c>
      <c r="C205">
        <v>40</v>
      </c>
      <c r="D205" t="s">
        <v>12</v>
      </c>
      <c r="E205" t="s">
        <v>105</v>
      </c>
      <c r="F205" t="s">
        <v>54</v>
      </c>
      <c r="G205">
        <v>13</v>
      </c>
      <c r="H205" s="1">
        <v>44902</v>
      </c>
      <c r="I205" t="s">
        <v>15</v>
      </c>
      <c r="J205" t="s">
        <v>27</v>
      </c>
    </row>
    <row r="206" spans="1:10" x14ac:dyDescent="0.3">
      <c r="A206" t="s">
        <v>250</v>
      </c>
      <c r="B206" t="s">
        <v>61</v>
      </c>
      <c r="C206">
        <v>34</v>
      </c>
      <c r="D206" t="s">
        <v>18</v>
      </c>
      <c r="E206" t="s">
        <v>19</v>
      </c>
      <c r="F206" t="s">
        <v>36</v>
      </c>
      <c r="G206">
        <v>38</v>
      </c>
      <c r="H206" s="1">
        <v>44152</v>
      </c>
      <c r="I206" t="s">
        <v>21</v>
      </c>
      <c r="J206" t="s">
        <v>16</v>
      </c>
    </row>
    <row r="207" spans="1:10" x14ac:dyDescent="0.3">
      <c r="A207" t="s">
        <v>251</v>
      </c>
      <c r="B207" t="s">
        <v>11</v>
      </c>
      <c r="C207">
        <v>32</v>
      </c>
      <c r="D207" t="s">
        <v>18</v>
      </c>
      <c r="E207" t="s">
        <v>19</v>
      </c>
      <c r="F207" t="s">
        <v>56</v>
      </c>
      <c r="G207">
        <v>5</v>
      </c>
      <c r="H207" s="1">
        <v>45141</v>
      </c>
      <c r="I207" t="s">
        <v>47</v>
      </c>
      <c r="J207" t="s">
        <v>16</v>
      </c>
    </row>
    <row r="208" spans="1:10" x14ac:dyDescent="0.3">
      <c r="A208" t="s">
        <v>252</v>
      </c>
      <c r="B208" t="s">
        <v>31</v>
      </c>
      <c r="C208">
        <v>24</v>
      </c>
      <c r="D208" t="s">
        <v>32</v>
      </c>
      <c r="E208" t="s">
        <v>13</v>
      </c>
      <c r="F208" t="s">
        <v>54</v>
      </c>
      <c r="G208">
        <v>11</v>
      </c>
      <c r="H208" s="1">
        <v>44940</v>
      </c>
      <c r="I208" t="s">
        <v>49</v>
      </c>
      <c r="J208" t="s">
        <v>22</v>
      </c>
    </row>
    <row r="209" spans="1:10" x14ac:dyDescent="0.3">
      <c r="A209" t="s">
        <v>253</v>
      </c>
      <c r="B209" t="s">
        <v>31</v>
      </c>
      <c r="C209">
        <v>24</v>
      </c>
      <c r="D209" t="s">
        <v>32</v>
      </c>
      <c r="E209" t="s">
        <v>13</v>
      </c>
      <c r="F209" t="s">
        <v>14</v>
      </c>
      <c r="G209">
        <v>9</v>
      </c>
      <c r="H209" s="1">
        <v>45002</v>
      </c>
      <c r="I209" t="s">
        <v>39</v>
      </c>
      <c r="J209" t="s">
        <v>22</v>
      </c>
    </row>
    <row r="210" spans="1:10" x14ac:dyDescent="0.3">
      <c r="A210" t="s">
        <v>254</v>
      </c>
      <c r="B210" t="s">
        <v>11</v>
      </c>
      <c r="C210">
        <v>36</v>
      </c>
      <c r="D210" t="s">
        <v>12</v>
      </c>
      <c r="E210" t="s">
        <v>19</v>
      </c>
      <c r="F210" t="s">
        <v>38</v>
      </c>
      <c r="G210">
        <v>34</v>
      </c>
      <c r="H210" s="1">
        <v>44246</v>
      </c>
      <c r="I210" t="s">
        <v>39</v>
      </c>
      <c r="J210" t="s">
        <v>27</v>
      </c>
    </row>
    <row r="211" spans="1:10" x14ac:dyDescent="0.3">
      <c r="A211" t="s">
        <v>255</v>
      </c>
      <c r="B211" t="s">
        <v>31</v>
      </c>
      <c r="C211">
        <v>23</v>
      </c>
      <c r="D211" t="s">
        <v>32</v>
      </c>
      <c r="E211" t="s">
        <v>13</v>
      </c>
      <c r="F211" t="s">
        <v>38</v>
      </c>
      <c r="G211">
        <v>50</v>
      </c>
      <c r="H211" s="1">
        <v>43787</v>
      </c>
      <c r="I211" t="s">
        <v>47</v>
      </c>
      <c r="J211" t="s">
        <v>16</v>
      </c>
    </row>
    <row r="212" spans="1:10" x14ac:dyDescent="0.3">
      <c r="A212" t="s">
        <v>256</v>
      </c>
      <c r="B212" t="s">
        <v>42</v>
      </c>
      <c r="C212">
        <v>52</v>
      </c>
      <c r="D212" t="s">
        <v>46</v>
      </c>
      <c r="E212" t="s">
        <v>19</v>
      </c>
      <c r="F212" t="s">
        <v>20</v>
      </c>
      <c r="G212">
        <v>12</v>
      </c>
      <c r="H212" s="1">
        <v>44929</v>
      </c>
      <c r="I212" t="s">
        <v>26</v>
      </c>
      <c r="J212" t="s">
        <v>16</v>
      </c>
    </row>
    <row r="213" spans="1:10" x14ac:dyDescent="0.3">
      <c r="A213" t="s">
        <v>257</v>
      </c>
      <c r="B213" t="s">
        <v>61</v>
      </c>
      <c r="C213">
        <v>41</v>
      </c>
      <c r="D213" t="s">
        <v>12</v>
      </c>
      <c r="E213" t="s">
        <v>13</v>
      </c>
      <c r="F213" t="s">
        <v>88</v>
      </c>
      <c r="G213">
        <v>33</v>
      </c>
      <c r="H213" s="1">
        <v>44274</v>
      </c>
      <c r="I213" t="s">
        <v>47</v>
      </c>
      <c r="J213" t="s">
        <v>27</v>
      </c>
    </row>
    <row r="214" spans="1:10" x14ac:dyDescent="0.3">
      <c r="A214" t="s">
        <v>258</v>
      </c>
      <c r="B214" t="s">
        <v>11</v>
      </c>
      <c r="C214">
        <v>31</v>
      </c>
      <c r="D214" t="s">
        <v>18</v>
      </c>
      <c r="E214" t="s">
        <v>19</v>
      </c>
      <c r="F214" t="s">
        <v>14</v>
      </c>
      <c r="G214">
        <v>17</v>
      </c>
      <c r="H214" s="1">
        <v>44776</v>
      </c>
      <c r="I214" t="s">
        <v>29</v>
      </c>
      <c r="J214" t="s">
        <v>16</v>
      </c>
    </row>
    <row r="215" spans="1:10" x14ac:dyDescent="0.3">
      <c r="A215" t="s">
        <v>259</v>
      </c>
      <c r="B215" t="s">
        <v>31</v>
      </c>
      <c r="C215">
        <v>33</v>
      </c>
      <c r="D215" t="s">
        <v>18</v>
      </c>
      <c r="E215" t="s">
        <v>13</v>
      </c>
      <c r="F215" t="s">
        <v>14</v>
      </c>
      <c r="G215">
        <v>6</v>
      </c>
      <c r="H215" s="1">
        <v>45095</v>
      </c>
      <c r="I215" t="s">
        <v>26</v>
      </c>
      <c r="J215" t="s">
        <v>22</v>
      </c>
    </row>
    <row r="216" spans="1:10" x14ac:dyDescent="0.3">
      <c r="A216" t="s">
        <v>260</v>
      </c>
      <c r="B216" t="s">
        <v>31</v>
      </c>
      <c r="C216">
        <v>48</v>
      </c>
      <c r="D216" t="s">
        <v>46</v>
      </c>
      <c r="E216" t="s">
        <v>13</v>
      </c>
      <c r="F216" t="s">
        <v>36</v>
      </c>
      <c r="G216">
        <v>32</v>
      </c>
      <c r="H216" s="1">
        <v>44310</v>
      </c>
      <c r="I216" t="s">
        <v>21</v>
      </c>
      <c r="J216" t="s">
        <v>16</v>
      </c>
    </row>
    <row r="217" spans="1:10" x14ac:dyDescent="0.3">
      <c r="A217" t="s">
        <v>261</v>
      </c>
      <c r="B217" t="s">
        <v>31</v>
      </c>
      <c r="C217">
        <v>21</v>
      </c>
      <c r="D217" t="s">
        <v>32</v>
      </c>
      <c r="E217" t="s">
        <v>13</v>
      </c>
      <c r="F217" t="s">
        <v>64</v>
      </c>
      <c r="G217">
        <v>56</v>
      </c>
      <c r="H217" s="1">
        <v>43586</v>
      </c>
      <c r="I217" t="s">
        <v>62</v>
      </c>
      <c r="J217" t="s">
        <v>27</v>
      </c>
    </row>
    <row r="218" spans="1:10" x14ac:dyDescent="0.3">
      <c r="A218" t="s">
        <v>262</v>
      </c>
      <c r="B218" t="s">
        <v>24</v>
      </c>
      <c r="C218">
        <v>43</v>
      </c>
      <c r="D218" t="s">
        <v>12</v>
      </c>
      <c r="E218" t="s">
        <v>19</v>
      </c>
      <c r="F218" t="s">
        <v>88</v>
      </c>
      <c r="G218">
        <v>11</v>
      </c>
      <c r="H218" s="1">
        <v>44961</v>
      </c>
      <c r="I218" t="s">
        <v>29</v>
      </c>
      <c r="J218" t="s">
        <v>65</v>
      </c>
    </row>
    <row r="219" spans="1:10" x14ac:dyDescent="0.3">
      <c r="A219" t="s">
        <v>263</v>
      </c>
      <c r="B219" t="s">
        <v>61</v>
      </c>
      <c r="C219">
        <v>47</v>
      </c>
      <c r="D219" t="s">
        <v>46</v>
      </c>
      <c r="E219" t="s">
        <v>19</v>
      </c>
      <c r="F219" t="s">
        <v>88</v>
      </c>
      <c r="G219">
        <v>18</v>
      </c>
      <c r="H219" s="1">
        <v>44734</v>
      </c>
      <c r="I219" t="s">
        <v>34</v>
      </c>
      <c r="J219" t="s">
        <v>65</v>
      </c>
    </row>
    <row r="220" spans="1:10" x14ac:dyDescent="0.3">
      <c r="A220" t="s">
        <v>264</v>
      </c>
      <c r="B220" t="s">
        <v>11</v>
      </c>
      <c r="C220">
        <v>52</v>
      </c>
      <c r="D220" t="s">
        <v>46</v>
      </c>
      <c r="E220" t="s">
        <v>19</v>
      </c>
      <c r="F220" t="s">
        <v>38</v>
      </c>
      <c r="G220">
        <v>29</v>
      </c>
      <c r="H220" s="1">
        <v>44414</v>
      </c>
      <c r="I220" t="s">
        <v>39</v>
      </c>
      <c r="J220" t="s">
        <v>16</v>
      </c>
    </row>
    <row r="221" spans="1:10" x14ac:dyDescent="0.3">
      <c r="A221" t="s">
        <v>265</v>
      </c>
      <c r="B221" t="s">
        <v>42</v>
      </c>
      <c r="C221">
        <v>26</v>
      </c>
      <c r="D221" t="s">
        <v>18</v>
      </c>
      <c r="E221" t="s">
        <v>13</v>
      </c>
      <c r="F221" t="s">
        <v>36</v>
      </c>
      <c r="G221">
        <v>40</v>
      </c>
      <c r="H221" s="1">
        <v>44091</v>
      </c>
      <c r="I221" t="s">
        <v>26</v>
      </c>
      <c r="J221" t="s">
        <v>16</v>
      </c>
    </row>
    <row r="222" spans="1:10" x14ac:dyDescent="0.3">
      <c r="A222" t="s">
        <v>266</v>
      </c>
      <c r="B222" t="s">
        <v>31</v>
      </c>
      <c r="C222">
        <v>30</v>
      </c>
      <c r="D222" t="s">
        <v>18</v>
      </c>
      <c r="E222" t="s">
        <v>13</v>
      </c>
      <c r="F222" t="s">
        <v>56</v>
      </c>
      <c r="G222">
        <v>56</v>
      </c>
      <c r="H222" s="1">
        <v>43588</v>
      </c>
      <c r="I222" t="s">
        <v>21</v>
      </c>
      <c r="J222" t="s">
        <v>27</v>
      </c>
    </row>
    <row r="223" spans="1:10" x14ac:dyDescent="0.3">
      <c r="A223" t="s">
        <v>267</v>
      </c>
      <c r="B223" t="s">
        <v>31</v>
      </c>
      <c r="C223">
        <v>33</v>
      </c>
      <c r="D223" t="s">
        <v>18</v>
      </c>
      <c r="E223" t="s">
        <v>13</v>
      </c>
      <c r="F223" t="s">
        <v>38</v>
      </c>
      <c r="G223">
        <v>13</v>
      </c>
      <c r="H223" s="1">
        <v>44878</v>
      </c>
      <c r="I223" t="s">
        <v>26</v>
      </c>
      <c r="J223" t="s">
        <v>16</v>
      </c>
    </row>
    <row r="224" spans="1:10" x14ac:dyDescent="0.3">
      <c r="A224" t="s">
        <v>268</v>
      </c>
      <c r="B224" t="s">
        <v>24</v>
      </c>
      <c r="C224">
        <v>18</v>
      </c>
      <c r="D224" t="s">
        <v>32</v>
      </c>
      <c r="E224" t="s">
        <v>19</v>
      </c>
      <c r="F224" t="s">
        <v>33</v>
      </c>
      <c r="G224">
        <v>39</v>
      </c>
      <c r="H224" s="1">
        <v>44098</v>
      </c>
      <c r="I224" t="s">
        <v>47</v>
      </c>
      <c r="J224" t="s">
        <v>16</v>
      </c>
    </row>
    <row r="225" spans="1:10" x14ac:dyDescent="0.3">
      <c r="A225" t="s">
        <v>269</v>
      </c>
      <c r="B225" t="s">
        <v>24</v>
      </c>
      <c r="C225">
        <v>43</v>
      </c>
      <c r="D225" t="s">
        <v>12</v>
      </c>
      <c r="E225" t="s">
        <v>19</v>
      </c>
      <c r="F225" t="s">
        <v>38</v>
      </c>
      <c r="G225">
        <v>47</v>
      </c>
      <c r="H225" s="1">
        <v>43867</v>
      </c>
      <c r="I225" t="s">
        <v>47</v>
      </c>
      <c r="J225" t="s">
        <v>16</v>
      </c>
    </row>
    <row r="226" spans="1:10" x14ac:dyDescent="0.3">
      <c r="A226" t="s">
        <v>270</v>
      </c>
      <c r="B226" t="s">
        <v>11</v>
      </c>
      <c r="C226">
        <v>29</v>
      </c>
      <c r="D226" t="s">
        <v>18</v>
      </c>
      <c r="E226" t="s">
        <v>13</v>
      </c>
      <c r="F226" t="s">
        <v>64</v>
      </c>
      <c r="G226">
        <v>4</v>
      </c>
      <c r="H226" s="1">
        <v>45161</v>
      </c>
      <c r="I226" t="s">
        <v>39</v>
      </c>
      <c r="J226" t="s">
        <v>22</v>
      </c>
    </row>
    <row r="227" spans="1:10" x14ac:dyDescent="0.3">
      <c r="A227" t="s">
        <v>271</v>
      </c>
      <c r="B227" t="s">
        <v>11</v>
      </c>
      <c r="C227">
        <v>41</v>
      </c>
      <c r="D227" t="s">
        <v>12</v>
      </c>
      <c r="E227" t="s">
        <v>13</v>
      </c>
      <c r="F227" t="s">
        <v>54</v>
      </c>
      <c r="G227">
        <v>45</v>
      </c>
      <c r="H227" s="1">
        <v>43937</v>
      </c>
      <c r="I227" t="s">
        <v>39</v>
      </c>
      <c r="J227" t="s">
        <v>27</v>
      </c>
    </row>
    <row r="228" spans="1:10" x14ac:dyDescent="0.3">
      <c r="A228" t="s">
        <v>272</v>
      </c>
      <c r="B228" t="s">
        <v>31</v>
      </c>
      <c r="C228">
        <v>42</v>
      </c>
      <c r="D228" t="s">
        <v>12</v>
      </c>
      <c r="E228" t="s">
        <v>13</v>
      </c>
      <c r="F228" t="s">
        <v>33</v>
      </c>
      <c r="G228">
        <v>57</v>
      </c>
      <c r="H228" s="1">
        <v>43574</v>
      </c>
      <c r="I228" t="s">
        <v>49</v>
      </c>
      <c r="J228" t="s">
        <v>27</v>
      </c>
    </row>
    <row r="229" spans="1:10" x14ac:dyDescent="0.3">
      <c r="A229" t="s">
        <v>273</v>
      </c>
      <c r="B229" t="s">
        <v>61</v>
      </c>
      <c r="C229">
        <v>22</v>
      </c>
      <c r="D229" t="s">
        <v>32</v>
      </c>
      <c r="E229" t="s">
        <v>19</v>
      </c>
      <c r="F229" t="s">
        <v>14</v>
      </c>
      <c r="G229">
        <v>18</v>
      </c>
      <c r="H229" s="1">
        <v>44728</v>
      </c>
      <c r="I229" t="s">
        <v>21</v>
      </c>
      <c r="J229" t="s">
        <v>16</v>
      </c>
    </row>
    <row r="230" spans="1:10" x14ac:dyDescent="0.3">
      <c r="A230" t="s">
        <v>274</v>
      </c>
      <c r="B230" t="s">
        <v>11</v>
      </c>
      <c r="C230">
        <v>43</v>
      </c>
      <c r="D230" t="s">
        <v>12</v>
      </c>
      <c r="E230" t="s">
        <v>105</v>
      </c>
      <c r="F230" t="s">
        <v>14</v>
      </c>
      <c r="G230">
        <v>29</v>
      </c>
      <c r="H230" s="1">
        <v>44405</v>
      </c>
      <c r="I230" t="s">
        <v>49</v>
      </c>
      <c r="J230" t="s">
        <v>27</v>
      </c>
    </row>
    <row r="231" spans="1:10" x14ac:dyDescent="0.3">
      <c r="A231" t="s">
        <v>275</v>
      </c>
      <c r="B231" t="s">
        <v>61</v>
      </c>
      <c r="C231">
        <v>34</v>
      </c>
      <c r="D231" t="s">
        <v>18</v>
      </c>
      <c r="E231" t="s">
        <v>13</v>
      </c>
      <c r="F231" t="s">
        <v>14</v>
      </c>
      <c r="G231">
        <v>58</v>
      </c>
      <c r="H231" s="1">
        <v>43531</v>
      </c>
      <c r="I231" t="s">
        <v>39</v>
      </c>
      <c r="J231" t="s">
        <v>22</v>
      </c>
    </row>
    <row r="232" spans="1:10" x14ac:dyDescent="0.3">
      <c r="A232" t="s">
        <v>276</v>
      </c>
      <c r="B232" t="s">
        <v>24</v>
      </c>
      <c r="C232">
        <v>18</v>
      </c>
      <c r="D232" t="s">
        <v>32</v>
      </c>
      <c r="E232" t="s">
        <v>13</v>
      </c>
      <c r="F232" t="s">
        <v>56</v>
      </c>
      <c r="G232">
        <v>16</v>
      </c>
      <c r="H232" s="1">
        <v>44805</v>
      </c>
      <c r="I232" t="s">
        <v>21</v>
      </c>
      <c r="J232" t="s">
        <v>27</v>
      </c>
    </row>
    <row r="233" spans="1:10" x14ac:dyDescent="0.3">
      <c r="A233" t="s">
        <v>277</v>
      </c>
      <c r="B233" t="s">
        <v>31</v>
      </c>
      <c r="C233">
        <v>25</v>
      </c>
      <c r="D233" t="s">
        <v>18</v>
      </c>
      <c r="E233" t="s">
        <v>19</v>
      </c>
      <c r="F233" t="s">
        <v>33</v>
      </c>
      <c r="G233">
        <v>9</v>
      </c>
      <c r="H233" s="1">
        <v>45017</v>
      </c>
      <c r="I233" t="s">
        <v>49</v>
      </c>
      <c r="J233" t="s">
        <v>27</v>
      </c>
    </row>
    <row r="234" spans="1:10" x14ac:dyDescent="0.3">
      <c r="A234" t="s">
        <v>278</v>
      </c>
      <c r="B234" t="s">
        <v>42</v>
      </c>
      <c r="C234">
        <v>40</v>
      </c>
      <c r="D234" t="s">
        <v>12</v>
      </c>
      <c r="E234" t="s">
        <v>13</v>
      </c>
      <c r="F234" t="s">
        <v>38</v>
      </c>
      <c r="G234">
        <v>34</v>
      </c>
      <c r="H234" s="1">
        <v>44264</v>
      </c>
      <c r="I234" t="s">
        <v>34</v>
      </c>
      <c r="J234" t="s">
        <v>27</v>
      </c>
    </row>
    <row r="235" spans="1:10" x14ac:dyDescent="0.3">
      <c r="A235" t="s">
        <v>279</v>
      </c>
      <c r="B235" t="s">
        <v>42</v>
      </c>
      <c r="C235">
        <v>26</v>
      </c>
      <c r="D235" t="s">
        <v>18</v>
      </c>
      <c r="E235" t="s">
        <v>13</v>
      </c>
      <c r="F235" t="s">
        <v>64</v>
      </c>
      <c r="G235">
        <v>44</v>
      </c>
      <c r="H235" s="1">
        <v>43965</v>
      </c>
      <c r="I235" t="s">
        <v>49</v>
      </c>
      <c r="J235" t="s">
        <v>27</v>
      </c>
    </row>
    <row r="236" spans="1:10" x14ac:dyDescent="0.3">
      <c r="A236" t="s">
        <v>280</v>
      </c>
      <c r="B236" t="s">
        <v>31</v>
      </c>
      <c r="C236">
        <v>35</v>
      </c>
      <c r="D236" t="s">
        <v>12</v>
      </c>
      <c r="E236" t="s">
        <v>13</v>
      </c>
      <c r="F236" t="s">
        <v>20</v>
      </c>
      <c r="G236">
        <v>16</v>
      </c>
      <c r="H236" s="1">
        <v>44799</v>
      </c>
      <c r="I236" t="s">
        <v>34</v>
      </c>
      <c r="J236" t="s">
        <v>27</v>
      </c>
    </row>
    <row r="237" spans="1:10" x14ac:dyDescent="0.3">
      <c r="A237" t="s">
        <v>281</v>
      </c>
      <c r="B237" t="s">
        <v>24</v>
      </c>
      <c r="C237">
        <v>18</v>
      </c>
      <c r="D237" t="s">
        <v>32</v>
      </c>
      <c r="E237" t="s">
        <v>19</v>
      </c>
      <c r="F237" t="s">
        <v>54</v>
      </c>
      <c r="G237">
        <v>24</v>
      </c>
      <c r="H237" s="1">
        <v>44561</v>
      </c>
      <c r="I237" t="s">
        <v>26</v>
      </c>
      <c r="J237" t="s">
        <v>27</v>
      </c>
    </row>
    <row r="238" spans="1:10" x14ac:dyDescent="0.3">
      <c r="A238" t="s">
        <v>282</v>
      </c>
      <c r="B238" t="s">
        <v>31</v>
      </c>
      <c r="C238">
        <v>41</v>
      </c>
      <c r="D238" t="s">
        <v>12</v>
      </c>
      <c r="E238" t="s">
        <v>19</v>
      </c>
      <c r="F238" t="s">
        <v>25</v>
      </c>
      <c r="G238">
        <v>26</v>
      </c>
      <c r="H238" s="1">
        <v>44494</v>
      </c>
      <c r="I238" t="s">
        <v>21</v>
      </c>
      <c r="J238" t="s">
        <v>22</v>
      </c>
    </row>
    <row r="239" spans="1:10" x14ac:dyDescent="0.3">
      <c r="A239" t="s">
        <v>283</v>
      </c>
      <c r="B239" t="s">
        <v>11</v>
      </c>
      <c r="C239">
        <v>23</v>
      </c>
      <c r="D239" t="s">
        <v>32</v>
      </c>
      <c r="E239" t="s">
        <v>13</v>
      </c>
      <c r="F239" t="s">
        <v>54</v>
      </c>
      <c r="G239">
        <v>15</v>
      </c>
      <c r="H239" s="1">
        <v>44842</v>
      </c>
      <c r="I239" t="s">
        <v>47</v>
      </c>
      <c r="J239" t="s">
        <v>27</v>
      </c>
    </row>
    <row r="240" spans="1:10" x14ac:dyDescent="0.3">
      <c r="A240" t="s">
        <v>284</v>
      </c>
      <c r="B240" t="s">
        <v>42</v>
      </c>
      <c r="C240">
        <v>38</v>
      </c>
      <c r="D240" t="s">
        <v>12</v>
      </c>
      <c r="E240" t="s">
        <v>13</v>
      </c>
      <c r="F240" t="s">
        <v>88</v>
      </c>
      <c r="G240">
        <v>14</v>
      </c>
      <c r="H240" s="1">
        <v>44853</v>
      </c>
      <c r="I240" t="s">
        <v>21</v>
      </c>
      <c r="J240" t="s">
        <v>22</v>
      </c>
    </row>
    <row r="241" spans="1:10" x14ac:dyDescent="0.3">
      <c r="A241" t="s">
        <v>285</v>
      </c>
      <c r="B241" t="s">
        <v>31</v>
      </c>
      <c r="C241">
        <v>25</v>
      </c>
      <c r="D241" t="s">
        <v>18</v>
      </c>
      <c r="E241" t="s">
        <v>13</v>
      </c>
      <c r="F241" t="s">
        <v>38</v>
      </c>
      <c r="G241">
        <v>58</v>
      </c>
      <c r="H241" s="1">
        <v>43552</v>
      </c>
      <c r="I241" t="s">
        <v>26</v>
      </c>
      <c r="J241" t="s">
        <v>16</v>
      </c>
    </row>
    <row r="242" spans="1:10" x14ac:dyDescent="0.3">
      <c r="A242" t="s">
        <v>286</v>
      </c>
      <c r="B242" t="s">
        <v>42</v>
      </c>
      <c r="C242">
        <v>34</v>
      </c>
      <c r="D242" t="s">
        <v>18</v>
      </c>
      <c r="E242" t="s">
        <v>19</v>
      </c>
      <c r="F242" t="s">
        <v>14</v>
      </c>
      <c r="G242">
        <v>25</v>
      </c>
      <c r="H242" s="1">
        <v>44525</v>
      </c>
      <c r="I242" t="s">
        <v>34</v>
      </c>
      <c r="J242" t="s">
        <v>27</v>
      </c>
    </row>
    <row r="243" spans="1:10" x14ac:dyDescent="0.3">
      <c r="A243" t="s">
        <v>287</v>
      </c>
      <c r="B243" t="s">
        <v>31</v>
      </c>
      <c r="C243">
        <v>21</v>
      </c>
      <c r="D243" t="s">
        <v>32</v>
      </c>
      <c r="E243" t="s">
        <v>19</v>
      </c>
      <c r="F243" t="s">
        <v>56</v>
      </c>
      <c r="G243">
        <v>56</v>
      </c>
      <c r="H243" s="1">
        <v>43593</v>
      </c>
      <c r="I243" t="s">
        <v>34</v>
      </c>
      <c r="J243" t="s">
        <v>16</v>
      </c>
    </row>
    <row r="244" spans="1:10" x14ac:dyDescent="0.3">
      <c r="A244" t="s">
        <v>288</v>
      </c>
      <c r="B244" t="s">
        <v>11</v>
      </c>
      <c r="C244">
        <v>46</v>
      </c>
      <c r="D244" t="s">
        <v>46</v>
      </c>
      <c r="E244" t="s">
        <v>13</v>
      </c>
      <c r="F244" t="s">
        <v>54</v>
      </c>
      <c r="G244">
        <v>8</v>
      </c>
      <c r="H244" s="1">
        <v>45050</v>
      </c>
      <c r="I244" t="s">
        <v>49</v>
      </c>
      <c r="J244" t="s">
        <v>65</v>
      </c>
    </row>
    <row r="245" spans="1:10" x14ac:dyDescent="0.3">
      <c r="A245" t="s">
        <v>289</v>
      </c>
      <c r="B245" t="s">
        <v>61</v>
      </c>
      <c r="C245">
        <v>34</v>
      </c>
      <c r="D245" t="s">
        <v>18</v>
      </c>
      <c r="E245" t="s">
        <v>13</v>
      </c>
      <c r="F245" t="s">
        <v>36</v>
      </c>
      <c r="G245">
        <v>8</v>
      </c>
      <c r="H245" s="1">
        <v>45031</v>
      </c>
      <c r="I245" t="s">
        <v>49</v>
      </c>
      <c r="J245" t="s">
        <v>27</v>
      </c>
    </row>
    <row r="246" spans="1:10" x14ac:dyDescent="0.3">
      <c r="A246" t="s">
        <v>290</v>
      </c>
      <c r="B246" t="s">
        <v>42</v>
      </c>
      <c r="C246">
        <v>27</v>
      </c>
      <c r="D246" t="s">
        <v>18</v>
      </c>
      <c r="E246" t="s">
        <v>19</v>
      </c>
      <c r="F246" t="s">
        <v>88</v>
      </c>
      <c r="G246">
        <v>7</v>
      </c>
      <c r="H246" s="1">
        <v>45067</v>
      </c>
      <c r="I246" t="s">
        <v>49</v>
      </c>
      <c r="J246" t="s">
        <v>22</v>
      </c>
    </row>
    <row r="247" spans="1:10" x14ac:dyDescent="0.3">
      <c r="A247" t="s">
        <v>291</v>
      </c>
      <c r="B247" t="s">
        <v>24</v>
      </c>
      <c r="C247">
        <v>35</v>
      </c>
      <c r="D247" t="s">
        <v>12</v>
      </c>
      <c r="E247" t="s">
        <v>13</v>
      </c>
      <c r="F247" t="s">
        <v>36</v>
      </c>
      <c r="G247">
        <v>60</v>
      </c>
      <c r="H247" s="1">
        <v>43482</v>
      </c>
      <c r="I247" t="s">
        <v>39</v>
      </c>
      <c r="J247" t="s">
        <v>16</v>
      </c>
    </row>
    <row r="248" spans="1:10" x14ac:dyDescent="0.3">
      <c r="A248" t="s">
        <v>292</v>
      </c>
      <c r="B248" t="s">
        <v>42</v>
      </c>
      <c r="C248">
        <v>18</v>
      </c>
      <c r="D248" t="s">
        <v>32</v>
      </c>
      <c r="E248" t="s">
        <v>13</v>
      </c>
      <c r="F248" t="s">
        <v>36</v>
      </c>
      <c r="G248">
        <v>31</v>
      </c>
      <c r="H248" s="1">
        <v>44347</v>
      </c>
      <c r="I248" t="s">
        <v>34</v>
      </c>
      <c r="J248" t="s">
        <v>16</v>
      </c>
    </row>
    <row r="249" spans="1:10" x14ac:dyDescent="0.3">
      <c r="A249" t="s">
        <v>293</v>
      </c>
      <c r="B249" t="s">
        <v>11</v>
      </c>
      <c r="C249">
        <v>22</v>
      </c>
      <c r="D249" t="s">
        <v>32</v>
      </c>
      <c r="E249" t="s">
        <v>19</v>
      </c>
      <c r="F249" t="s">
        <v>33</v>
      </c>
      <c r="G249">
        <v>15</v>
      </c>
      <c r="H249" s="1">
        <v>44839</v>
      </c>
      <c r="I249" t="s">
        <v>26</v>
      </c>
      <c r="J249" t="s">
        <v>65</v>
      </c>
    </row>
    <row r="250" spans="1:10" x14ac:dyDescent="0.3">
      <c r="A250" t="s">
        <v>294</v>
      </c>
      <c r="B250" t="s">
        <v>24</v>
      </c>
      <c r="C250">
        <v>52</v>
      </c>
      <c r="D250" t="s">
        <v>46</v>
      </c>
      <c r="E250" t="s">
        <v>13</v>
      </c>
      <c r="F250" t="s">
        <v>20</v>
      </c>
      <c r="G250">
        <v>1</v>
      </c>
      <c r="H250" s="1">
        <v>45258</v>
      </c>
      <c r="I250" t="s">
        <v>34</v>
      </c>
      <c r="J250" t="s">
        <v>27</v>
      </c>
    </row>
    <row r="251" spans="1:10" x14ac:dyDescent="0.3">
      <c r="A251" t="s">
        <v>295</v>
      </c>
      <c r="B251" t="s">
        <v>24</v>
      </c>
      <c r="C251">
        <v>28</v>
      </c>
      <c r="D251" t="s">
        <v>18</v>
      </c>
      <c r="E251" t="s">
        <v>13</v>
      </c>
      <c r="F251" t="s">
        <v>20</v>
      </c>
      <c r="G251">
        <v>13</v>
      </c>
      <c r="H251" s="1">
        <v>44878</v>
      </c>
      <c r="I251" t="s">
        <v>29</v>
      </c>
      <c r="J251" t="s">
        <v>65</v>
      </c>
    </row>
    <row r="252" spans="1:10" x14ac:dyDescent="0.3">
      <c r="A252" t="s">
        <v>296</v>
      </c>
      <c r="B252" t="s">
        <v>31</v>
      </c>
      <c r="C252">
        <v>44</v>
      </c>
      <c r="D252" t="s">
        <v>12</v>
      </c>
      <c r="E252" t="s">
        <v>19</v>
      </c>
      <c r="F252" t="s">
        <v>36</v>
      </c>
      <c r="G252">
        <v>45</v>
      </c>
      <c r="H252" s="1">
        <v>43914</v>
      </c>
      <c r="I252" t="s">
        <v>62</v>
      </c>
      <c r="J252" t="s">
        <v>16</v>
      </c>
    </row>
    <row r="253" spans="1:10" x14ac:dyDescent="0.3">
      <c r="A253" t="s">
        <v>297</v>
      </c>
      <c r="B253" t="s">
        <v>11</v>
      </c>
      <c r="C253">
        <v>32</v>
      </c>
      <c r="D253" t="s">
        <v>18</v>
      </c>
      <c r="E253" t="s">
        <v>13</v>
      </c>
      <c r="F253" t="s">
        <v>54</v>
      </c>
      <c r="G253">
        <v>8</v>
      </c>
      <c r="H253" s="1">
        <v>45050</v>
      </c>
      <c r="I253" t="s">
        <v>49</v>
      </c>
      <c r="J253" t="s">
        <v>22</v>
      </c>
    </row>
    <row r="254" spans="1:10" x14ac:dyDescent="0.3">
      <c r="A254" t="s">
        <v>298</v>
      </c>
      <c r="B254" t="s">
        <v>24</v>
      </c>
      <c r="C254">
        <v>36</v>
      </c>
      <c r="D254" t="s">
        <v>12</v>
      </c>
      <c r="E254" t="s">
        <v>13</v>
      </c>
      <c r="F254" t="s">
        <v>64</v>
      </c>
      <c r="G254">
        <v>42</v>
      </c>
      <c r="H254" s="1">
        <v>44029</v>
      </c>
      <c r="I254" t="s">
        <v>62</v>
      </c>
      <c r="J254" t="s">
        <v>16</v>
      </c>
    </row>
    <row r="255" spans="1:10" x14ac:dyDescent="0.3">
      <c r="A255" t="s">
        <v>299</v>
      </c>
      <c r="B255" t="s">
        <v>61</v>
      </c>
      <c r="C255">
        <v>29</v>
      </c>
      <c r="D255" t="s">
        <v>18</v>
      </c>
      <c r="E255" t="s">
        <v>13</v>
      </c>
      <c r="F255" t="s">
        <v>54</v>
      </c>
      <c r="G255">
        <v>35</v>
      </c>
      <c r="H255" s="1">
        <v>44231</v>
      </c>
      <c r="I255" t="s">
        <v>62</v>
      </c>
      <c r="J255" t="s">
        <v>22</v>
      </c>
    </row>
    <row r="256" spans="1:10" x14ac:dyDescent="0.3">
      <c r="A256" t="s">
        <v>300</v>
      </c>
      <c r="B256" t="s">
        <v>42</v>
      </c>
      <c r="C256">
        <v>31</v>
      </c>
      <c r="D256" t="s">
        <v>18</v>
      </c>
      <c r="E256" t="s">
        <v>13</v>
      </c>
      <c r="F256" t="s">
        <v>25</v>
      </c>
      <c r="G256">
        <v>36</v>
      </c>
      <c r="H256" s="1">
        <v>44192</v>
      </c>
      <c r="I256" t="s">
        <v>29</v>
      </c>
      <c r="J256" t="s">
        <v>16</v>
      </c>
    </row>
    <row r="257" spans="1:10" x14ac:dyDescent="0.3">
      <c r="A257" t="s">
        <v>301</v>
      </c>
      <c r="B257" t="s">
        <v>31</v>
      </c>
      <c r="C257">
        <v>39</v>
      </c>
      <c r="D257" t="s">
        <v>12</v>
      </c>
      <c r="E257" t="s">
        <v>19</v>
      </c>
      <c r="F257" t="s">
        <v>56</v>
      </c>
      <c r="G257">
        <v>56</v>
      </c>
      <c r="H257" s="1">
        <v>43595</v>
      </c>
      <c r="I257" t="s">
        <v>26</v>
      </c>
      <c r="J257" t="s">
        <v>16</v>
      </c>
    </row>
    <row r="258" spans="1:10" x14ac:dyDescent="0.3">
      <c r="A258" t="s">
        <v>302</v>
      </c>
      <c r="B258" t="s">
        <v>11</v>
      </c>
      <c r="C258">
        <v>35</v>
      </c>
      <c r="D258" t="s">
        <v>12</v>
      </c>
      <c r="E258" t="s">
        <v>13</v>
      </c>
      <c r="F258" t="s">
        <v>64</v>
      </c>
      <c r="G258">
        <v>27</v>
      </c>
      <c r="H258" s="1">
        <v>44469</v>
      </c>
      <c r="I258" t="s">
        <v>49</v>
      </c>
      <c r="J258" t="s">
        <v>65</v>
      </c>
    </row>
    <row r="259" spans="1:10" x14ac:dyDescent="0.3">
      <c r="A259" t="s">
        <v>303</v>
      </c>
      <c r="B259" t="s">
        <v>31</v>
      </c>
      <c r="C259">
        <v>22</v>
      </c>
      <c r="D259" t="s">
        <v>32</v>
      </c>
      <c r="E259" t="s">
        <v>19</v>
      </c>
      <c r="F259" t="s">
        <v>56</v>
      </c>
      <c r="G259">
        <v>52</v>
      </c>
      <c r="H259" s="1">
        <v>43716</v>
      </c>
      <c r="I259" t="s">
        <v>62</v>
      </c>
      <c r="J259" t="s">
        <v>22</v>
      </c>
    </row>
    <row r="260" spans="1:10" x14ac:dyDescent="0.3">
      <c r="A260" t="s">
        <v>304</v>
      </c>
      <c r="B260" t="s">
        <v>24</v>
      </c>
      <c r="C260">
        <v>44</v>
      </c>
      <c r="D260" t="s">
        <v>12</v>
      </c>
      <c r="E260" t="s">
        <v>13</v>
      </c>
      <c r="F260" t="s">
        <v>33</v>
      </c>
      <c r="G260">
        <v>19</v>
      </c>
      <c r="H260" s="1">
        <v>44721</v>
      </c>
      <c r="I260" t="s">
        <v>39</v>
      </c>
      <c r="J260" t="s">
        <v>16</v>
      </c>
    </row>
    <row r="261" spans="1:10" x14ac:dyDescent="0.3">
      <c r="A261" t="s">
        <v>305</v>
      </c>
      <c r="B261" t="s">
        <v>42</v>
      </c>
      <c r="C261">
        <v>34</v>
      </c>
      <c r="D261" t="s">
        <v>18</v>
      </c>
      <c r="E261" t="s">
        <v>13</v>
      </c>
      <c r="F261" t="s">
        <v>88</v>
      </c>
      <c r="G261">
        <v>38</v>
      </c>
      <c r="H261" s="1">
        <v>44136</v>
      </c>
      <c r="I261" t="s">
        <v>34</v>
      </c>
      <c r="J261" t="s">
        <v>16</v>
      </c>
    </row>
    <row r="262" spans="1:10" x14ac:dyDescent="0.3">
      <c r="A262" t="s">
        <v>306</v>
      </c>
      <c r="B262" t="s">
        <v>31</v>
      </c>
      <c r="C262">
        <v>35</v>
      </c>
      <c r="D262" t="s">
        <v>12</v>
      </c>
      <c r="E262" t="s">
        <v>13</v>
      </c>
      <c r="F262" t="s">
        <v>56</v>
      </c>
      <c r="G262">
        <v>23</v>
      </c>
      <c r="H262" s="1">
        <v>44584</v>
      </c>
      <c r="I262" t="s">
        <v>34</v>
      </c>
      <c r="J262" t="s">
        <v>16</v>
      </c>
    </row>
    <row r="263" spans="1:10" x14ac:dyDescent="0.3">
      <c r="A263" t="s">
        <v>307</v>
      </c>
      <c r="B263" t="s">
        <v>11</v>
      </c>
      <c r="C263">
        <v>32</v>
      </c>
      <c r="D263" t="s">
        <v>18</v>
      </c>
      <c r="E263" t="s">
        <v>19</v>
      </c>
      <c r="F263" t="s">
        <v>20</v>
      </c>
      <c r="G263">
        <v>3</v>
      </c>
      <c r="H263" s="1">
        <v>45181</v>
      </c>
      <c r="I263" t="s">
        <v>34</v>
      </c>
      <c r="J263" t="s">
        <v>27</v>
      </c>
    </row>
    <row r="264" spans="1:10" x14ac:dyDescent="0.3">
      <c r="A264" t="s">
        <v>308</v>
      </c>
      <c r="B264" t="s">
        <v>24</v>
      </c>
      <c r="C264">
        <v>30</v>
      </c>
      <c r="D264" t="s">
        <v>18</v>
      </c>
      <c r="E264" t="s">
        <v>13</v>
      </c>
      <c r="F264" t="s">
        <v>20</v>
      </c>
      <c r="G264">
        <v>22</v>
      </c>
      <c r="H264" s="1">
        <v>44606</v>
      </c>
      <c r="I264" t="s">
        <v>62</v>
      </c>
      <c r="J264" t="s">
        <v>16</v>
      </c>
    </row>
    <row r="265" spans="1:10" x14ac:dyDescent="0.3">
      <c r="A265" t="s">
        <v>309</v>
      </c>
      <c r="B265" t="s">
        <v>24</v>
      </c>
      <c r="C265">
        <v>27</v>
      </c>
      <c r="D265" t="s">
        <v>18</v>
      </c>
      <c r="E265" t="s">
        <v>13</v>
      </c>
      <c r="F265" t="s">
        <v>33</v>
      </c>
      <c r="G265">
        <v>57</v>
      </c>
      <c r="H265" s="1">
        <v>43565</v>
      </c>
      <c r="I265" t="s">
        <v>49</v>
      </c>
      <c r="J265" t="s">
        <v>27</v>
      </c>
    </row>
    <row r="266" spans="1:10" x14ac:dyDescent="0.3">
      <c r="A266" t="s">
        <v>310</v>
      </c>
      <c r="B266" t="s">
        <v>31</v>
      </c>
      <c r="C266">
        <v>36</v>
      </c>
      <c r="D266" t="s">
        <v>12</v>
      </c>
      <c r="E266" t="s">
        <v>19</v>
      </c>
      <c r="F266" t="s">
        <v>14</v>
      </c>
      <c r="G266">
        <v>28</v>
      </c>
      <c r="H266" s="1">
        <v>44428</v>
      </c>
      <c r="I266" t="s">
        <v>49</v>
      </c>
      <c r="J266" t="s">
        <v>27</v>
      </c>
    </row>
    <row r="267" spans="1:10" x14ac:dyDescent="0.3">
      <c r="A267" t="s">
        <v>311</v>
      </c>
      <c r="B267" t="s">
        <v>24</v>
      </c>
      <c r="C267">
        <v>22</v>
      </c>
      <c r="D267" t="s">
        <v>32</v>
      </c>
      <c r="E267" t="s">
        <v>19</v>
      </c>
      <c r="F267" t="s">
        <v>14</v>
      </c>
      <c r="G267">
        <v>54</v>
      </c>
      <c r="H267" s="1">
        <v>43651</v>
      </c>
      <c r="I267" t="s">
        <v>21</v>
      </c>
      <c r="J267" t="s">
        <v>27</v>
      </c>
    </row>
    <row r="268" spans="1:10" x14ac:dyDescent="0.3">
      <c r="A268" t="s">
        <v>312</v>
      </c>
      <c r="B268" t="s">
        <v>42</v>
      </c>
      <c r="C268">
        <v>22</v>
      </c>
      <c r="D268" t="s">
        <v>32</v>
      </c>
      <c r="E268" t="s">
        <v>19</v>
      </c>
      <c r="F268" t="s">
        <v>54</v>
      </c>
      <c r="G268">
        <v>21</v>
      </c>
      <c r="H268" s="1">
        <v>44652</v>
      </c>
      <c r="I268" t="s">
        <v>34</v>
      </c>
      <c r="J268" t="s">
        <v>65</v>
      </c>
    </row>
    <row r="269" spans="1:10" x14ac:dyDescent="0.3">
      <c r="A269" t="s">
        <v>313</v>
      </c>
      <c r="B269" t="s">
        <v>61</v>
      </c>
      <c r="C269">
        <v>37</v>
      </c>
      <c r="D269" t="s">
        <v>12</v>
      </c>
      <c r="E269" t="s">
        <v>13</v>
      </c>
      <c r="F269" t="s">
        <v>64</v>
      </c>
      <c r="G269">
        <v>45</v>
      </c>
      <c r="H269" s="1">
        <v>43940</v>
      </c>
      <c r="I269" t="s">
        <v>62</v>
      </c>
      <c r="J269" t="s">
        <v>16</v>
      </c>
    </row>
    <row r="270" spans="1:10" x14ac:dyDescent="0.3">
      <c r="A270" t="s">
        <v>314</v>
      </c>
      <c r="B270" t="s">
        <v>61</v>
      </c>
      <c r="C270">
        <v>34</v>
      </c>
      <c r="D270" t="s">
        <v>18</v>
      </c>
      <c r="E270" t="s">
        <v>13</v>
      </c>
      <c r="F270" t="s">
        <v>33</v>
      </c>
      <c r="G270">
        <v>5</v>
      </c>
      <c r="H270" s="1">
        <v>45113</v>
      </c>
      <c r="I270" t="s">
        <v>21</v>
      </c>
      <c r="J270" t="s">
        <v>22</v>
      </c>
    </row>
    <row r="271" spans="1:10" x14ac:dyDescent="0.3">
      <c r="A271" t="s">
        <v>315</v>
      </c>
      <c r="B271" t="s">
        <v>24</v>
      </c>
      <c r="C271">
        <v>37</v>
      </c>
      <c r="D271" t="s">
        <v>12</v>
      </c>
      <c r="E271" t="s">
        <v>13</v>
      </c>
      <c r="F271" t="s">
        <v>88</v>
      </c>
      <c r="G271">
        <v>46</v>
      </c>
      <c r="H271" s="1">
        <v>43912</v>
      </c>
      <c r="I271" t="s">
        <v>21</v>
      </c>
      <c r="J271" t="s">
        <v>22</v>
      </c>
    </row>
    <row r="272" spans="1:10" x14ac:dyDescent="0.3">
      <c r="A272" t="s">
        <v>316</v>
      </c>
      <c r="B272" t="s">
        <v>24</v>
      </c>
      <c r="C272">
        <v>18</v>
      </c>
      <c r="D272" t="s">
        <v>32</v>
      </c>
      <c r="E272" t="s">
        <v>19</v>
      </c>
      <c r="F272" t="s">
        <v>54</v>
      </c>
      <c r="G272">
        <v>47</v>
      </c>
      <c r="H272" s="1">
        <v>43871</v>
      </c>
      <c r="I272" t="s">
        <v>34</v>
      </c>
      <c r="J272" t="s">
        <v>22</v>
      </c>
    </row>
    <row r="273" spans="1:10" x14ac:dyDescent="0.3">
      <c r="A273" t="s">
        <v>317</v>
      </c>
      <c r="B273" t="s">
        <v>61</v>
      </c>
      <c r="C273">
        <v>33</v>
      </c>
      <c r="D273" t="s">
        <v>18</v>
      </c>
      <c r="E273" t="s">
        <v>13</v>
      </c>
      <c r="F273" t="s">
        <v>38</v>
      </c>
      <c r="G273">
        <v>50</v>
      </c>
      <c r="H273" s="1">
        <v>43773</v>
      </c>
      <c r="I273" t="s">
        <v>29</v>
      </c>
      <c r="J273" t="s">
        <v>22</v>
      </c>
    </row>
    <row r="274" spans="1:10" x14ac:dyDescent="0.3">
      <c r="A274" t="s">
        <v>318</v>
      </c>
      <c r="B274" t="s">
        <v>61</v>
      </c>
      <c r="C274">
        <v>36</v>
      </c>
      <c r="D274" t="s">
        <v>12</v>
      </c>
      <c r="E274" t="s">
        <v>13</v>
      </c>
      <c r="F274" t="s">
        <v>54</v>
      </c>
      <c r="G274">
        <v>25</v>
      </c>
      <c r="H274" s="1">
        <v>44513</v>
      </c>
      <c r="I274" t="s">
        <v>49</v>
      </c>
      <c r="J274" t="s">
        <v>16</v>
      </c>
    </row>
    <row r="275" spans="1:10" x14ac:dyDescent="0.3">
      <c r="A275" t="s">
        <v>319</v>
      </c>
      <c r="B275" t="s">
        <v>61</v>
      </c>
      <c r="C275">
        <v>26</v>
      </c>
      <c r="D275" t="s">
        <v>18</v>
      </c>
      <c r="E275" t="s">
        <v>105</v>
      </c>
      <c r="F275" t="s">
        <v>54</v>
      </c>
      <c r="G275">
        <v>52</v>
      </c>
      <c r="H275" s="1">
        <v>43712</v>
      </c>
      <c r="I275" t="s">
        <v>62</v>
      </c>
      <c r="J275" t="s">
        <v>16</v>
      </c>
    </row>
    <row r="276" spans="1:10" x14ac:dyDescent="0.3">
      <c r="A276" t="s">
        <v>320</v>
      </c>
      <c r="B276" t="s">
        <v>31</v>
      </c>
      <c r="C276">
        <v>19</v>
      </c>
      <c r="D276" t="s">
        <v>32</v>
      </c>
      <c r="E276" t="s">
        <v>13</v>
      </c>
      <c r="F276" t="s">
        <v>20</v>
      </c>
      <c r="G276">
        <v>3</v>
      </c>
      <c r="H276" s="1">
        <v>45175</v>
      </c>
      <c r="I276" t="s">
        <v>15</v>
      </c>
      <c r="J276" t="s">
        <v>27</v>
      </c>
    </row>
    <row r="277" spans="1:10" x14ac:dyDescent="0.3">
      <c r="A277" t="s">
        <v>321</v>
      </c>
      <c r="B277" t="s">
        <v>31</v>
      </c>
      <c r="C277">
        <v>38</v>
      </c>
      <c r="D277" t="s">
        <v>12</v>
      </c>
      <c r="E277" t="s">
        <v>19</v>
      </c>
      <c r="F277" t="s">
        <v>88</v>
      </c>
      <c r="G277">
        <v>38</v>
      </c>
      <c r="H277" s="1">
        <v>44148</v>
      </c>
      <c r="I277" t="s">
        <v>39</v>
      </c>
      <c r="J277" t="s">
        <v>27</v>
      </c>
    </row>
    <row r="278" spans="1:10" x14ac:dyDescent="0.3">
      <c r="A278" t="s">
        <v>322</v>
      </c>
      <c r="B278" t="s">
        <v>24</v>
      </c>
      <c r="C278">
        <v>18</v>
      </c>
      <c r="D278" t="s">
        <v>32</v>
      </c>
      <c r="E278" t="s">
        <v>13</v>
      </c>
      <c r="F278" t="s">
        <v>88</v>
      </c>
      <c r="G278">
        <v>1</v>
      </c>
      <c r="H278" s="1">
        <v>45249</v>
      </c>
      <c r="I278" t="s">
        <v>62</v>
      </c>
      <c r="J278" t="s">
        <v>22</v>
      </c>
    </row>
    <row r="279" spans="1:10" x14ac:dyDescent="0.3">
      <c r="A279" t="s">
        <v>323</v>
      </c>
      <c r="B279" t="s">
        <v>31</v>
      </c>
      <c r="C279">
        <v>22</v>
      </c>
      <c r="D279" t="s">
        <v>32</v>
      </c>
      <c r="E279" t="s">
        <v>19</v>
      </c>
      <c r="F279" t="s">
        <v>38</v>
      </c>
      <c r="G279">
        <v>33</v>
      </c>
      <c r="H279" s="1">
        <v>44276</v>
      </c>
      <c r="I279" t="s">
        <v>26</v>
      </c>
      <c r="J279" t="s">
        <v>27</v>
      </c>
    </row>
    <row r="280" spans="1:10" x14ac:dyDescent="0.3">
      <c r="A280" t="s">
        <v>324</v>
      </c>
      <c r="B280" t="s">
        <v>31</v>
      </c>
      <c r="C280">
        <v>19</v>
      </c>
      <c r="D280" t="s">
        <v>32</v>
      </c>
      <c r="E280" t="s">
        <v>13</v>
      </c>
      <c r="F280" t="s">
        <v>54</v>
      </c>
      <c r="G280">
        <v>36</v>
      </c>
      <c r="H280" s="1">
        <v>44204</v>
      </c>
      <c r="I280" t="s">
        <v>49</v>
      </c>
      <c r="J280" t="s">
        <v>27</v>
      </c>
    </row>
    <row r="281" spans="1:10" x14ac:dyDescent="0.3">
      <c r="A281" t="s">
        <v>325</v>
      </c>
      <c r="B281" t="s">
        <v>24</v>
      </c>
      <c r="C281">
        <v>31</v>
      </c>
      <c r="D281" t="s">
        <v>18</v>
      </c>
      <c r="E281" t="s">
        <v>13</v>
      </c>
      <c r="F281" t="s">
        <v>64</v>
      </c>
      <c r="G281">
        <v>42</v>
      </c>
      <c r="H281" s="1">
        <v>44032</v>
      </c>
      <c r="I281" t="s">
        <v>39</v>
      </c>
      <c r="J281" t="s">
        <v>22</v>
      </c>
    </row>
    <row r="282" spans="1:10" x14ac:dyDescent="0.3">
      <c r="A282" t="s">
        <v>326</v>
      </c>
      <c r="B282" t="s">
        <v>24</v>
      </c>
      <c r="C282">
        <v>21</v>
      </c>
      <c r="D282" t="s">
        <v>32</v>
      </c>
      <c r="E282" t="s">
        <v>13</v>
      </c>
      <c r="F282" t="s">
        <v>25</v>
      </c>
      <c r="G282">
        <v>14</v>
      </c>
      <c r="H282" s="1">
        <v>44848</v>
      </c>
      <c r="I282" t="s">
        <v>62</v>
      </c>
      <c r="J282" t="s">
        <v>22</v>
      </c>
    </row>
    <row r="283" spans="1:10" x14ac:dyDescent="0.3">
      <c r="A283" t="s">
        <v>327</v>
      </c>
      <c r="B283" t="s">
        <v>42</v>
      </c>
      <c r="C283">
        <v>28</v>
      </c>
      <c r="D283" t="s">
        <v>18</v>
      </c>
      <c r="E283" t="s">
        <v>13</v>
      </c>
      <c r="F283" t="s">
        <v>54</v>
      </c>
      <c r="G283">
        <v>42</v>
      </c>
      <c r="H283" s="1">
        <v>44027</v>
      </c>
      <c r="I283" t="s">
        <v>62</v>
      </c>
      <c r="J283" t="s">
        <v>22</v>
      </c>
    </row>
    <row r="284" spans="1:10" x14ac:dyDescent="0.3">
      <c r="A284" t="s">
        <v>328</v>
      </c>
      <c r="B284" t="s">
        <v>24</v>
      </c>
      <c r="C284">
        <v>38</v>
      </c>
      <c r="D284" t="s">
        <v>12</v>
      </c>
      <c r="E284" t="s">
        <v>19</v>
      </c>
      <c r="F284" t="s">
        <v>56</v>
      </c>
      <c r="G284">
        <v>41</v>
      </c>
      <c r="H284" s="1">
        <v>44056</v>
      </c>
      <c r="I284" t="s">
        <v>29</v>
      </c>
      <c r="J284" t="s">
        <v>27</v>
      </c>
    </row>
    <row r="285" spans="1:10" x14ac:dyDescent="0.3">
      <c r="A285" t="s">
        <v>329</v>
      </c>
      <c r="B285" t="s">
        <v>42</v>
      </c>
      <c r="C285">
        <v>20</v>
      </c>
      <c r="D285" t="s">
        <v>32</v>
      </c>
      <c r="E285" t="s">
        <v>19</v>
      </c>
      <c r="F285" t="s">
        <v>38</v>
      </c>
      <c r="G285">
        <v>36</v>
      </c>
      <c r="H285" s="1">
        <v>44198</v>
      </c>
      <c r="I285" t="s">
        <v>47</v>
      </c>
      <c r="J285" t="s">
        <v>27</v>
      </c>
    </row>
    <row r="286" spans="1:10" x14ac:dyDescent="0.3">
      <c r="A286" t="s">
        <v>330</v>
      </c>
      <c r="B286" t="s">
        <v>24</v>
      </c>
      <c r="C286">
        <v>38</v>
      </c>
      <c r="D286" t="s">
        <v>12</v>
      </c>
      <c r="E286" t="s">
        <v>13</v>
      </c>
      <c r="F286" t="s">
        <v>64</v>
      </c>
      <c r="G286">
        <v>52</v>
      </c>
      <c r="H286" s="1">
        <v>43716</v>
      </c>
      <c r="I286" t="s">
        <v>15</v>
      </c>
      <c r="J286" t="s">
        <v>27</v>
      </c>
    </row>
    <row r="287" spans="1:10" x14ac:dyDescent="0.3">
      <c r="A287" t="s">
        <v>331</v>
      </c>
      <c r="B287" t="s">
        <v>31</v>
      </c>
      <c r="C287">
        <v>33</v>
      </c>
      <c r="D287" t="s">
        <v>18</v>
      </c>
      <c r="E287" t="s">
        <v>19</v>
      </c>
      <c r="F287" t="s">
        <v>38</v>
      </c>
      <c r="G287">
        <v>52</v>
      </c>
      <c r="H287" s="1">
        <v>43731</v>
      </c>
      <c r="I287" t="s">
        <v>15</v>
      </c>
      <c r="J287" t="s">
        <v>27</v>
      </c>
    </row>
    <row r="288" spans="1:10" x14ac:dyDescent="0.3">
      <c r="A288" t="s">
        <v>332</v>
      </c>
      <c r="B288" t="s">
        <v>11</v>
      </c>
      <c r="C288">
        <v>36</v>
      </c>
      <c r="D288" t="s">
        <v>12</v>
      </c>
      <c r="E288" t="s">
        <v>19</v>
      </c>
      <c r="F288" t="s">
        <v>54</v>
      </c>
      <c r="G288">
        <v>33</v>
      </c>
      <c r="H288" s="1">
        <v>44297</v>
      </c>
      <c r="I288" t="s">
        <v>49</v>
      </c>
      <c r="J288" t="s">
        <v>16</v>
      </c>
    </row>
    <row r="289" spans="1:10" x14ac:dyDescent="0.3">
      <c r="A289" t="s">
        <v>333</v>
      </c>
      <c r="B289" t="s">
        <v>11</v>
      </c>
      <c r="C289">
        <v>37</v>
      </c>
      <c r="D289" t="s">
        <v>12</v>
      </c>
      <c r="E289" t="s">
        <v>19</v>
      </c>
      <c r="F289" t="s">
        <v>54</v>
      </c>
      <c r="G289">
        <v>44</v>
      </c>
      <c r="H289" s="1">
        <v>43951</v>
      </c>
      <c r="I289" t="s">
        <v>26</v>
      </c>
      <c r="J289" t="s">
        <v>27</v>
      </c>
    </row>
    <row r="290" spans="1:10" x14ac:dyDescent="0.3">
      <c r="A290" t="s">
        <v>334</v>
      </c>
      <c r="B290" t="s">
        <v>11</v>
      </c>
      <c r="C290">
        <v>29</v>
      </c>
      <c r="D290" t="s">
        <v>18</v>
      </c>
      <c r="E290" t="s">
        <v>13</v>
      </c>
      <c r="F290" t="s">
        <v>25</v>
      </c>
      <c r="G290">
        <v>11</v>
      </c>
      <c r="H290" s="1">
        <v>44940</v>
      </c>
      <c r="I290" t="s">
        <v>29</v>
      </c>
      <c r="J290" t="s">
        <v>65</v>
      </c>
    </row>
    <row r="291" spans="1:10" x14ac:dyDescent="0.3">
      <c r="A291" t="s">
        <v>335</v>
      </c>
      <c r="B291" t="s">
        <v>11</v>
      </c>
      <c r="C291">
        <v>46</v>
      </c>
      <c r="D291" t="s">
        <v>46</v>
      </c>
      <c r="E291" t="s">
        <v>19</v>
      </c>
      <c r="F291" t="s">
        <v>56</v>
      </c>
      <c r="G291">
        <v>56</v>
      </c>
      <c r="H291" s="1">
        <v>43592</v>
      </c>
      <c r="I291" t="s">
        <v>21</v>
      </c>
      <c r="J291" t="s">
        <v>16</v>
      </c>
    </row>
    <row r="292" spans="1:10" x14ac:dyDescent="0.3">
      <c r="A292" t="s">
        <v>336</v>
      </c>
      <c r="B292" t="s">
        <v>61</v>
      </c>
      <c r="C292">
        <v>29</v>
      </c>
      <c r="D292" t="s">
        <v>18</v>
      </c>
      <c r="E292" t="s">
        <v>19</v>
      </c>
      <c r="F292" t="s">
        <v>14</v>
      </c>
      <c r="G292">
        <v>60</v>
      </c>
      <c r="H292" s="1">
        <v>43468</v>
      </c>
      <c r="I292" t="s">
        <v>62</v>
      </c>
      <c r="J292" t="s">
        <v>22</v>
      </c>
    </row>
    <row r="293" spans="1:10" x14ac:dyDescent="0.3">
      <c r="A293" t="s">
        <v>337</v>
      </c>
      <c r="B293" t="s">
        <v>11</v>
      </c>
      <c r="C293">
        <v>18</v>
      </c>
      <c r="D293" t="s">
        <v>32</v>
      </c>
      <c r="E293" t="s">
        <v>13</v>
      </c>
      <c r="F293" t="s">
        <v>38</v>
      </c>
      <c r="G293">
        <v>18</v>
      </c>
      <c r="H293" s="1">
        <v>44734</v>
      </c>
      <c r="I293" t="s">
        <v>29</v>
      </c>
      <c r="J293" t="s">
        <v>27</v>
      </c>
    </row>
    <row r="294" spans="1:10" x14ac:dyDescent="0.3">
      <c r="A294" t="s">
        <v>338</v>
      </c>
      <c r="B294" t="s">
        <v>31</v>
      </c>
      <c r="C294">
        <v>43</v>
      </c>
      <c r="D294" t="s">
        <v>12</v>
      </c>
      <c r="E294" t="s">
        <v>13</v>
      </c>
      <c r="F294" t="s">
        <v>56</v>
      </c>
      <c r="G294">
        <v>6</v>
      </c>
      <c r="H294" s="1">
        <v>45107</v>
      </c>
      <c r="I294" t="s">
        <v>62</v>
      </c>
      <c r="J294" t="s">
        <v>65</v>
      </c>
    </row>
    <row r="295" spans="1:10" x14ac:dyDescent="0.3">
      <c r="A295" t="s">
        <v>339</v>
      </c>
      <c r="B295" t="s">
        <v>42</v>
      </c>
      <c r="C295">
        <v>19</v>
      </c>
      <c r="D295" t="s">
        <v>32</v>
      </c>
      <c r="E295" t="s">
        <v>13</v>
      </c>
      <c r="F295" t="s">
        <v>20</v>
      </c>
      <c r="G295">
        <v>57</v>
      </c>
      <c r="H295" s="1">
        <v>43553</v>
      </c>
      <c r="I295" t="s">
        <v>15</v>
      </c>
      <c r="J295" t="s">
        <v>22</v>
      </c>
    </row>
    <row r="296" spans="1:10" x14ac:dyDescent="0.3">
      <c r="A296" t="s">
        <v>340</v>
      </c>
      <c r="B296" t="s">
        <v>31</v>
      </c>
      <c r="C296">
        <v>40</v>
      </c>
      <c r="D296" t="s">
        <v>12</v>
      </c>
      <c r="E296" t="s">
        <v>13</v>
      </c>
      <c r="F296" t="s">
        <v>88</v>
      </c>
      <c r="G296">
        <v>22</v>
      </c>
      <c r="H296" s="1">
        <v>44617</v>
      </c>
      <c r="I296" t="s">
        <v>26</v>
      </c>
      <c r="J296" t="s">
        <v>22</v>
      </c>
    </row>
    <row r="297" spans="1:10" x14ac:dyDescent="0.3">
      <c r="A297" t="s">
        <v>341</v>
      </c>
      <c r="B297" t="s">
        <v>31</v>
      </c>
      <c r="C297">
        <v>24</v>
      </c>
      <c r="D297" t="s">
        <v>32</v>
      </c>
      <c r="E297" t="s">
        <v>19</v>
      </c>
      <c r="F297" t="s">
        <v>36</v>
      </c>
      <c r="G297">
        <v>37</v>
      </c>
      <c r="H297" s="1">
        <v>44155</v>
      </c>
      <c r="I297" t="s">
        <v>47</v>
      </c>
      <c r="J297" t="s">
        <v>27</v>
      </c>
    </row>
    <row r="298" spans="1:10" x14ac:dyDescent="0.3">
      <c r="A298" t="s">
        <v>342</v>
      </c>
      <c r="B298" t="s">
        <v>24</v>
      </c>
      <c r="C298">
        <v>18</v>
      </c>
      <c r="D298" t="s">
        <v>32</v>
      </c>
      <c r="E298" t="s">
        <v>13</v>
      </c>
      <c r="F298" t="s">
        <v>56</v>
      </c>
      <c r="G298">
        <v>42</v>
      </c>
      <c r="H298" s="1">
        <v>44008</v>
      </c>
      <c r="I298" t="s">
        <v>21</v>
      </c>
      <c r="J298" t="s">
        <v>16</v>
      </c>
    </row>
    <row r="299" spans="1:10" x14ac:dyDescent="0.3">
      <c r="A299" t="s">
        <v>343</v>
      </c>
      <c r="B299" t="s">
        <v>42</v>
      </c>
      <c r="C299">
        <v>35</v>
      </c>
      <c r="D299" t="s">
        <v>12</v>
      </c>
      <c r="E299" t="s">
        <v>13</v>
      </c>
      <c r="F299" t="s">
        <v>54</v>
      </c>
      <c r="G299">
        <v>40</v>
      </c>
      <c r="H299" s="1">
        <v>44092</v>
      </c>
      <c r="I299" t="s">
        <v>39</v>
      </c>
      <c r="J299" t="s">
        <v>65</v>
      </c>
    </row>
    <row r="300" spans="1:10" x14ac:dyDescent="0.3">
      <c r="A300" t="s">
        <v>344</v>
      </c>
      <c r="B300" t="s">
        <v>24</v>
      </c>
      <c r="C300">
        <v>39</v>
      </c>
      <c r="D300" t="s">
        <v>12</v>
      </c>
      <c r="E300" t="s">
        <v>13</v>
      </c>
      <c r="F300" t="s">
        <v>64</v>
      </c>
      <c r="G300">
        <v>35</v>
      </c>
      <c r="H300" s="1">
        <v>44239</v>
      </c>
      <c r="I300" t="s">
        <v>39</v>
      </c>
      <c r="J300" t="s">
        <v>65</v>
      </c>
    </row>
    <row r="301" spans="1:10" x14ac:dyDescent="0.3">
      <c r="A301" t="s">
        <v>345</v>
      </c>
      <c r="B301" t="s">
        <v>31</v>
      </c>
      <c r="C301">
        <v>28</v>
      </c>
      <c r="D301" t="s">
        <v>18</v>
      </c>
      <c r="E301" t="s">
        <v>13</v>
      </c>
      <c r="F301" t="s">
        <v>38</v>
      </c>
      <c r="G301">
        <v>31</v>
      </c>
      <c r="H301" s="1">
        <v>44341</v>
      </c>
      <c r="I301" t="s">
        <v>34</v>
      </c>
      <c r="J301" t="s">
        <v>16</v>
      </c>
    </row>
    <row r="302" spans="1:10" x14ac:dyDescent="0.3">
      <c r="A302" t="s">
        <v>346</v>
      </c>
      <c r="B302" t="s">
        <v>11</v>
      </c>
      <c r="C302">
        <v>36</v>
      </c>
      <c r="D302" t="s">
        <v>12</v>
      </c>
      <c r="E302" t="s">
        <v>13</v>
      </c>
      <c r="F302" t="s">
        <v>14</v>
      </c>
      <c r="G302">
        <v>25</v>
      </c>
      <c r="H302" s="1">
        <v>44535</v>
      </c>
      <c r="I302" t="s">
        <v>34</v>
      </c>
      <c r="J302" t="s">
        <v>22</v>
      </c>
    </row>
    <row r="303" spans="1:10" x14ac:dyDescent="0.3">
      <c r="A303" t="s">
        <v>347</v>
      </c>
      <c r="B303" t="s">
        <v>24</v>
      </c>
      <c r="C303">
        <v>42</v>
      </c>
      <c r="D303" t="s">
        <v>12</v>
      </c>
      <c r="E303" t="s">
        <v>19</v>
      </c>
      <c r="F303" t="s">
        <v>64</v>
      </c>
      <c r="G303">
        <v>58</v>
      </c>
      <c r="H303" s="1">
        <v>43524</v>
      </c>
      <c r="I303" t="s">
        <v>29</v>
      </c>
      <c r="J303" t="s">
        <v>16</v>
      </c>
    </row>
    <row r="304" spans="1:10" x14ac:dyDescent="0.3">
      <c r="A304" t="s">
        <v>348</v>
      </c>
      <c r="B304" t="s">
        <v>24</v>
      </c>
      <c r="C304">
        <v>31</v>
      </c>
      <c r="D304" t="s">
        <v>18</v>
      </c>
      <c r="E304" t="s">
        <v>19</v>
      </c>
      <c r="F304" t="s">
        <v>36</v>
      </c>
      <c r="G304">
        <v>29</v>
      </c>
      <c r="H304" s="1">
        <v>44415</v>
      </c>
      <c r="I304" t="s">
        <v>39</v>
      </c>
      <c r="J304" t="s">
        <v>16</v>
      </c>
    </row>
    <row r="305" spans="1:10" x14ac:dyDescent="0.3">
      <c r="A305" t="s">
        <v>349</v>
      </c>
      <c r="B305" t="s">
        <v>24</v>
      </c>
      <c r="C305">
        <v>41</v>
      </c>
      <c r="D305" t="s">
        <v>12</v>
      </c>
      <c r="E305" t="s">
        <v>13</v>
      </c>
      <c r="F305" t="s">
        <v>64</v>
      </c>
      <c r="G305">
        <v>36</v>
      </c>
      <c r="H305" s="1">
        <v>44189</v>
      </c>
      <c r="I305" t="s">
        <v>29</v>
      </c>
      <c r="J305" t="s">
        <v>16</v>
      </c>
    </row>
    <row r="306" spans="1:10" x14ac:dyDescent="0.3">
      <c r="A306" t="s">
        <v>350</v>
      </c>
      <c r="B306" t="s">
        <v>31</v>
      </c>
      <c r="C306">
        <v>46</v>
      </c>
      <c r="D306" t="s">
        <v>46</v>
      </c>
      <c r="E306" t="s">
        <v>13</v>
      </c>
      <c r="F306" t="s">
        <v>56</v>
      </c>
      <c r="G306">
        <v>59</v>
      </c>
      <c r="H306" s="1">
        <v>43500</v>
      </c>
      <c r="I306" t="s">
        <v>34</v>
      </c>
      <c r="J306" t="s">
        <v>22</v>
      </c>
    </row>
    <row r="307" spans="1:10" x14ac:dyDescent="0.3">
      <c r="A307" t="s">
        <v>351</v>
      </c>
      <c r="B307" t="s">
        <v>11</v>
      </c>
      <c r="C307">
        <v>22</v>
      </c>
      <c r="D307" t="s">
        <v>32</v>
      </c>
      <c r="E307" t="s">
        <v>19</v>
      </c>
      <c r="F307" t="s">
        <v>33</v>
      </c>
      <c r="G307">
        <v>44</v>
      </c>
      <c r="H307" s="1">
        <v>43952</v>
      </c>
      <c r="I307" t="s">
        <v>62</v>
      </c>
      <c r="J307" t="s">
        <v>27</v>
      </c>
    </row>
    <row r="308" spans="1:10" x14ac:dyDescent="0.3">
      <c r="A308" t="s">
        <v>352</v>
      </c>
      <c r="B308" t="s">
        <v>42</v>
      </c>
      <c r="C308">
        <v>29</v>
      </c>
      <c r="D308" t="s">
        <v>18</v>
      </c>
      <c r="E308" t="s">
        <v>13</v>
      </c>
      <c r="F308" t="s">
        <v>14</v>
      </c>
      <c r="G308">
        <v>33</v>
      </c>
      <c r="H308" s="1">
        <v>44302</v>
      </c>
      <c r="I308" t="s">
        <v>62</v>
      </c>
      <c r="J308" t="s">
        <v>16</v>
      </c>
    </row>
    <row r="309" spans="1:10" x14ac:dyDescent="0.3">
      <c r="A309" t="s">
        <v>353</v>
      </c>
      <c r="B309" t="s">
        <v>31</v>
      </c>
      <c r="C309">
        <v>19</v>
      </c>
      <c r="D309" t="s">
        <v>32</v>
      </c>
      <c r="E309" t="s">
        <v>19</v>
      </c>
      <c r="F309" t="s">
        <v>64</v>
      </c>
      <c r="G309">
        <v>27</v>
      </c>
      <c r="H309" s="1">
        <v>44454</v>
      </c>
      <c r="I309" t="s">
        <v>15</v>
      </c>
      <c r="J309" t="s">
        <v>16</v>
      </c>
    </row>
    <row r="310" spans="1:10" x14ac:dyDescent="0.3">
      <c r="A310" t="s">
        <v>354</v>
      </c>
      <c r="B310" t="s">
        <v>11</v>
      </c>
      <c r="C310">
        <v>24</v>
      </c>
      <c r="D310" t="s">
        <v>32</v>
      </c>
      <c r="E310" t="s">
        <v>13</v>
      </c>
      <c r="F310" t="s">
        <v>33</v>
      </c>
      <c r="G310">
        <v>56</v>
      </c>
      <c r="H310" s="1">
        <v>43606</v>
      </c>
      <c r="I310" t="s">
        <v>21</v>
      </c>
      <c r="J310" t="s">
        <v>27</v>
      </c>
    </row>
    <row r="311" spans="1:10" x14ac:dyDescent="0.3">
      <c r="A311" t="s">
        <v>355</v>
      </c>
      <c r="B311" t="s">
        <v>31</v>
      </c>
      <c r="C311">
        <v>18</v>
      </c>
      <c r="D311" t="s">
        <v>32</v>
      </c>
      <c r="E311" t="s">
        <v>19</v>
      </c>
      <c r="F311" t="s">
        <v>25</v>
      </c>
      <c r="G311">
        <v>13</v>
      </c>
      <c r="H311" s="1">
        <v>44882</v>
      </c>
      <c r="I311" t="s">
        <v>29</v>
      </c>
      <c r="J311" t="s">
        <v>16</v>
      </c>
    </row>
    <row r="312" spans="1:10" x14ac:dyDescent="0.3">
      <c r="A312" t="s">
        <v>356</v>
      </c>
      <c r="B312" t="s">
        <v>61</v>
      </c>
      <c r="C312">
        <v>41</v>
      </c>
      <c r="D312" t="s">
        <v>12</v>
      </c>
      <c r="E312" t="s">
        <v>13</v>
      </c>
      <c r="F312" t="s">
        <v>25</v>
      </c>
      <c r="G312">
        <v>23</v>
      </c>
      <c r="H312" s="1">
        <v>44586</v>
      </c>
      <c r="I312" t="s">
        <v>29</v>
      </c>
      <c r="J312" t="s">
        <v>22</v>
      </c>
    </row>
    <row r="313" spans="1:10" x14ac:dyDescent="0.3">
      <c r="A313" t="s">
        <v>357</v>
      </c>
      <c r="B313" t="s">
        <v>31</v>
      </c>
      <c r="C313">
        <v>30</v>
      </c>
      <c r="D313" t="s">
        <v>18</v>
      </c>
      <c r="E313" t="s">
        <v>105</v>
      </c>
      <c r="F313" t="s">
        <v>20</v>
      </c>
      <c r="G313">
        <v>27</v>
      </c>
      <c r="H313" s="1">
        <v>44474</v>
      </c>
      <c r="I313" t="s">
        <v>26</v>
      </c>
      <c r="J313" t="s">
        <v>16</v>
      </c>
    </row>
    <row r="314" spans="1:10" x14ac:dyDescent="0.3">
      <c r="A314" t="s">
        <v>358</v>
      </c>
      <c r="B314" t="s">
        <v>24</v>
      </c>
      <c r="C314">
        <v>29</v>
      </c>
      <c r="D314" t="s">
        <v>18</v>
      </c>
      <c r="E314" t="s">
        <v>19</v>
      </c>
      <c r="F314" t="s">
        <v>25</v>
      </c>
      <c r="G314">
        <v>51</v>
      </c>
      <c r="H314" s="1">
        <v>43737</v>
      </c>
      <c r="I314" t="s">
        <v>62</v>
      </c>
      <c r="J314" t="s">
        <v>27</v>
      </c>
    </row>
    <row r="315" spans="1:10" x14ac:dyDescent="0.3">
      <c r="A315" t="s">
        <v>359</v>
      </c>
      <c r="B315" t="s">
        <v>31</v>
      </c>
      <c r="C315">
        <v>37</v>
      </c>
      <c r="D315" t="s">
        <v>12</v>
      </c>
      <c r="E315" t="s">
        <v>19</v>
      </c>
      <c r="F315" t="s">
        <v>88</v>
      </c>
      <c r="G315">
        <v>9</v>
      </c>
      <c r="H315" s="1">
        <v>45017</v>
      </c>
      <c r="I315" t="s">
        <v>49</v>
      </c>
      <c r="J315" t="s">
        <v>22</v>
      </c>
    </row>
    <row r="316" spans="1:10" x14ac:dyDescent="0.3">
      <c r="A316" t="s">
        <v>360</v>
      </c>
      <c r="B316" t="s">
        <v>11</v>
      </c>
      <c r="C316">
        <v>42</v>
      </c>
      <c r="D316" t="s">
        <v>12</v>
      </c>
      <c r="E316" t="s">
        <v>13</v>
      </c>
      <c r="F316" t="s">
        <v>25</v>
      </c>
      <c r="G316">
        <v>5</v>
      </c>
      <c r="H316" s="1">
        <v>45140</v>
      </c>
      <c r="I316" t="s">
        <v>34</v>
      </c>
      <c r="J316" t="s">
        <v>27</v>
      </c>
    </row>
    <row r="317" spans="1:10" x14ac:dyDescent="0.3">
      <c r="A317" t="s">
        <v>361</v>
      </c>
      <c r="B317" t="s">
        <v>24</v>
      </c>
      <c r="C317">
        <v>35</v>
      </c>
      <c r="D317" t="s">
        <v>12</v>
      </c>
      <c r="E317" t="s">
        <v>13</v>
      </c>
      <c r="F317" t="s">
        <v>25</v>
      </c>
      <c r="G317">
        <v>34</v>
      </c>
      <c r="H317" s="1">
        <v>44269</v>
      </c>
      <c r="I317" t="s">
        <v>26</v>
      </c>
      <c r="J317" t="s">
        <v>27</v>
      </c>
    </row>
    <row r="318" spans="1:10" x14ac:dyDescent="0.3">
      <c r="A318" t="s">
        <v>362</v>
      </c>
      <c r="B318" t="s">
        <v>11</v>
      </c>
      <c r="C318">
        <v>40</v>
      </c>
      <c r="D318" t="s">
        <v>12</v>
      </c>
      <c r="E318" t="s">
        <v>13</v>
      </c>
      <c r="F318" t="s">
        <v>54</v>
      </c>
      <c r="G318">
        <v>31</v>
      </c>
      <c r="H318" s="1">
        <v>44342</v>
      </c>
      <c r="I318" t="s">
        <v>21</v>
      </c>
      <c r="J318" t="s">
        <v>22</v>
      </c>
    </row>
    <row r="319" spans="1:10" x14ac:dyDescent="0.3">
      <c r="A319" t="s">
        <v>363</v>
      </c>
      <c r="B319" t="s">
        <v>24</v>
      </c>
      <c r="C319">
        <v>33</v>
      </c>
      <c r="D319" t="s">
        <v>18</v>
      </c>
      <c r="E319" t="s">
        <v>13</v>
      </c>
      <c r="F319" t="s">
        <v>33</v>
      </c>
      <c r="G319">
        <v>56</v>
      </c>
      <c r="H319" s="1">
        <v>43585</v>
      </c>
      <c r="I319" t="s">
        <v>49</v>
      </c>
      <c r="J319" t="s">
        <v>16</v>
      </c>
    </row>
    <row r="320" spans="1:10" x14ac:dyDescent="0.3">
      <c r="A320" t="s">
        <v>364</v>
      </c>
      <c r="B320" t="s">
        <v>31</v>
      </c>
      <c r="C320">
        <v>33</v>
      </c>
      <c r="D320" t="s">
        <v>18</v>
      </c>
      <c r="E320" t="s">
        <v>19</v>
      </c>
      <c r="F320" t="s">
        <v>20</v>
      </c>
      <c r="G320">
        <v>8</v>
      </c>
      <c r="H320" s="1">
        <v>45043</v>
      </c>
      <c r="I320" t="s">
        <v>26</v>
      </c>
      <c r="J320" t="s">
        <v>16</v>
      </c>
    </row>
    <row r="321" spans="1:10" x14ac:dyDescent="0.3">
      <c r="A321" t="s">
        <v>365</v>
      </c>
      <c r="B321" t="s">
        <v>31</v>
      </c>
      <c r="C321">
        <v>30</v>
      </c>
      <c r="D321" t="s">
        <v>18</v>
      </c>
      <c r="E321" t="s">
        <v>19</v>
      </c>
      <c r="F321" t="s">
        <v>20</v>
      </c>
      <c r="G321">
        <v>45</v>
      </c>
      <c r="H321" s="1">
        <v>43920</v>
      </c>
      <c r="I321" t="s">
        <v>26</v>
      </c>
      <c r="J321" t="s">
        <v>65</v>
      </c>
    </row>
    <row r="322" spans="1:10" x14ac:dyDescent="0.3">
      <c r="A322" t="s">
        <v>366</v>
      </c>
      <c r="B322" t="s">
        <v>24</v>
      </c>
      <c r="C322">
        <v>30</v>
      </c>
      <c r="D322" t="s">
        <v>18</v>
      </c>
      <c r="E322" t="s">
        <v>19</v>
      </c>
      <c r="F322" t="s">
        <v>14</v>
      </c>
      <c r="G322">
        <v>6</v>
      </c>
      <c r="H322" s="1">
        <v>45103</v>
      </c>
      <c r="I322" t="s">
        <v>15</v>
      </c>
      <c r="J322" t="s">
        <v>65</v>
      </c>
    </row>
    <row r="323" spans="1:10" x14ac:dyDescent="0.3">
      <c r="A323" t="s">
        <v>367</v>
      </c>
      <c r="B323" t="s">
        <v>11</v>
      </c>
      <c r="C323">
        <v>43</v>
      </c>
      <c r="D323" t="s">
        <v>12</v>
      </c>
      <c r="E323" t="s">
        <v>19</v>
      </c>
      <c r="F323" t="s">
        <v>88</v>
      </c>
      <c r="G323">
        <v>25</v>
      </c>
      <c r="H323" s="1">
        <v>44529</v>
      </c>
      <c r="I323" t="s">
        <v>26</v>
      </c>
      <c r="J323" t="s">
        <v>22</v>
      </c>
    </row>
    <row r="324" spans="1:10" x14ac:dyDescent="0.3">
      <c r="A324" t="s">
        <v>368</v>
      </c>
      <c r="B324" t="s">
        <v>61</v>
      </c>
      <c r="C324">
        <v>33</v>
      </c>
      <c r="D324" t="s">
        <v>18</v>
      </c>
      <c r="E324" t="s">
        <v>19</v>
      </c>
      <c r="F324" t="s">
        <v>56</v>
      </c>
      <c r="G324">
        <v>58</v>
      </c>
      <c r="H324" s="1">
        <v>43532</v>
      </c>
      <c r="I324" t="s">
        <v>34</v>
      </c>
      <c r="J324" t="s">
        <v>27</v>
      </c>
    </row>
    <row r="325" spans="1:10" x14ac:dyDescent="0.3">
      <c r="A325" t="s">
        <v>369</v>
      </c>
      <c r="B325" t="s">
        <v>61</v>
      </c>
      <c r="C325">
        <v>47</v>
      </c>
      <c r="D325" t="s">
        <v>46</v>
      </c>
      <c r="E325" t="s">
        <v>13</v>
      </c>
      <c r="F325" t="s">
        <v>64</v>
      </c>
      <c r="G325">
        <v>1</v>
      </c>
      <c r="H325" s="1">
        <v>45262</v>
      </c>
      <c r="I325" t="s">
        <v>47</v>
      </c>
      <c r="J325" t="s">
        <v>65</v>
      </c>
    </row>
    <row r="326" spans="1:10" x14ac:dyDescent="0.3">
      <c r="A326" t="s">
        <v>370</v>
      </c>
      <c r="B326" t="s">
        <v>61</v>
      </c>
      <c r="C326">
        <v>45</v>
      </c>
      <c r="D326" t="s">
        <v>46</v>
      </c>
      <c r="E326" t="s">
        <v>19</v>
      </c>
      <c r="F326" t="s">
        <v>33</v>
      </c>
      <c r="G326">
        <v>35</v>
      </c>
      <c r="H326" s="1">
        <v>44215</v>
      </c>
      <c r="I326" t="s">
        <v>62</v>
      </c>
      <c r="J326" t="s">
        <v>27</v>
      </c>
    </row>
    <row r="327" spans="1:10" x14ac:dyDescent="0.3">
      <c r="A327" t="s">
        <v>371</v>
      </c>
      <c r="B327" t="s">
        <v>11</v>
      </c>
      <c r="C327">
        <v>38</v>
      </c>
      <c r="D327" t="s">
        <v>12</v>
      </c>
      <c r="E327" t="s">
        <v>19</v>
      </c>
      <c r="F327" t="s">
        <v>20</v>
      </c>
      <c r="G327">
        <v>51</v>
      </c>
      <c r="H327" s="1">
        <v>43759</v>
      </c>
      <c r="I327" t="s">
        <v>29</v>
      </c>
      <c r="J327" t="s">
        <v>22</v>
      </c>
    </row>
    <row r="328" spans="1:10" x14ac:dyDescent="0.3">
      <c r="A328" t="s">
        <v>372</v>
      </c>
      <c r="B328" t="s">
        <v>11</v>
      </c>
      <c r="C328">
        <v>20</v>
      </c>
      <c r="D328" t="s">
        <v>32</v>
      </c>
      <c r="E328" t="s">
        <v>13</v>
      </c>
      <c r="F328" t="s">
        <v>25</v>
      </c>
      <c r="G328">
        <v>53</v>
      </c>
      <c r="H328" s="1">
        <v>43684</v>
      </c>
      <c r="I328" t="s">
        <v>34</v>
      </c>
      <c r="J328" t="s">
        <v>27</v>
      </c>
    </row>
    <row r="329" spans="1:10" x14ac:dyDescent="0.3">
      <c r="A329" t="s">
        <v>373</v>
      </c>
      <c r="B329" t="s">
        <v>31</v>
      </c>
      <c r="C329">
        <v>30</v>
      </c>
      <c r="D329" t="s">
        <v>18</v>
      </c>
      <c r="E329" t="s">
        <v>19</v>
      </c>
      <c r="F329" t="s">
        <v>56</v>
      </c>
      <c r="G329">
        <v>37</v>
      </c>
      <c r="H329" s="1">
        <v>44157</v>
      </c>
      <c r="I329" t="s">
        <v>39</v>
      </c>
      <c r="J329" t="s">
        <v>27</v>
      </c>
    </row>
    <row r="330" spans="1:10" x14ac:dyDescent="0.3">
      <c r="A330" t="s">
        <v>374</v>
      </c>
      <c r="B330" t="s">
        <v>42</v>
      </c>
      <c r="C330">
        <v>18</v>
      </c>
      <c r="D330" t="s">
        <v>32</v>
      </c>
      <c r="E330" t="s">
        <v>13</v>
      </c>
      <c r="F330" t="s">
        <v>56</v>
      </c>
      <c r="G330">
        <v>6</v>
      </c>
      <c r="H330" s="1">
        <v>45093</v>
      </c>
      <c r="I330" t="s">
        <v>26</v>
      </c>
      <c r="J330" t="s">
        <v>27</v>
      </c>
    </row>
    <row r="331" spans="1:10" x14ac:dyDescent="0.3">
      <c r="A331" t="s">
        <v>375</v>
      </c>
      <c r="B331" t="s">
        <v>24</v>
      </c>
      <c r="C331">
        <v>38</v>
      </c>
      <c r="D331" t="s">
        <v>12</v>
      </c>
      <c r="E331" t="s">
        <v>19</v>
      </c>
      <c r="F331" t="s">
        <v>33</v>
      </c>
      <c r="G331">
        <v>43</v>
      </c>
      <c r="H331" s="1">
        <v>44001</v>
      </c>
      <c r="I331" t="s">
        <v>62</v>
      </c>
      <c r="J331" t="s">
        <v>16</v>
      </c>
    </row>
    <row r="332" spans="1:10" x14ac:dyDescent="0.3">
      <c r="A332" t="s">
        <v>376</v>
      </c>
      <c r="B332" t="s">
        <v>11</v>
      </c>
      <c r="C332">
        <v>45</v>
      </c>
      <c r="D332" t="s">
        <v>46</v>
      </c>
      <c r="E332" t="s">
        <v>13</v>
      </c>
      <c r="F332" t="s">
        <v>14</v>
      </c>
      <c r="G332">
        <v>12</v>
      </c>
      <c r="H332" s="1">
        <v>44916</v>
      </c>
      <c r="I332" t="s">
        <v>34</v>
      </c>
      <c r="J332" t="s">
        <v>27</v>
      </c>
    </row>
    <row r="333" spans="1:10" x14ac:dyDescent="0.3">
      <c r="A333" t="s">
        <v>377</v>
      </c>
      <c r="B333" t="s">
        <v>31</v>
      </c>
      <c r="C333">
        <v>20</v>
      </c>
      <c r="D333" t="s">
        <v>32</v>
      </c>
      <c r="E333" t="s">
        <v>19</v>
      </c>
      <c r="F333" t="s">
        <v>20</v>
      </c>
      <c r="G333">
        <v>43</v>
      </c>
      <c r="H333" s="1">
        <v>43991</v>
      </c>
      <c r="I333" t="s">
        <v>39</v>
      </c>
      <c r="J333" t="s">
        <v>22</v>
      </c>
    </row>
    <row r="334" spans="1:10" x14ac:dyDescent="0.3">
      <c r="A334" t="s">
        <v>378</v>
      </c>
      <c r="B334" t="s">
        <v>42</v>
      </c>
      <c r="C334">
        <v>36</v>
      </c>
      <c r="D334" t="s">
        <v>12</v>
      </c>
      <c r="E334" t="s">
        <v>19</v>
      </c>
      <c r="F334" t="s">
        <v>88</v>
      </c>
      <c r="G334">
        <v>50</v>
      </c>
      <c r="H334" s="1">
        <v>43768</v>
      </c>
      <c r="I334" t="s">
        <v>39</v>
      </c>
      <c r="J334" t="s">
        <v>22</v>
      </c>
    </row>
    <row r="335" spans="1:10" x14ac:dyDescent="0.3">
      <c r="A335" t="s">
        <v>379</v>
      </c>
      <c r="B335" t="s">
        <v>31</v>
      </c>
      <c r="C335">
        <v>27</v>
      </c>
      <c r="D335" t="s">
        <v>18</v>
      </c>
      <c r="E335" t="s">
        <v>19</v>
      </c>
      <c r="F335" t="s">
        <v>25</v>
      </c>
      <c r="G335">
        <v>5</v>
      </c>
      <c r="H335" s="1">
        <v>45126</v>
      </c>
      <c r="I335" t="s">
        <v>49</v>
      </c>
      <c r="J335" t="s">
        <v>22</v>
      </c>
    </row>
    <row r="336" spans="1:10" x14ac:dyDescent="0.3">
      <c r="A336" t="s">
        <v>380</v>
      </c>
      <c r="B336" t="s">
        <v>31</v>
      </c>
      <c r="C336">
        <v>28</v>
      </c>
      <c r="D336" t="s">
        <v>18</v>
      </c>
      <c r="E336" t="s">
        <v>13</v>
      </c>
      <c r="F336" t="s">
        <v>88</v>
      </c>
      <c r="G336">
        <v>37</v>
      </c>
      <c r="H336" s="1">
        <v>44174</v>
      </c>
      <c r="I336" t="s">
        <v>29</v>
      </c>
      <c r="J336" t="s">
        <v>16</v>
      </c>
    </row>
    <row r="337" spans="1:10" x14ac:dyDescent="0.3">
      <c r="A337" t="s">
        <v>381</v>
      </c>
      <c r="B337" t="s">
        <v>31</v>
      </c>
      <c r="C337">
        <v>35</v>
      </c>
      <c r="D337" t="s">
        <v>12</v>
      </c>
      <c r="E337" t="s">
        <v>19</v>
      </c>
      <c r="F337" t="s">
        <v>56</v>
      </c>
      <c r="G337">
        <v>43</v>
      </c>
      <c r="H337" s="1">
        <v>43982</v>
      </c>
      <c r="I337" t="s">
        <v>21</v>
      </c>
      <c r="J337" t="s">
        <v>16</v>
      </c>
    </row>
    <row r="338" spans="1:10" x14ac:dyDescent="0.3">
      <c r="A338" t="s">
        <v>382</v>
      </c>
      <c r="B338" t="s">
        <v>24</v>
      </c>
      <c r="C338">
        <v>29</v>
      </c>
      <c r="D338" t="s">
        <v>18</v>
      </c>
      <c r="E338" t="s">
        <v>13</v>
      </c>
      <c r="F338" t="s">
        <v>64</v>
      </c>
      <c r="G338">
        <v>36</v>
      </c>
      <c r="H338" s="1">
        <v>44196</v>
      </c>
      <c r="I338" t="s">
        <v>15</v>
      </c>
      <c r="J338" t="s">
        <v>27</v>
      </c>
    </row>
    <row r="339" spans="1:10" x14ac:dyDescent="0.3">
      <c r="A339" t="s">
        <v>383</v>
      </c>
      <c r="B339" t="s">
        <v>42</v>
      </c>
      <c r="C339">
        <v>32</v>
      </c>
      <c r="D339" t="s">
        <v>18</v>
      </c>
      <c r="E339" t="s">
        <v>19</v>
      </c>
      <c r="F339" t="s">
        <v>14</v>
      </c>
      <c r="G339">
        <v>48</v>
      </c>
      <c r="H339" s="1">
        <v>43852</v>
      </c>
      <c r="I339" t="s">
        <v>62</v>
      </c>
      <c r="J339" t="s">
        <v>65</v>
      </c>
    </row>
    <row r="340" spans="1:10" x14ac:dyDescent="0.3">
      <c r="A340" t="s">
        <v>384</v>
      </c>
      <c r="B340" t="s">
        <v>31</v>
      </c>
      <c r="C340">
        <v>31</v>
      </c>
      <c r="D340" t="s">
        <v>18</v>
      </c>
      <c r="E340" t="s">
        <v>13</v>
      </c>
      <c r="F340" t="s">
        <v>54</v>
      </c>
      <c r="G340">
        <v>50</v>
      </c>
      <c r="H340" s="1">
        <v>43773</v>
      </c>
      <c r="I340" t="s">
        <v>47</v>
      </c>
      <c r="J340" t="s">
        <v>22</v>
      </c>
    </row>
    <row r="341" spans="1:10" x14ac:dyDescent="0.3">
      <c r="A341" t="s">
        <v>385</v>
      </c>
      <c r="B341" t="s">
        <v>31</v>
      </c>
      <c r="C341">
        <v>33</v>
      </c>
      <c r="D341" t="s">
        <v>18</v>
      </c>
      <c r="E341" t="s">
        <v>105</v>
      </c>
      <c r="F341" t="s">
        <v>88</v>
      </c>
      <c r="G341">
        <v>19</v>
      </c>
      <c r="H341" s="1">
        <v>44716</v>
      </c>
      <c r="I341" t="s">
        <v>15</v>
      </c>
      <c r="J341" t="s">
        <v>27</v>
      </c>
    </row>
    <row r="342" spans="1:10" x14ac:dyDescent="0.3">
      <c r="A342" t="s">
        <v>386</v>
      </c>
      <c r="B342" t="s">
        <v>24</v>
      </c>
      <c r="C342">
        <v>37</v>
      </c>
      <c r="D342" t="s">
        <v>12</v>
      </c>
      <c r="E342" t="s">
        <v>13</v>
      </c>
      <c r="F342" t="s">
        <v>54</v>
      </c>
      <c r="G342">
        <v>14</v>
      </c>
      <c r="H342" s="1">
        <v>44867</v>
      </c>
      <c r="I342" t="s">
        <v>15</v>
      </c>
      <c r="J342" t="s">
        <v>16</v>
      </c>
    </row>
    <row r="343" spans="1:10" x14ac:dyDescent="0.3">
      <c r="A343" t="s">
        <v>387</v>
      </c>
      <c r="B343" t="s">
        <v>61</v>
      </c>
      <c r="C343">
        <v>30</v>
      </c>
      <c r="D343" t="s">
        <v>18</v>
      </c>
      <c r="E343" t="s">
        <v>19</v>
      </c>
      <c r="F343" t="s">
        <v>36</v>
      </c>
      <c r="G343">
        <v>47</v>
      </c>
      <c r="H343" s="1">
        <v>43854</v>
      </c>
      <c r="I343" t="s">
        <v>34</v>
      </c>
      <c r="J343" t="s">
        <v>22</v>
      </c>
    </row>
    <row r="344" spans="1:10" x14ac:dyDescent="0.3">
      <c r="A344" t="s">
        <v>388</v>
      </c>
      <c r="B344" t="s">
        <v>11</v>
      </c>
      <c r="C344">
        <v>21</v>
      </c>
      <c r="D344" t="s">
        <v>32</v>
      </c>
      <c r="E344" t="s">
        <v>19</v>
      </c>
      <c r="F344" t="s">
        <v>25</v>
      </c>
      <c r="G344">
        <v>36</v>
      </c>
      <c r="H344" s="1">
        <v>44196</v>
      </c>
      <c r="I344" t="s">
        <v>29</v>
      </c>
      <c r="J344" t="s">
        <v>27</v>
      </c>
    </row>
    <row r="345" spans="1:10" x14ac:dyDescent="0.3">
      <c r="A345" t="s">
        <v>389</v>
      </c>
      <c r="B345" t="s">
        <v>31</v>
      </c>
      <c r="C345">
        <v>37</v>
      </c>
      <c r="D345" t="s">
        <v>12</v>
      </c>
      <c r="E345" t="s">
        <v>13</v>
      </c>
      <c r="F345" t="s">
        <v>64</v>
      </c>
      <c r="G345">
        <v>21</v>
      </c>
      <c r="H345" s="1">
        <v>44639</v>
      </c>
      <c r="I345" t="s">
        <v>21</v>
      </c>
      <c r="J345" t="s">
        <v>27</v>
      </c>
    </row>
    <row r="346" spans="1:10" x14ac:dyDescent="0.3">
      <c r="A346" t="s">
        <v>390</v>
      </c>
      <c r="B346" t="s">
        <v>61</v>
      </c>
      <c r="C346">
        <v>35</v>
      </c>
      <c r="D346" t="s">
        <v>12</v>
      </c>
      <c r="E346" t="s">
        <v>19</v>
      </c>
      <c r="F346" t="s">
        <v>64</v>
      </c>
      <c r="G346">
        <v>29</v>
      </c>
      <c r="H346" s="1">
        <v>44416</v>
      </c>
      <c r="I346" t="s">
        <v>34</v>
      </c>
      <c r="J346" t="s">
        <v>27</v>
      </c>
    </row>
    <row r="347" spans="1:10" x14ac:dyDescent="0.3">
      <c r="A347" t="s">
        <v>391</v>
      </c>
      <c r="B347" t="s">
        <v>31</v>
      </c>
      <c r="C347">
        <v>18</v>
      </c>
      <c r="D347" t="s">
        <v>32</v>
      </c>
      <c r="E347" t="s">
        <v>19</v>
      </c>
      <c r="F347" t="s">
        <v>38</v>
      </c>
      <c r="G347">
        <v>8</v>
      </c>
      <c r="H347" s="1">
        <v>45029</v>
      </c>
      <c r="I347" t="s">
        <v>26</v>
      </c>
      <c r="J347" t="s">
        <v>27</v>
      </c>
    </row>
    <row r="348" spans="1:10" x14ac:dyDescent="0.3">
      <c r="A348" t="s">
        <v>392</v>
      </c>
      <c r="B348" t="s">
        <v>61</v>
      </c>
      <c r="C348">
        <v>36</v>
      </c>
      <c r="D348" t="s">
        <v>12</v>
      </c>
      <c r="E348" t="s">
        <v>19</v>
      </c>
      <c r="F348" t="s">
        <v>54</v>
      </c>
      <c r="G348">
        <v>12</v>
      </c>
      <c r="H348" s="1">
        <v>44930</v>
      </c>
      <c r="I348" t="s">
        <v>39</v>
      </c>
      <c r="J348" t="s">
        <v>16</v>
      </c>
    </row>
    <row r="349" spans="1:10" x14ac:dyDescent="0.3">
      <c r="A349" t="s">
        <v>393</v>
      </c>
      <c r="B349" t="s">
        <v>11</v>
      </c>
      <c r="C349">
        <v>34</v>
      </c>
      <c r="D349" t="s">
        <v>18</v>
      </c>
      <c r="E349" t="s">
        <v>13</v>
      </c>
      <c r="F349" t="s">
        <v>36</v>
      </c>
      <c r="G349">
        <v>34</v>
      </c>
      <c r="H349" s="1">
        <v>44243</v>
      </c>
      <c r="I349" t="s">
        <v>26</v>
      </c>
      <c r="J349" t="s">
        <v>27</v>
      </c>
    </row>
    <row r="350" spans="1:10" x14ac:dyDescent="0.3">
      <c r="A350" t="s">
        <v>394</v>
      </c>
      <c r="B350" t="s">
        <v>31</v>
      </c>
      <c r="C350">
        <v>36</v>
      </c>
      <c r="D350" t="s">
        <v>12</v>
      </c>
      <c r="E350" t="s">
        <v>19</v>
      </c>
      <c r="F350" t="s">
        <v>20</v>
      </c>
      <c r="G350">
        <v>4</v>
      </c>
      <c r="H350" s="1">
        <v>45162</v>
      </c>
      <c r="I350" t="s">
        <v>39</v>
      </c>
      <c r="J350" t="s">
        <v>16</v>
      </c>
    </row>
    <row r="351" spans="1:10" x14ac:dyDescent="0.3">
      <c r="A351" t="s">
        <v>395</v>
      </c>
      <c r="B351" t="s">
        <v>61</v>
      </c>
      <c r="C351">
        <v>34</v>
      </c>
      <c r="D351" t="s">
        <v>18</v>
      </c>
      <c r="E351" t="s">
        <v>13</v>
      </c>
      <c r="F351" t="s">
        <v>14</v>
      </c>
      <c r="G351">
        <v>42</v>
      </c>
      <c r="H351" s="1">
        <v>44011</v>
      </c>
      <c r="I351" t="s">
        <v>62</v>
      </c>
      <c r="J351" t="s">
        <v>16</v>
      </c>
    </row>
    <row r="352" spans="1:10" x14ac:dyDescent="0.3">
      <c r="A352" t="s">
        <v>396</v>
      </c>
      <c r="B352" t="s">
        <v>42</v>
      </c>
      <c r="C352">
        <v>18</v>
      </c>
      <c r="D352" t="s">
        <v>32</v>
      </c>
      <c r="E352" t="s">
        <v>13</v>
      </c>
      <c r="F352" t="s">
        <v>36</v>
      </c>
      <c r="G352">
        <v>10</v>
      </c>
      <c r="H352" s="1">
        <v>44987</v>
      </c>
      <c r="I352" t="s">
        <v>29</v>
      </c>
      <c r="J352" t="s">
        <v>22</v>
      </c>
    </row>
    <row r="353" spans="1:10" x14ac:dyDescent="0.3">
      <c r="A353" t="s">
        <v>397</v>
      </c>
      <c r="B353" t="s">
        <v>31</v>
      </c>
      <c r="C353">
        <v>38</v>
      </c>
      <c r="D353" t="s">
        <v>12</v>
      </c>
      <c r="E353" t="s">
        <v>19</v>
      </c>
      <c r="F353" t="s">
        <v>88</v>
      </c>
      <c r="G353">
        <v>54</v>
      </c>
      <c r="H353" s="1">
        <v>43648</v>
      </c>
      <c r="I353" t="s">
        <v>21</v>
      </c>
      <c r="J353" t="s">
        <v>27</v>
      </c>
    </row>
    <row r="354" spans="1:10" x14ac:dyDescent="0.3">
      <c r="A354" t="s">
        <v>398</v>
      </c>
      <c r="B354" t="s">
        <v>24</v>
      </c>
      <c r="C354">
        <v>33</v>
      </c>
      <c r="D354" t="s">
        <v>18</v>
      </c>
      <c r="E354" t="s">
        <v>13</v>
      </c>
      <c r="F354" t="s">
        <v>88</v>
      </c>
      <c r="G354">
        <v>16</v>
      </c>
      <c r="H354" s="1">
        <v>44786</v>
      </c>
      <c r="I354" t="s">
        <v>21</v>
      </c>
      <c r="J354" t="s">
        <v>65</v>
      </c>
    </row>
    <row r="355" spans="1:10" x14ac:dyDescent="0.3">
      <c r="A355" t="s">
        <v>399</v>
      </c>
      <c r="B355" t="s">
        <v>11</v>
      </c>
      <c r="C355">
        <v>37</v>
      </c>
      <c r="D355" t="s">
        <v>12</v>
      </c>
      <c r="E355" t="s">
        <v>19</v>
      </c>
      <c r="F355" t="s">
        <v>25</v>
      </c>
      <c r="G355">
        <v>44</v>
      </c>
      <c r="H355" s="1">
        <v>43951</v>
      </c>
      <c r="I355" t="s">
        <v>15</v>
      </c>
      <c r="J355" t="s">
        <v>22</v>
      </c>
    </row>
    <row r="356" spans="1:10" x14ac:dyDescent="0.3">
      <c r="A356" t="s">
        <v>400</v>
      </c>
      <c r="B356" t="s">
        <v>11</v>
      </c>
      <c r="C356">
        <v>31</v>
      </c>
      <c r="D356" t="s">
        <v>18</v>
      </c>
      <c r="E356" t="s">
        <v>13</v>
      </c>
      <c r="F356" t="s">
        <v>54</v>
      </c>
      <c r="G356">
        <v>14</v>
      </c>
      <c r="H356" s="1">
        <v>44865</v>
      </c>
      <c r="I356" t="s">
        <v>34</v>
      </c>
      <c r="J356" t="s">
        <v>22</v>
      </c>
    </row>
    <row r="357" spans="1:10" x14ac:dyDescent="0.3">
      <c r="A357" t="s">
        <v>401</v>
      </c>
      <c r="B357" t="s">
        <v>24</v>
      </c>
      <c r="C357">
        <v>24</v>
      </c>
      <c r="D357" t="s">
        <v>32</v>
      </c>
      <c r="E357" t="s">
        <v>19</v>
      </c>
      <c r="F357" t="s">
        <v>64</v>
      </c>
      <c r="G357">
        <v>51</v>
      </c>
      <c r="H357" s="1">
        <v>43742</v>
      </c>
      <c r="I357" t="s">
        <v>47</v>
      </c>
      <c r="J357" t="s">
        <v>22</v>
      </c>
    </row>
    <row r="358" spans="1:10" x14ac:dyDescent="0.3">
      <c r="A358" t="s">
        <v>402</v>
      </c>
      <c r="B358" t="s">
        <v>61</v>
      </c>
      <c r="C358">
        <v>25</v>
      </c>
      <c r="D358" t="s">
        <v>18</v>
      </c>
      <c r="E358" t="s">
        <v>13</v>
      </c>
      <c r="F358" t="s">
        <v>25</v>
      </c>
      <c r="G358">
        <v>24</v>
      </c>
      <c r="H358" s="1">
        <v>44568</v>
      </c>
      <c r="I358" t="s">
        <v>49</v>
      </c>
      <c r="J358" t="s">
        <v>27</v>
      </c>
    </row>
    <row r="359" spans="1:10" x14ac:dyDescent="0.3">
      <c r="A359" t="s">
        <v>403</v>
      </c>
      <c r="B359" t="s">
        <v>24</v>
      </c>
      <c r="C359">
        <v>36</v>
      </c>
      <c r="D359" t="s">
        <v>12</v>
      </c>
      <c r="E359" t="s">
        <v>13</v>
      </c>
      <c r="F359" t="s">
        <v>36</v>
      </c>
      <c r="G359">
        <v>57</v>
      </c>
      <c r="H359" s="1">
        <v>43564</v>
      </c>
      <c r="I359" t="s">
        <v>21</v>
      </c>
      <c r="J359" t="s">
        <v>16</v>
      </c>
    </row>
    <row r="360" spans="1:10" x14ac:dyDescent="0.3">
      <c r="A360" t="s">
        <v>404</v>
      </c>
      <c r="B360" t="s">
        <v>31</v>
      </c>
      <c r="C360">
        <v>22</v>
      </c>
      <c r="D360" t="s">
        <v>32</v>
      </c>
      <c r="E360" t="s">
        <v>13</v>
      </c>
      <c r="F360" t="s">
        <v>36</v>
      </c>
      <c r="G360">
        <v>51</v>
      </c>
      <c r="H360" s="1">
        <v>43762</v>
      </c>
      <c r="I360" t="s">
        <v>62</v>
      </c>
      <c r="J360" t="s">
        <v>27</v>
      </c>
    </row>
    <row r="361" spans="1:10" x14ac:dyDescent="0.3">
      <c r="A361" t="s">
        <v>405</v>
      </c>
      <c r="B361" t="s">
        <v>42</v>
      </c>
      <c r="C361">
        <v>23</v>
      </c>
      <c r="D361" t="s">
        <v>32</v>
      </c>
      <c r="E361" t="s">
        <v>13</v>
      </c>
      <c r="F361" t="s">
        <v>14</v>
      </c>
      <c r="G361">
        <v>4</v>
      </c>
      <c r="H361" s="1">
        <v>45172</v>
      </c>
      <c r="I361" t="s">
        <v>29</v>
      </c>
      <c r="J361" t="s">
        <v>27</v>
      </c>
    </row>
    <row r="362" spans="1:10" x14ac:dyDescent="0.3">
      <c r="A362" t="s">
        <v>406</v>
      </c>
      <c r="B362" t="s">
        <v>24</v>
      </c>
      <c r="C362">
        <v>28</v>
      </c>
      <c r="D362" t="s">
        <v>18</v>
      </c>
      <c r="E362" t="s">
        <v>19</v>
      </c>
      <c r="F362" t="s">
        <v>36</v>
      </c>
      <c r="G362">
        <v>46</v>
      </c>
      <c r="H362" s="1">
        <v>43888</v>
      </c>
      <c r="I362" t="s">
        <v>29</v>
      </c>
      <c r="J362" t="s">
        <v>16</v>
      </c>
    </row>
    <row r="363" spans="1:10" x14ac:dyDescent="0.3">
      <c r="A363" t="s">
        <v>407</v>
      </c>
      <c r="B363" t="s">
        <v>11</v>
      </c>
      <c r="C363">
        <v>34</v>
      </c>
      <c r="D363" t="s">
        <v>18</v>
      </c>
      <c r="E363" t="s">
        <v>13</v>
      </c>
      <c r="F363" t="s">
        <v>20</v>
      </c>
      <c r="G363">
        <v>12</v>
      </c>
      <c r="H363" s="1">
        <v>44912</v>
      </c>
      <c r="I363" t="s">
        <v>29</v>
      </c>
      <c r="J363" t="s">
        <v>27</v>
      </c>
    </row>
    <row r="364" spans="1:10" x14ac:dyDescent="0.3">
      <c r="A364" t="s">
        <v>408</v>
      </c>
      <c r="B364" t="s">
        <v>31</v>
      </c>
      <c r="C364">
        <v>38</v>
      </c>
      <c r="D364" t="s">
        <v>12</v>
      </c>
      <c r="E364" t="s">
        <v>19</v>
      </c>
      <c r="F364" t="s">
        <v>88</v>
      </c>
      <c r="G364">
        <v>43</v>
      </c>
      <c r="H364" s="1">
        <v>43973</v>
      </c>
      <c r="I364" t="s">
        <v>26</v>
      </c>
      <c r="J364" t="s">
        <v>27</v>
      </c>
    </row>
    <row r="365" spans="1:10" x14ac:dyDescent="0.3">
      <c r="A365" t="s">
        <v>409</v>
      </c>
      <c r="B365" t="s">
        <v>11</v>
      </c>
      <c r="C365">
        <v>25</v>
      </c>
      <c r="D365" t="s">
        <v>18</v>
      </c>
      <c r="E365" t="s">
        <v>13</v>
      </c>
      <c r="F365" t="s">
        <v>14</v>
      </c>
      <c r="G365">
        <v>47</v>
      </c>
      <c r="H365" s="1">
        <v>43861</v>
      </c>
      <c r="I365" t="s">
        <v>26</v>
      </c>
      <c r="J365" t="s">
        <v>27</v>
      </c>
    </row>
    <row r="366" spans="1:10" x14ac:dyDescent="0.3">
      <c r="A366" t="s">
        <v>410</v>
      </c>
      <c r="B366" t="s">
        <v>61</v>
      </c>
      <c r="C366">
        <v>39</v>
      </c>
      <c r="D366" t="s">
        <v>12</v>
      </c>
      <c r="E366" t="s">
        <v>13</v>
      </c>
      <c r="F366" t="s">
        <v>25</v>
      </c>
      <c r="G366">
        <v>5</v>
      </c>
      <c r="H366" s="1">
        <v>45129</v>
      </c>
      <c r="I366" t="s">
        <v>26</v>
      </c>
      <c r="J366" t="s">
        <v>16</v>
      </c>
    </row>
    <row r="367" spans="1:10" x14ac:dyDescent="0.3">
      <c r="A367" t="s">
        <v>411</v>
      </c>
      <c r="B367" t="s">
        <v>24</v>
      </c>
      <c r="C367">
        <v>33</v>
      </c>
      <c r="D367" t="s">
        <v>18</v>
      </c>
      <c r="E367" t="s">
        <v>19</v>
      </c>
      <c r="F367" t="s">
        <v>14</v>
      </c>
      <c r="G367">
        <v>37</v>
      </c>
      <c r="H367" s="1">
        <v>44171</v>
      </c>
      <c r="I367" t="s">
        <v>26</v>
      </c>
      <c r="J367" t="s">
        <v>27</v>
      </c>
    </row>
    <row r="368" spans="1:10" x14ac:dyDescent="0.3">
      <c r="A368" t="s">
        <v>412</v>
      </c>
      <c r="B368" t="s">
        <v>61</v>
      </c>
      <c r="C368">
        <v>18</v>
      </c>
      <c r="D368" t="s">
        <v>32</v>
      </c>
      <c r="E368" t="s">
        <v>19</v>
      </c>
      <c r="F368" t="s">
        <v>56</v>
      </c>
      <c r="G368">
        <v>38</v>
      </c>
      <c r="H368" s="1">
        <v>44147</v>
      </c>
      <c r="I368" t="s">
        <v>15</v>
      </c>
      <c r="J368" t="s">
        <v>16</v>
      </c>
    </row>
    <row r="369" spans="1:10" x14ac:dyDescent="0.3">
      <c r="A369" t="s">
        <v>413</v>
      </c>
      <c r="B369" t="s">
        <v>31</v>
      </c>
      <c r="C369">
        <v>34</v>
      </c>
      <c r="D369" t="s">
        <v>18</v>
      </c>
      <c r="E369" t="s">
        <v>19</v>
      </c>
      <c r="F369" t="s">
        <v>38</v>
      </c>
      <c r="G369">
        <v>41</v>
      </c>
      <c r="H369" s="1">
        <v>44037</v>
      </c>
      <c r="I369" t="s">
        <v>29</v>
      </c>
      <c r="J369" t="s">
        <v>22</v>
      </c>
    </row>
    <row r="370" spans="1:10" x14ac:dyDescent="0.3">
      <c r="A370" t="s">
        <v>414</v>
      </c>
      <c r="B370" t="s">
        <v>11</v>
      </c>
      <c r="C370">
        <v>37</v>
      </c>
      <c r="D370" t="s">
        <v>12</v>
      </c>
      <c r="E370" t="s">
        <v>13</v>
      </c>
      <c r="F370" t="s">
        <v>54</v>
      </c>
      <c r="G370">
        <v>46</v>
      </c>
      <c r="H370" s="1">
        <v>43909</v>
      </c>
      <c r="I370" t="s">
        <v>39</v>
      </c>
      <c r="J370" t="s">
        <v>27</v>
      </c>
    </row>
    <row r="371" spans="1:10" x14ac:dyDescent="0.3">
      <c r="A371" t="s">
        <v>415</v>
      </c>
      <c r="B371" t="s">
        <v>61</v>
      </c>
      <c r="C371">
        <v>28</v>
      </c>
      <c r="D371" t="s">
        <v>18</v>
      </c>
      <c r="E371" t="s">
        <v>13</v>
      </c>
      <c r="F371" t="s">
        <v>56</v>
      </c>
      <c r="G371">
        <v>7</v>
      </c>
      <c r="H371" s="1">
        <v>45080</v>
      </c>
      <c r="I371" t="s">
        <v>47</v>
      </c>
      <c r="J371" t="s">
        <v>27</v>
      </c>
    </row>
    <row r="372" spans="1:10" x14ac:dyDescent="0.3">
      <c r="A372" t="s">
        <v>416</v>
      </c>
      <c r="B372" t="s">
        <v>31</v>
      </c>
      <c r="C372">
        <v>22</v>
      </c>
      <c r="D372" t="s">
        <v>32</v>
      </c>
      <c r="E372" t="s">
        <v>13</v>
      </c>
      <c r="F372" t="s">
        <v>25</v>
      </c>
      <c r="G372">
        <v>17</v>
      </c>
      <c r="H372" s="1">
        <v>44781</v>
      </c>
      <c r="I372" t="s">
        <v>49</v>
      </c>
      <c r="J372" t="s">
        <v>22</v>
      </c>
    </row>
    <row r="373" spans="1:10" x14ac:dyDescent="0.3">
      <c r="A373" t="s">
        <v>417</v>
      </c>
      <c r="B373" t="s">
        <v>61</v>
      </c>
      <c r="C373">
        <v>45</v>
      </c>
      <c r="D373" t="s">
        <v>46</v>
      </c>
      <c r="E373" t="s">
        <v>19</v>
      </c>
      <c r="F373" t="s">
        <v>54</v>
      </c>
      <c r="G373">
        <v>20</v>
      </c>
      <c r="H373" s="1">
        <v>44672</v>
      </c>
      <c r="I373" t="s">
        <v>39</v>
      </c>
      <c r="J373" t="s">
        <v>16</v>
      </c>
    </row>
    <row r="374" spans="1:10" x14ac:dyDescent="0.3">
      <c r="A374" t="s">
        <v>418</v>
      </c>
      <c r="B374" t="s">
        <v>24</v>
      </c>
      <c r="C374">
        <v>35</v>
      </c>
      <c r="D374" t="s">
        <v>12</v>
      </c>
      <c r="E374" t="s">
        <v>19</v>
      </c>
      <c r="F374" t="s">
        <v>88</v>
      </c>
      <c r="G374">
        <v>30</v>
      </c>
      <c r="H374" s="1">
        <v>44391</v>
      </c>
      <c r="I374" t="s">
        <v>39</v>
      </c>
      <c r="J374" t="s">
        <v>27</v>
      </c>
    </row>
    <row r="375" spans="1:10" x14ac:dyDescent="0.3">
      <c r="A375" t="s">
        <v>419</v>
      </c>
      <c r="B375" t="s">
        <v>24</v>
      </c>
      <c r="C375">
        <v>36</v>
      </c>
      <c r="D375" t="s">
        <v>12</v>
      </c>
      <c r="E375" t="s">
        <v>19</v>
      </c>
      <c r="F375" t="s">
        <v>56</v>
      </c>
      <c r="G375">
        <v>3</v>
      </c>
      <c r="H375" s="1">
        <v>45194</v>
      </c>
      <c r="I375" t="s">
        <v>47</v>
      </c>
      <c r="J375" t="s">
        <v>27</v>
      </c>
    </row>
    <row r="376" spans="1:10" x14ac:dyDescent="0.3">
      <c r="A376" t="s">
        <v>420</v>
      </c>
      <c r="B376" t="s">
        <v>24</v>
      </c>
      <c r="C376">
        <v>39</v>
      </c>
      <c r="D376" t="s">
        <v>12</v>
      </c>
      <c r="E376" t="s">
        <v>13</v>
      </c>
      <c r="F376" t="s">
        <v>88</v>
      </c>
      <c r="G376">
        <v>7</v>
      </c>
      <c r="H376" s="1">
        <v>45081</v>
      </c>
      <c r="I376" t="s">
        <v>15</v>
      </c>
      <c r="J376" t="s">
        <v>27</v>
      </c>
    </row>
    <row r="377" spans="1:10" x14ac:dyDescent="0.3">
      <c r="A377" t="s">
        <v>421</v>
      </c>
      <c r="B377" t="s">
        <v>31</v>
      </c>
      <c r="C377">
        <v>18</v>
      </c>
      <c r="D377" t="s">
        <v>32</v>
      </c>
      <c r="E377" t="s">
        <v>13</v>
      </c>
      <c r="F377" t="s">
        <v>36</v>
      </c>
      <c r="G377">
        <v>40</v>
      </c>
      <c r="H377" s="1">
        <v>44087</v>
      </c>
      <c r="I377" t="s">
        <v>34</v>
      </c>
      <c r="J377" t="s">
        <v>27</v>
      </c>
    </row>
    <row r="378" spans="1:10" x14ac:dyDescent="0.3">
      <c r="A378" t="s">
        <v>422</v>
      </c>
      <c r="B378" t="s">
        <v>24</v>
      </c>
      <c r="C378">
        <v>37</v>
      </c>
      <c r="D378" t="s">
        <v>12</v>
      </c>
      <c r="E378" t="s">
        <v>13</v>
      </c>
      <c r="F378" t="s">
        <v>25</v>
      </c>
      <c r="G378">
        <v>45</v>
      </c>
      <c r="H378" s="1">
        <v>43918</v>
      </c>
      <c r="I378" t="s">
        <v>21</v>
      </c>
      <c r="J378" t="s">
        <v>22</v>
      </c>
    </row>
    <row r="379" spans="1:10" x14ac:dyDescent="0.3">
      <c r="A379" t="s">
        <v>423</v>
      </c>
      <c r="B379" t="s">
        <v>31</v>
      </c>
      <c r="C379">
        <v>34</v>
      </c>
      <c r="D379" t="s">
        <v>18</v>
      </c>
      <c r="E379" t="s">
        <v>19</v>
      </c>
      <c r="F379" t="s">
        <v>88</v>
      </c>
      <c r="G379">
        <v>12</v>
      </c>
      <c r="H379" s="1">
        <v>44905</v>
      </c>
      <c r="I379" t="s">
        <v>39</v>
      </c>
      <c r="J379" t="s">
        <v>22</v>
      </c>
    </row>
    <row r="380" spans="1:10" x14ac:dyDescent="0.3">
      <c r="A380" t="s">
        <v>424</v>
      </c>
      <c r="B380" t="s">
        <v>31</v>
      </c>
      <c r="C380">
        <v>33</v>
      </c>
      <c r="D380" t="s">
        <v>18</v>
      </c>
      <c r="E380" t="s">
        <v>19</v>
      </c>
      <c r="F380" t="s">
        <v>54</v>
      </c>
      <c r="G380">
        <v>58</v>
      </c>
      <c r="H380" s="1">
        <v>43547</v>
      </c>
      <c r="I380" t="s">
        <v>26</v>
      </c>
      <c r="J380" t="s">
        <v>22</v>
      </c>
    </row>
    <row r="381" spans="1:10" x14ac:dyDescent="0.3">
      <c r="A381" t="s">
        <v>425</v>
      </c>
      <c r="B381" t="s">
        <v>42</v>
      </c>
      <c r="C381">
        <v>44</v>
      </c>
      <c r="D381" t="s">
        <v>12</v>
      </c>
      <c r="E381" t="s">
        <v>13</v>
      </c>
      <c r="F381" t="s">
        <v>54</v>
      </c>
      <c r="G381">
        <v>32</v>
      </c>
      <c r="H381" s="1">
        <v>44312</v>
      </c>
      <c r="I381" t="s">
        <v>49</v>
      </c>
      <c r="J381" t="s">
        <v>27</v>
      </c>
    </row>
    <row r="382" spans="1:10" x14ac:dyDescent="0.3">
      <c r="A382" t="s">
        <v>426</v>
      </c>
      <c r="B382" t="s">
        <v>31</v>
      </c>
      <c r="C382">
        <v>36</v>
      </c>
      <c r="D382" t="s">
        <v>12</v>
      </c>
      <c r="E382" t="s">
        <v>19</v>
      </c>
      <c r="F382" t="s">
        <v>36</v>
      </c>
      <c r="G382">
        <v>27</v>
      </c>
      <c r="H382" s="1">
        <v>44480</v>
      </c>
      <c r="I382" t="s">
        <v>34</v>
      </c>
      <c r="J382" t="s">
        <v>65</v>
      </c>
    </row>
    <row r="383" spans="1:10" x14ac:dyDescent="0.3">
      <c r="A383" t="s">
        <v>427</v>
      </c>
      <c r="B383" t="s">
        <v>31</v>
      </c>
      <c r="C383">
        <v>37</v>
      </c>
      <c r="D383" t="s">
        <v>12</v>
      </c>
      <c r="E383" t="s">
        <v>19</v>
      </c>
      <c r="F383" t="s">
        <v>14</v>
      </c>
      <c r="G383">
        <v>45</v>
      </c>
      <c r="H383" s="1">
        <v>43922</v>
      </c>
      <c r="I383" t="s">
        <v>49</v>
      </c>
      <c r="J383" t="s">
        <v>27</v>
      </c>
    </row>
    <row r="384" spans="1:10" x14ac:dyDescent="0.3">
      <c r="A384" t="s">
        <v>428</v>
      </c>
      <c r="B384" t="s">
        <v>31</v>
      </c>
      <c r="C384">
        <v>47</v>
      </c>
      <c r="D384" t="s">
        <v>46</v>
      </c>
      <c r="E384" t="s">
        <v>13</v>
      </c>
      <c r="F384" t="s">
        <v>33</v>
      </c>
      <c r="G384">
        <v>8</v>
      </c>
      <c r="H384" s="1">
        <v>45050</v>
      </c>
      <c r="I384" t="s">
        <v>26</v>
      </c>
      <c r="J384" t="s">
        <v>27</v>
      </c>
    </row>
    <row r="385" spans="1:10" x14ac:dyDescent="0.3">
      <c r="A385" t="s">
        <v>429</v>
      </c>
      <c r="B385" t="s">
        <v>11</v>
      </c>
      <c r="C385">
        <v>29</v>
      </c>
      <c r="D385" t="s">
        <v>18</v>
      </c>
      <c r="E385" t="s">
        <v>19</v>
      </c>
      <c r="F385" t="s">
        <v>38</v>
      </c>
      <c r="G385">
        <v>6</v>
      </c>
      <c r="H385" s="1">
        <v>45086</v>
      </c>
      <c r="I385" t="s">
        <v>39</v>
      </c>
      <c r="J385" t="s">
        <v>27</v>
      </c>
    </row>
    <row r="386" spans="1:10" x14ac:dyDescent="0.3">
      <c r="A386" t="s">
        <v>430</v>
      </c>
      <c r="B386" t="s">
        <v>11</v>
      </c>
      <c r="C386">
        <v>18</v>
      </c>
      <c r="D386" t="s">
        <v>32</v>
      </c>
      <c r="E386" t="s">
        <v>19</v>
      </c>
      <c r="F386" t="s">
        <v>14</v>
      </c>
      <c r="G386">
        <v>53</v>
      </c>
      <c r="H386" s="1">
        <v>43687</v>
      </c>
      <c r="I386" t="s">
        <v>49</v>
      </c>
      <c r="J386" t="s">
        <v>22</v>
      </c>
    </row>
    <row r="387" spans="1:10" x14ac:dyDescent="0.3">
      <c r="A387" t="s">
        <v>431</v>
      </c>
      <c r="B387" t="s">
        <v>31</v>
      </c>
      <c r="C387">
        <v>26</v>
      </c>
      <c r="D387" t="s">
        <v>18</v>
      </c>
      <c r="E387" t="s">
        <v>13</v>
      </c>
      <c r="F387" t="s">
        <v>36</v>
      </c>
      <c r="G387">
        <v>14</v>
      </c>
      <c r="H387" s="1">
        <v>44852</v>
      </c>
      <c r="I387" t="s">
        <v>49</v>
      </c>
      <c r="J387" t="s">
        <v>16</v>
      </c>
    </row>
    <row r="388" spans="1:10" x14ac:dyDescent="0.3">
      <c r="A388" t="s">
        <v>432</v>
      </c>
      <c r="B388" t="s">
        <v>11</v>
      </c>
      <c r="C388">
        <v>24</v>
      </c>
      <c r="D388" t="s">
        <v>32</v>
      </c>
      <c r="E388" t="s">
        <v>13</v>
      </c>
      <c r="F388" t="s">
        <v>36</v>
      </c>
      <c r="G388">
        <v>2</v>
      </c>
      <c r="H388" s="1">
        <v>45224</v>
      </c>
      <c r="I388" t="s">
        <v>26</v>
      </c>
      <c r="J388" t="s">
        <v>16</v>
      </c>
    </row>
    <row r="389" spans="1:10" x14ac:dyDescent="0.3">
      <c r="A389" t="s">
        <v>433</v>
      </c>
      <c r="B389" t="s">
        <v>24</v>
      </c>
      <c r="C389">
        <v>20</v>
      </c>
      <c r="D389" t="s">
        <v>32</v>
      </c>
      <c r="E389" t="s">
        <v>13</v>
      </c>
      <c r="F389" t="s">
        <v>38</v>
      </c>
      <c r="G389">
        <v>37</v>
      </c>
      <c r="H389" s="1">
        <v>44156</v>
      </c>
      <c r="I389" t="s">
        <v>15</v>
      </c>
      <c r="J389" t="s">
        <v>16</v>
      </c>
    </row>
    <row r="390" spans="1:10" x14ac:dyDescent="0.3">
      <c r="A390" t="s">
        <v>434</v>
      </c>
      <c r="B390" t="s">
        <v>11</v>
      </c>
      <c r="C390">
        <v>20</v>
      </c>
      <c r="D390" t="s">
        <v>32</v>
      </c>
      <c r="E390" t="s">
        <v>13</v>
      </c>
      <c r="F390" t="s">
        <v>56</v>
      </c>
      <c r="G390">
        <v>6</v>
      </c>
      <c r="H390" s="1">
        <v>45098</v>
      </c>
      <c r="I390" t="s">
        <v>26</v>
      </c>
      <c r="J390" t="s">
        <v>22</v>
      </c>
    </row>
    <row r="391" spans="1:10" x14ac:dyDescent="0.3">
      <c r="A391" t="s">
        <v>435</v>
      </c>
      <c r="B391" t="s">
        <v>24</v>
      </c>
      <c r="C391">
        <v>36</v>
      </c>
      <c r="D391" t="s">
        <v>12</v>
      </c>
      <c r="E391" t="s">
        <v>13</v>
      </c>
      <c r="F391" t="s">
        <v>36</v>
      </c>
      <c r="G391">
        <v>51</v>
      </c>
      <c r="H391" s="1">
        <v>43757</v>
      </c>
      <c r="I391" t="s">
        <v>15</v>
      </c>
      <c r="J391" t="s">
        <v>16</v>
      </c>
    </row>
    <row r="392" spans="1:10" x14ac:dyDescent="0.3">
      <c r="A392" t="s">
        <v>436</v>
      </c>
      <c r="B392" t="s">
        <v>42</v>
      </c>
      <c r="C392">
        <v>38</v>
      </c>
      <c r="D392" t="s">
        <v>12</v>
      </c>
      <c r="E392" t="s">
        <v>19</v>
      </c>
      <c r="F392" t="s">
        <v>25</v>
      </c>
      <c r="G392">
        <v>3</v>
      </c>
      <c r="H392" s="1">
        <v>45187</v>
      </c>
      <c r="I392" t="s">
        <v>34</v>
      </c>
      <c r="J392" t="s">
        <v>16</v>
      </c>
    </row>
    <row r="393" spans="1:10" x14ac:dyDescent="0.3">
      <c r="A393" t="s">
        <v>437</v>
      </c>
      <c r="B393" t="s">
        <v>11</v>
      </c>
      <c r="C393">
        <v>33</v>
      </c>
      <c r="D393" t="s">
        <v>18</v>
      </c>
      <c r="E393" t="s">
        <v>13</v>
      </c>
      <c r="F393" t="s">
        <v>38</v>
      </c>
      <c r="G393">
        <v>3</v>
      </c>
      <c r="H393" s="1">
        <v>45187</v>
      </c>
      <c r="I393" t="s">
        <v>39</v>
      </c>
      <c r="J393" t="s">
        <v>27</v>
      </c>
    </row>
    <row r="394" spans="1:10" x14ac:dyDescent="0.3">
      <c r="A394" t="s">
        <v>438</v>
      </c>
      <c r="B394" t="s">
        <v>42</v>
      </c>
      <c r="C394">
        <v>33</v>
      </c>
      <c r="D394" t="s">
        <v>18</v>
      </c>
      <c r="E394" t="s">
        <v>13</v>
      </c>
      <c r="F394" t="s">
        <v>54</v>
      </c>
      <c r="G394">
        <v>58</v>
      </c>
      <c r="H394" s="1">
        <v>43552</v>
      </c>
      <c r="I394" t="s">
        <v>29</v>
      </c>
      <c r="J394" t="s">
        <v>22</v>
      </c>
    </row>
    <row r="395" spans="1:10" x14ac:dyDescent="0.3">
      <c r="A395" t="s">
        <v>439</v>
      </c>
      <c r="B395" t="s">
        <v>24</v>
      </c>
      <c r="C395">
        <v>34</v>
      </c>
      <c r="D395" t="s">
        <v>18</v>
      </c>
      <c r="E395" t="s">
        <v>13</v>
      </c>
      <c r="F395" t="s">
        <v>88</v>
      </c>
      <c r="G395">
        <v>38</v>
      </c>
      <c r="H395" s="1">
        <v>44145</v>
      </c>
      <c r="I395" t="s">
        <v>39</v>
      </c>
      <c r="J395" t="s">
        <v>27</v>
      </c>
    </row>
    <row r="396" spans="1:10" x14ac:dyDescent="0.3">
      <c r="A396" t="s">
        <v>440</v>
      </c>
      <c r="B396" t="s">
        <v>11</v>
      </c>
      <c r="C396">
        <v>18</v>
      </c>
      <c r="D396" t="s">
        <v>32</v>
      </c>
      <c r="E396" t="s">
        <v>13</v>
      </c>
      <c r="F396" t="s">
        <v>88</v>
      </c>
      <c r="G396">
        <v>3</v>
      </c>
      <c r="H396" s="1">
        <v>45179</v>
      </c>
      <c r="I396" t="s">
        <v>39</v>
      </c>
      <c r="J396" t="s">
        <v>16</v>
      </c>
    </row>
    <row r="397" spans="1:10" x14ac:dyDescent="0.3">
      <c r="A397" t="s">
        <v>441</v>
      </c>
      <c r="B397" t="s">
        <v>11</v>
      </c>
      <c r="C397">
        <v>49</v>
      </c>
      <c r="D397" t="s">
        <v>46</v>
      </c>
      <c r="E397" t="s">
        <v>13</v>
      </c>
      <c r="F397" t="s">
        <v>36</v>
      </c>
      <c r="G397">
        <v>48</v>
      </c>
      <c r="H397" s="1">
        <v>43845</v>
      </c>
      <c r="I397" t="s">
        <v>39</v>
      </c>
      <c r="J397" t="s">
        <v>16</v>
      </c>
    </row>
    <row r="398" spans="1:10" x14ac:dyDescent="0.3">
      <c r="A398" t="s">
        <v>442</v>
      </c>
      <c r="B398" t="s">
        <v>31</v>
      </c>
      <c r="C398">
        <v>18</v>
      </c>
      <c r="D398" t="s">
        <v>32</v>
      </c>
      <c r="E398" t="s">
        <v>19</v>
      </c>
      <c r="F398" t="s">
        <v>14</v>
      </c>
      <c r="G398">
        <v>24</v>
      </c>
      <c r="H398" s="1">
        <v>44550</v>
      </c>
      <c r="I398" t="s">
        <v>49</v>
      </c>
      <c r="J398" t="s">
        <v>16</v>
      </c>
    </row>
    <row r="399" spans="1:10" x14ac:dyDescent="0.3">
      <c r="A399" t="s">
        <v>443</v>
      </c>
      <c r="B399" t="s">
        <v>31</v>
      </c>
      <c r="C399">
        <v>21</v>
      </c>
      <c r="D399" t="s">
        <v>32</v>
      </c>
      <c r="E399" t="s">
        <v>13</v>
      </c>
      <c r="F399" t="s">
        <v>38</v>
      </c>
      <c r="G399">
        <v>55</v>
      </c>
      <c r="H399" s="1">
        <v>43631</v>
      </c>
      <c r="I399" t="s">
        <v>39</v>
      </c>
      <c r="J399" t="s">
        <v>22</v>
      </c>
    </row>
    <row r="400" spans="1:10" x14ac:dyDescent="0.3">
      <c r="A400" t="s">
        <v>444</v>
      </c>
      <c r="B400" t="s">
        <v>42</v>
      </c>
      <c r="C400">
        <v>45</v>
      </c>
      <c r="D400" t="s">
        <v>46</v>
      </c>
      <c r="E400" t="s">
        <v>19</v>
      </c>
      <c r="F400" t="s">
        <v>25</v>
      </c>
      <c r="G400">
        <v>8</v>
      </c>
      <c r="H400" s="1">
        <v>45049</v>
      </c>
      <c r="I400" t="s">
        <v>47</v>
      </c>
      <c r="J400" t="s">
        <v>65</v>
      </c>
    </row>
    <row r="401" spans="1:10" x14ac:dyDescent="0.3">
      <c r="A401" t="s">
        <v>445</v>
      </c>
      <c r="B401" t="s">
        <v>24</v>
      </c>
      <c r="C401">
        <v>40</v>
      </c>
      <c r="D401" t="s">
        <v>12</v>
      </c>
      <c r="E401" t="s">
        <v>19</v>
      </c>
      <c r="F401" t="s">
        <v>56</v>
      </c>
      <c r="G401">
        <v>16</v>
      </c>
      <c r="H401" s="1">
        <v>44796</v>
      </c>
      <c r="I401" t="s">
        <v>29</v>
      </c>
      <c r="J401" t="s">
        <v>16</v>
      </c>
    </row>
    <row r="402" spans="1:10" x14ac:dyDescent="0.3">
      <c r="A402" t="s">
        <v>446</v>
      </c>
      <c r="B402" t="s">
        <v>24</v>
      </c>
      <c r="C402">
        <v>40</v>
      </c>
      <c r="D402" t="s">
        <v>12</v>
      </c>
      <c r="E402" t="s">
        <v>13</v>
      </c>
      <c r="F402" t="s">
        <v>54</v>
      </c>
      <c r="G402">
        <v>32</v>
      </c>
      <c r="H402" s="1">
        <v>44325</v>
      </c>
      <c r="I402" t="s">
        <v>15</v>
      </c>
      <c r="J402" t="s">
        <v>27</v>
      </c>
    </row>
    <row r="403" spans="1:10" x14ac:dyDescent="0.3">
      <c r="A403" t="s">
        <v>447</v>
      </c>
      <c r="B403" t="s">
        <v>42</v>
      </c>
      <c r="C403">
        <v>47</v>
      </c>
      <c r="D403" t="s">
        <v>46</v>
      </c>
      <c r="E403" t="s">
        <v>13</v>
      </c>
      <c r="F403" t="s">
        <v>14</v>
      </c>
      <c r="G403">
        <v>42</v>
      </c>
      <c r="H403" s="1">
        <v>44026</v>
      </c>
      <c r="I403" t="s">
        <v>39</v>
      </c>
      <c r="J403" t="s">
        <v>22</v>
      </c>
    </row>
    <row r="404" spans="1:10" x14ac:dyDescent="0.3">
      <c r="A404" t="s">
        <v>448</v>
      </c>
      <c r="B404" t="s">
        <v>31</v>
      </c>
      <c r="C404">
        <v>47</v>
      </c>
      <c r="D404" t="s">
        <v>46</v>
      </c>
      <c r="E404" t="s">
        <v>13</v>
      </c>
      <c r="F404" t="s">
        <v>36</v>
      </c>
      <c r="G404">
        <v>20</v>
      </c>
      <c r="H404" s="1">
        <v>44691</v>
      </c>
      <c r="I404" t="s">
        <v>47</v>
      </c>
      <c r="J404" t="s">
        <v>22</v>
      </c>
    </row>
    <row r="405" spans="1:10" x14ac:dyDescent="0.3">
      <c r="A405" t="s">
        <v>449</v>
      </c>
      <c r="B405" t="s">
        <v>24</v>
      </c>
      <c r="C405">
        <v>43</v>
      </c>
      <c r="D405" t="s">
        <v>12</v>
      </c>
      <c r="E405" t="s">
        <v>13</v>
      </c>
      <c r="F405" t="s">
        <v>36</v>
      </c>
      <c r="G405">
        <v>51</v>
      </c>
      <c r="H405" s="1">
        <v>43760</v>
      </c>
      <c r="I405" t="s">
        <v>62</v>
      </c>
      <c r="J405" t="s">
        <v>16</v>
      </c>
    </row>
    <row r="406" spans="1:10" x14ac:dyDescent="0.3">
      <c r="A406" t="s">
        <v>450</v>
      </c>
      <c r="B406" t="s">
        <v>24</v>
      </c>
      <c r="C406">
        <v>25</v>
      </c>
      <c r="D406" t="s">
        <v>18</v>
      </c>
      <c r="E406" t="s">
        <v>13</v>
      </c>
      <c r="F406" t="s">
        <v>56</v>
      </c>
      <c r="G406">
        <v>21</v>
      </c>
      <c r="H406" s="1">
        <v>44657</v>
      </c>
      <c r="I406" t="s">
        <v>15</v>
      </c>
      <c r="J406" t="s">
        <v>27</v>
      </c>
    </row>
    <row r="407" spans="1:10" x14ac:dyDescent="0.3">
      <c r="A407" t="s">
        <v>451</v>
      </c>
      <c r="B407" t="s">
        <v>42</v>
      </c>
      <c r="C407">
        <v>26</v>
      </c>
      <c r="D407" t="s">
        <v>18</v>
      </c>
      <c r="E407" t="s">
        <v>13</v>
      </c>
      <c r="F407" t="s">
        <v>56</v>
      </c>
      <c r="G407">
        <v>43</v>
      </c>
      <c r="H407" s="1">
        <v>43979</v>
      </c>
      <c r="I407" t="s">
        <v>26</v>
      </c>
      <c r="J407" t="s">
        <v>22</v>
      </c>
    </row>
    <row r="408" spans="1:10" x14ac:dyDescent="0.3">
      <c r="A408" t="s">
        <v>452</v>
      </c>
      <c r="B408" t="s">
        <v>11</v>
      </c>
      <c r="C408">
        <v>33</v>
      </c>
      <c r="D408" t="s">
        <v>18</v>
      </c>
      <c r="E408" t="s">
        <v>19</v>
      </c>
      <c r="F408" t="s">
        <v>38</v>
      </c>
      <c r="G408">
        <v>43</v>
      </c>
      <c r="H408" s="1">
        <v>43992</v>
      </c>
      <c r="I408" t="s">
        <v>34</v>
      </c>
      <c r="J408" t="s">
        <v>22</v>
      </c>
    </row>
    <row r="409" spans="1:10" x14ac:dyDescent="0.3">
      <c r="A409" t="s">
        <v>453</v>
      </c>
      <c r="B409" t="s">
        <v>11</v>
      </c>
      <c r="C409">
        <v>19</v>
      </c>
      <c r="D409" t="s">
        <v>32</v>
      </c>
      <c r="E409" t="s">
        <v>19</v>
      </c>
      <c r="F409" t="s">
        <v>33</v>
      </c>
      <c r="G409">
        <v>49</v>
      </c>
      <c r="H409" s="1">
        <v>43810</v>
      </c>
      <c r="I409" t="s">
        <v>15</v>
      </c>
      <c r="J409" t="s">
        <v>16</v>
      </c>
    </row>
    <row r="410" spans="1:10" x14ac:dyDescent="0.3">
      <c r="A410" t="s">
        <v>454</v>
      </c>
      <c r="B410" t="s">
        <v>61</v>
      </c>
      <c r="C410">
        <v>22</v>
      </c>
      <c r="D410" t="s">
        <v>32</v>
      </c>
      <c r="E410" t="s">
        <v>19</v>
      </c>
      <c r="F410" t="s">
        <v>64</v>
      </c>
      <c r="G410">
        <v>19</v>
      </c>
      <c r="H410" s="1">
        <v>44695</v>
      </c>
      <c r="I410" t="s">
        <v>47</v>
      </c>
      <c r="J410" t="s">
        <v>16</v>
      </c>
    </row>
    <row r="411" spans="1:10" x14ac:dyDescent="0.3">
      <c r="A411" t="s">
        <v>455</v>
      </c>
      <c r="B411" t="s">
        <v>11</v>
      </c>
      <c r="C411">
        <v>28</v>
      </c>
      <c r="D411" t="s">
        <v>18</v>
      </c>
      <c r="E411" t="s">
        <v>19</v>
      </c>
      <c r="F411" t="s">
        <v>38</v>
      </c>
      <c r="G411">
        <v>13</v>
      </c>
      <c r="H411" s="1">
        <v>44877</v>
      </c>
      <c r="I411" t="s">
        <v>26</v>
      </c>
      <c r="J411" t="s">
        <v>16</v>
      </c>
    </row>
    <row r="412" spans="1:10" x14ac:dyDescent="0.3">
      <c r="A412" t="s">
        <v>456</v>
      </c>
      <c r="B412" t="s">
        <v>24</v>
      </c>
      <c r="C412">
        <v>44</v>
      </c>
      <c r="D412" t="s">
        <v>12</v>
      </c>
      <c r="E412" t="s">
        <v>19</v>
      </c>
      <c r="F412" t="s">
        <v>14</v>
      </c>
      <c r="G412">
        <v>29</v>
      </c>
      <c r="H412" s="1">
        <v>44409</v>
      </c>
      <c r="I412" t="s">
        <v>62</v>
      </c>
      <c r="J412" t="s">
        <v>65</v>
      </c>
    </row>
    <row r="413" spans="1:10" x14ac:dyDescent="0.3">
      <c r="A413" t="s">
        <v>457</v>
      </c>
      <c r="B413" t="s">
        <v>11</v>
      </c>
      <c r="C413">
        <v>30</v>
      </c>
      <c r="D413" t="s">
        <v>18</v>
      </c>
      <c r="E413" t="s">
        <v>13</v>
      </c>
      <c r="F413" t="s">
        <v>56</v>
      </c>
      <c r="G413">
        <v>45</v>
      </c>
      <c r="H413" s="1">
        <v>43920</v>
      </c>
      <c r="I413" t="s">
        <v>34</v>
      </c>
      <c r="J413" t="s">
        <v>27</v>
      </c>
    </row>
    <row r="414" spans="1:10" x14ac:dyDescent="0.3">
      <c r="A414" t="s">
        <v>458</v>
      </c>
      <c r="B414" t="s">
        <v>61</v>
      </c>
      <c r="C414">
        <v>30</v>
      </c>
      <c r="D414" t="s">
        <v>18</v>
      </c>
      <c r="E414" t="s">
        <v>19</v>
      </c>
      <c r="F414" t="s">
        <v>25</v>
      </c>
      <c r="G414">
        <v>11</v>
      </c>
      <c r="H414" s="1">
        <v>44959</v>
      </c>
      <c r="I414" t="s">
        <v>34</v>
      </c>
      <c r="J414" t="s">
        <v>16</v>
      </c>
    </row>
    <row r="415" spans="1:10" x14ac:dyDescent="0.3">
      <c r="A415" t="s">
        <v>459</v>
      </c>
      <c r="B415" t="s">
        <v>31</v>
      </c>
      <c r="C415">
        <v>23</v>
      </c>
      <c r="D415" t="s">
        <v>32</v>
      </c>
      <c r="E415" t="s">
        <v>13</v>
      </c>
      <c r="F415" t="s">
        <v>25</v>
      </c>
      <c r="G415">
        <v>22</v>
      </c>
      <c r="H415" s="1">
        <v>44614</v>
      </c>
      <c r="I415" t="s">
        <v>39</v>
      </c>
      <c r="J415" t="s">
        <v>27</v>
      </c>
    </row>
    <row r="416" spans="1:10" x14ac:dyDescent="0.3">
      <c r="A416" t="s">
        <v>460</v>
      </c>
      <c r="B416" t="s">
        <v>61</v>
      </c>
      <c r="C416">
        <v>27</v>
      </c>
      <c r="D416" t="s">
        <v>18</v>
      </c>
      <c r="E416" t="s">
        <v>13</v>
      </c>
      <c r="F416" t="s">
        <v>36</v>
      </c>
      <c r="G416">
        <v>53</v>
      </c>
      <c r="H416" s="1">
        <v>43689</v>
      </c>
      <c r="I416" t="s">
        <v>39</v>
      </c>
      <c r="J416" t="s">
        <v>65</v>
      </c>
    </row>
    <row r="417" spans="1:10" x14ac:dyDescent="0.3">
      <c r="A417" t="s">
        <v>461</v>
      </c>
      <c r="B417" t="s">
        <v>61</v>
      </c>
      <c r="C417">
        <v>27</v>
      </c>
      <c r="D417" t="s">
        <v>18</v>
      </c>
      <c r="E417" t="s">
        <v>19</v>
      </c>
      <c r="F417" t="s">
        <v>54</v>
      </c>
      <c r="G417">
        <v>55</v>
      </c>
      <c r="H417" s="1">
        <v>43625</v>
      </c>
      <c r="I417" t="s">
        <v>26</v>
      </c>
      <c r="J417" t="s">
        <v>27</v>
      </c>
    </row>
    <row r="418" spans="1:10" x14ac:dyDescent="0.3">
      <c r="A418" t="s">
        <v>462</v>
      </c>
      <c r="B418" t="s">
        <v>31</v>
      </c>
      <c r="C418">
        <v>51</v>
      </c>
      <c r="D418" t="s">
        <v>46</v>
      </c>
      <c r="E418" t="s">
        <v>13</v>
      </c>
      <c r="F418" t="s">
        <v>20</v>
      </c>
      <c r="G418">
        <v>40</v>
      </c>
      <c r="H418" s="1">
        <v>44068</v>
      </c>
      <c r="I418" t="s">
        <v>62</v>
      </c>
      <c r="J418" t="s">
        <v>16</v>
      </c>
    </row>
    <row r="419" spans="1:10" x14ac:dyDescent="0.3">
      <c r="A419" t="s">
        <v>463</v>
      </c>
      <c r="B419" t="s">
        <v>11</v>
      </c>
      <c r="C419">
        <v>42</v>
      </c>
      <c r="D419" t="s">
        <v>12</v>
      </c>
      <c r="E419" t="s">
        <v>19</v>
      </c>
      <c r="F419" t="s">
        <v>25</v>
      </c>
      <c r="G419">
        <v>46</v>
      </c>
      <c r="H419" s="1">
        <v>43897</v>
      </c>
      <c r="I419" t="s">
        <v>34</v>
      </c>
      <c r="J419" t="s">
        <v>27</v>
      </c>
    </row>
    <row r="420" spans="1:10" x14ac:dyDescent="0.3">
      <c r="A420" t="s">
        <v>464</v>
      </c>
      <c r="B420" t="s">
        <v>24</v>
      </c>
      <c r="C420">
        <v>35</v>
      </c>
      <c r="D420" t="s">
        <v>12</v>
      </c>
      <c r="E420" t="s">
        <v>105</v>
      </c>
      <c r="F420" t="s">
        <v>36</v>
      </c>
      <c r="G420">
        <v>20</v>
      </c>
      <c r="H420" s="1">
        <v>44671</v>
      </c>
      <c r="I420" t="s">
        <v>39</v>
      </c>
      <c r="J420" t="s">
        <v>22</v>
      </c>
    </row>
    <row r="421" spans="1:10" x14ac:dyDescent="0.3">
      <c r="A421" t="s">
        <v>465</v>
      </c>
      <c r="B421" t="s">
        <v>24</v>
      </c>
      <c r="C421">
        <v>43</v>
      </c>
      <c r="D421" t="s">
        <v>12</v>
      </c>
      <c r="E421" t="s">
        <v>13</v>
      </c>
      <c r="F421" t="s">
        <v>88</v>
      </c>
      <c r="G421">
        <v>52</v>
      </c>
      <c r="H421" s="1">
        <v>43714</v>
      </c>
      <c r="I421" t="s">
        <v>49</v>
      </c>
      <c r="J421" t="s">
        <v>16</v>
      </c>
    </row>
    <row r="422" spans="1:10" x14ac:dyDescent="0.3">
      <c r="A422" t="s">
        <v>466</v>
      </c>
      <c r="B422" t="s">
        <v>42</v>
      </c>
      <c r="C422">
        <v>33</v>
      </c>
      <c r="D422" t="s">
        <v>18</v>
      </c>
      <c r="E422" t="s">
        <v>13</v>
      </c>
      <c r="F422" t="s">
        <v>88</v>
      </c>
      <c r="G422">
        <v>21</v>
      </c>
      <c r="H422" s="1">
        <v>44640</v>
      </c>
      <c r="I422" t="s">
        <v>26</v>
      </c>
      <c r="J422" t="s">
        <v>27</v>
      </c>
    </row>
    <row r="423" spans="1:10" x14ac:dyDescent="0.3">
      <c r="A423" t="s">
        <v>467</v>
      </c>
      <c r="B423" t="s">
        <v>31</v>
      </c>
      <c r="C423">
        <v>49</v>
      </c>
      <c r="D423" t="s">
        <v>46</v>
      </c>
      <c r="E423" t="s">
        <v>19</v>
      </c>
      <c r="F423" t="s">
        <v>20</v>
      </c>
      <c r="G423">
        <v>2</v>
      </c>
      <c r="H423" s="1">
        <v>45204</v>
      </c>
      <c r="I423" t="s">
        <v>29</v>
      </c>
      <c r="J423" t="s">
        <v>22</v>
      </c>
    </row>
    <row r="424" spans="1:10" x14ac:dyDescent="0.3">
      <c r="A424" t="s">
        <v>468</v>
      </c>
      <c r="B424" t="s">
        <v>11</v>
      </c>
      <c r="C424">
        <v>36</v>
      </c>
      <c r="D424" t="s">
        <v>12</v>
      </c>
      <c r="E424" t="s">
        <v>13</v>
      </c>
      <c r="F424" t="s">
        <v>33</v>
      </c>
      <c r="G424">
        <v>51</v>
      </c>
      <c r="H424" s="1">
        <v>43761</v>
      </c>
      <c r="I424" t="s">
        <v>47</v>
      </c>
      <c r="J424" t="s">
        <v>22</v>
      </c>
    </row>
    <row r="425" spans="1:10" x14ac:dyDescent="0.3">
      <c r="A425" t="s">
        <v>469</v>
      </c>
      <c r="B425" t="s">
        <v>61</v>
      </c>
      <c r="C425">
        <v>22</v>
      </c>
      <c r="D425" t="s">
        <v>32</v>
      </c>
      <c r="E425" t="s">
        <v>13</v>
      </c>
      <c r="F425" t="s">
        <v>14</v>
      </c>
      <c r="G425">
        <v>37</v>
      </c>
      <c r="H425" s="1">
        <v>44178</v>
      </c>
      <c r="I425" t="s">
        <v>29</v>
      </c>
      <c r="J425" t="s">
        <v>27</v>
      </c>
    </row>
    <row r="426" spans="1:10" x14ac:dyDescent="0.3">
      <c r="A426" t="s">
        <v>470</v>
      </c>
      <c r="B426" t="s">
        <v>11</v>
      </c>
      <c r="C426">
        <v>39</v>
      </c>
      <c r="D426" t="s">
        <v>12</v>
      </c>
      <c r="E426" t="s">
        <v>19</v>
      </c>
      <c r="F426" t="s">
        <v>38</v>
      </c>
      <c r="G426">
        <v>37</v>
      </c>
      <c r="H426" s="1">
        <v>44168</v>
      </c>
      <c r="I426" t="s">
        <v>34</v>
      </c>
      <c r="J426" t="s">
        <v>22</v>
      </c>
    </row>
    <row r="427" spans="1:10" x14ac:dyDescent="0.3">
      <c r="A427" t="s">
        <v>471</v>
      </c>
      <c r="B427" t="s">
        <v>31</v>
      </c>
      <c r="C427">
        <v>18</v>
      </c>
      <c r="D427" t="s">
        <v>32</v>
      </c>
      <c r="E427" t="s">
        <v>19</v>
      </c>
      <c r="F427" t="s">
        <v>88</v>
      </c>
      <c r="G427">
        <v>48</v>
      </c>
      <c r="H427" s="1">
        <v>43850</v>
      </c>
      <c r="I427" t="s">
        <v>62</v>
      </c>
      <c r="J427" t="s">
        <v>22</v>
      </c>
    </row>
    <row r="428" spans="1:10" x14ac:dyDescent="0.3">
      <c r="A428" t="s">
        <v>472</v>
      </c>
      <c r="B428" t="s">
        <v>24</v>
      </c>
      <c r="C428">
        <v>29</v>
      </c>
      <c r="D428" t="s">
        <v>18</v>
      </c>
      <c r="E428" t="s">
        <v>13</v>
      </c>
      <c r="F428" t="s">
        <v>36</v>
      </c>
      <c r="G428">
        <v>41</v>
      </c>
      <c r="H428" s="1">
        <v>44039</v>
      </c>
      <c r="I428" t="s">
        <v>62</v>
      </c>
      <c r="J428" t="s">
        <v>22</v>
      </c>
    </row>
    <row r="429" spans="1:10" x14ac:dyDescent="0.3">
      <c r="A429" t="s">
        <v>473</v>
      </c>
      <c r="B429" t="s">
        <v>61</v>
      </c>
      <c r="C429">
        <v>36</v>
      </c>
      <c r="D429" t="s">
        <v>12</v>
      </c>
      <c r="E429" t="s">
        <v>13</v>
      </c>
      <c r="F429" t="s">
        <v>38</v>
      </c>
      <c r="G429">
        <v>6</v>
      </c>
      <c r="H429" s="1">
        <v>45103</v>
      </c>
      <c r="I429" t="s">
        <v>47</v>
      </c>
      <c r="J429" t="s">
        <v>22</v>
      </c>
    </row>
    <row r="430" spans="1:10" x14ac:dyDescent="0.3">
      <c r="A430" t="s">
        <v>474</v>
      </c>
      <c r="B430" t="s">
        <v>31</v>
      </c>
      <c r="C430">
        <v>25</v>
      </c>
      <c r="D430" t="s">
        <v>18</v>
      </c>
      <c r="E430" t="s">
        <v>13</v>
      </c>
      <c r="F430" t="s">
        <v>38</v>
      </c>
      <c r="G430">
        <v>42</v>
      </c>
      <c r="H430" s="1">
        <v>44030</v>
      </c>
      <c r="I430" t="s">
        <v>15</v>
      </c>
      <c r="J430" t="s">
        <v>27</v>
      </c>
    </row>
    <row r="431" spans="1:10" x14ac:dyDescent="0.3">
      <c r="A431" t="s">
        <v>475</v>
      </c>
      <c r="B431" t="s">
        <v>24</v>
      </c>
      <c r="C431">
        <v>53</v>
      </c>
      <c r="D431" t="s">
        <v>46</v>
      </c>
      <c r="E431" t="s">
        <v>19</v>
      </c>
      <c r="F431" t="s">
        <v>20</v>
      </c>
      <c r="G431">
        <v>35</v>
      </c>
      <c r="H431" s="1">
        <v>44228</v>
      </c>
      <c r="I431" t="s">
        <v>29</v>
      </c>
      <c r="J431" t="s">
        <v>16</v>
      </c>
    </row>
    <row r="432" spans="1:10" x14ac:dyDescent="0.3">
      <c r="A432" t="s">
        <v>476</v>
      </c>
      <c r="B432" t="s">
        <v>61</v>
      </c>
      <c r="C432">
        <v>59</v>
      </c>
      <c r="D432" t="s">
        <v>201</v>
      </c>
      <c r="E432" t="s">
        <v>19</v>
      </c>
      <c r="F432" t="s">
        <v>36</v>
      </c>
      <c r="G432">
        <v>26</v>
      </c>
      <c r="H432" s="1">
        <v>44512</v>
      </c>
      <c r="I432" t="s">
        <v>39</v>
      </c>
      <c r="J432" t="s">
        <v>27</v>
      </c>
    </row>
    <row r="433" spans="1:10" x14ac:dyDescent="0.3">
      <c r="A433" t="s">
        <v>477</v>
      </c>
      <c r="B433" t="s">
        <v>24</v>
      </c>
      <c r="C433">
        <v>31</v>
      </c>
      <c r="D433" t="s">
        <v>18</v>
      </c>
      <c r="E433" t="s">
        <v>19</v>
      </c>
      <c r="F433" t="s">
        <v>36</v>
      </c>
      <c r="G433">
        <v>53</v>
      </c>
      <c r="H433" s="1">
        <v>43701</v>
      </c>
      <c r="I433" t="s">
        <v>34</v>
      </c>
      <c r="J433" t="s">
        <v>22</v>
      </c>
    </row>
    <row r="434" spans="1:10" x14ac:dyDescent="0.3">
      <c r="A434" t="s">
        <v>478</v>
      </c>
      <c r="B434" t="s">
        <v>31</v>
      </c>
      <c r="C434">
        <v>28</v>
      </c>
      <c r="D434" t="s">
        <v>18</v>
      </c>
      <c r="E434" t="s">
        <v>13</v>
      </c>
      <c r="F434" t="s">
        <v>64</v>
      </c>
      <c r="G434">
        <v>13</v>
      </c>
      <c r="H434" s="1">
        <v>44876</v>
      </c>
      <c r="I434" t="s">
        <v>29</v>
      </c>
      <c r="J434" t="s">
        <v>22</v>
      </c>
    </row>
    <row r="435" spans="1:10" x14ac:dyDescent="0.3">
      <c r="A435" t="s">
        <v>479</v>
      </c>
      <c r="B435" t="s">
        <v>31</v>
      </c>
      <c r="C435">
        <v>38</v>
      </c>
      <c r="D435" t="s">
        <v>12</v>
      </c>
      <c r="E435" t="s">
        <v>13</v>
      </c>
      <c r="F435" t="s">
        <v>88</v>
      </c>
      <c r="G435">
        <v>7</v>
      </c>
      <c r="H435" s="1">
        <v>45054</v>
      </c>
      <c r="I435" t="s">
        <v>39</v>
      </c>
      <c r="J435" t="s">
        <v>16</v>
      </c>
    </row>
    <row r="436" spans="1:10" x14ac:dyDescent="0.3">
      <c r="A436" t="s">
        <v>480</v>
      </c>
      <c r="B436" t="s">
        <v>11</v>
      </c>
      <c r="C436">
        <v>26</v>
      </c>
      <c r="D436" t="s">
        <v>18</v>
      </c>
      <c r="E436" t="s">
        <v>13</v>
      </c>
      <c r="F436" t="s">
        <v>64</v>
      </c>
      <c r="G436">
        <v>25</v>
      </c>
      <c r="H436" s="1">
        <v>44533</v>
      </c>
      <c r="I436" t="s">
        <v>26</v>
      </c>
      <c r="J436" t="s">
        <v>22</v>
      </c>
    </row>
    <row r="437" spans="1:10" x14ac:dyDescent="0.3">
      <c r="A437" t="s">
        <v>481</v>
      </c>
      <c r="B437" t="s">
        <v>31</v>
      </c>
      <c r="C437">
        <v>37</v>
      </c>
      <c r="D437" t="s">
        <v>12</v>
      </c>
      <c r="E437" t="s">
        <v>13</v>
      </c>
      <c r="F437" t="s">
        <v>25</v>
      </c>
      <c r="G437">
        <v>57</v>
      </c>
      <c r="H437" s="1">
        <v>43562</v>
      </c>
      <c r="I437" t="s">
        <v>29</v>
      </c>
      <c r="J437" t="s">
        <v>27</v>
      </c>
    </row>
    <row r="438" spans="1:10" x14ac:dyDescent="0.3">
      <c r="A438" t="s">
        <v>482</v>
      </c>
      <c r="B438" t="s">
        <v>42</v>
      </c>
      <c r="C438">
        <v>29</v>
      </c>
      <c r="D438" t="s">
        <v>18</v>
      </c>
      <c r="E438" t="s">
        <v>19</v>
      </c>
      <c r="F438" t="s">
        <v>20</v>
      </c>
      <c r="G438">
        <v>21</v>
      </c>
      <c r="H438" s="1">
        <v>44661</v>
      </c>
      <c r="I438" t="s">
        <v>26</v>
      </c>
      <c r="J438" t="s">
        <v>27</v>
      </c>
    </row>
    <row r="439" spans="1:10" x14ac:dyDescent="0.3">
      <c r="A439" t="s">
        <v>483</v>
      </c>
      <c r="B439" t="s">
        <v>42</v>
      </c>
      <c r="C439">
        <v>31</v>
      </c>
      <c r="D439" t="s">
        <v>18</v>
      </c>
      <c r="E439" t="s">
        <v>13</v>
      </c>
      <c r="F439" t="s">
        <v>25</v>
      </c>
      <c r="G439">
        <v>3</v>
      </c>
      <c r="H439" s="1">
        <v>45195</v>
      </c>
      <c r="I439" t="s">
        <v>39</v>
      </c>
      <c r="J439" t="s">
        <v>27</v>
      </c>
    </row>
    <row r="440" spans="1:10" x14ac:dyDescent="0.3">
      <c r="A440" t="s">
        <v>484</v>
      </c>
      <c r="B440" t="s">
        <v>11</v>
      </c>
      <c r="C440">
        <v>43</v>
      </c>
      <c r="D440" t="s">
        <v>12</v>
      </c>
      <c r="E440" t="s">
        <v>19</v>
      </c>
      <c r="F440" t="s">
        <v>88</v>
      </c>
      <c r="G440">
        <v>33</v>
      </c>
      <c r="H440" s="1">
        <v>44300</v>
      </c>
      <c r="I440" t="s">
        <v>26</v>
      </c>
      <c r="J440" t="s">
        <v>27</v>
      </c>
    </row>
    <row r="441" spans="1:10" x14ac:dyDescent="0.3">
      <c r="A441" t="s">
        <v>485</v>
      </c>
      <c r="B441" t="s">
        <v>11</v>
      </c>
      <c r="C441">
        <v>36</v>
      </c>
      <c r="D441" t="s">
        <v>12</v>
      </c>
      <c r="E441" t="s">
        <v>13</v>
      </c>
      <c r="F441" t="s">
        <v>56</v>
      </c>
      <c r="G441">
        <v>24</v>
      </c>
      <c r="H441" s="1">
        <v>44548</v>
      </c>
      <c r="I441" t="s">
        <v>47</v>
      </c>
      <c r="J441" t="s">
        <v>22</v>
      </c>
    </row>
    <row r="442" spans="1:10" x14ac:dyDescent="0.3">
      <c r="A442" t="s">
        <v>486</v>
      </c>
      <c r="B442" t="s">
        <v>11</v>
      </c>
      <c r="C442">
        <v>18</v>
      </c>
      <c r="D442" t="s">
        <v>32</v>
      </c>
      <c r="E442" t="s">
        <v>19</v>
      </c>
      <c r="F442" t="s">
        <v>38</v>
      </c>
      <c r="G442">
        <v>60</v>
      </c>
      <c r="H442" s="1">
        <v>43483</v>
      </c>
      <c r="I442" t="s">
        <v>21</v>
      </c>
      <c r="J442" t="s">
        <v>16</v>
      </c>
    </row>
    <row r="443" spans="1:10" x14ac:dyDescent="0.3">
      <c r="A443" t="s">
        <v>487</v>
      </c>
      <c r="B443" t="s">
        <v>11</v>
      </c>
      <c r="C443">
        <v>43</v>
      </c>
      <c r="D443" t="s">
        <v>12</v>
      </c>
      <c r="E443" t="s">
        <v>105</v>
      </c>
      <c r="F443" t="s">
        <v>64</v>
      </c>
      <c r="G443">
        <v>39</v>
      </c>
      <c r="H443" s="1">
        <v>44094</v>
      </c>
      <c r="I443" t="s">
        <v>49</v>
      </c>
      <c r="J443" t="s">
        <v>27</v>
      </c>
    </row>
    <row r="444" spans="1:10" x14ac:dyDescent="0.3">
      <c r="A444" t="s">
        <v>488</v>
      </c>
      <c r="B444" t="s">
        <v>31</v>
      </c>
      <c r="C444">
        <v>24</v>
      </c>
      <c r="D444" t="s">
        <v>32</v>
      </c>
      <c r="E444" t="s">
        <v>19</v>
      </c>
      <c r="F444" t="s">
        <v>38</v>
      </c>
      <c r="G444">
        <v>58</v>
      </c>
      <c r="H444" s="1">
        <v>43541</v>
      </c>
      <c r="I444" t="s">
        <v>62</v>
      </c>
      <c r="J444" t="s">
        <v>16</v>
      </c>
    </row>
    <row r="445" spans="1:10" x14ac:dyDescent="0.3">
      <c r="A445" t="s">
        <v>489</v>
      </c>
      <c r="B445" t="s">
        <v>31</v>
      </c>
      <c r="C445">
        <v>25</v>
      </c>
      <c r="D445" t="s">
        <v>18</v>
      </c>
      <c r="E445" t="s">
        <v>19</v>
      </c>
      <c r="F445" t="s">
        <v>33</v>
      </c>
      <c r="G445">
        <v>33</v>
      </c>
      <c r="H445" s="1">
        <v>44289</v>
      </c>
      <c r="I445" t="s">
        <v>49</v>
      </c>
      <c r="J445" t="s">
        <v>16</v>
      </c>
    </row>
    <row r="446" spans="1:10" x14ac:dyDescent="0.3">
      <c r="A446" t="s">
        <v>490</v>
      </c>
      <c r="B446" t="s">
        <v>24</v>
      </c>
      <c r="C446">
        <v>33</v>
      </c>
      <c r="D446" t="s">
        <v>18</v>
      </c>
      <c r="E446" t="s">
        <v>19</v>
      </c>
      <c r="F446" t="s">
        <v>33</v>
      </c>
      <c r="G446">
        <v>13</v>
      </c>
      <c r="H446" s="1">
        <v>44893</v>
      </c>
      <c r="I446" t="s">
        <v>47</v>
      </c>
      <c r="J446" t="s">
        <v>27</v>
      </c>
    </row>
    <row r="447" spans="1:10" x14ac:dyDescent="0.3">
      <c r="A447" t="s">
        <v>491</v>
      </c>
      <c r="B447" t="s">
        <v>42</v>
      </c>
      <c r="C447">
        <v>49</v>
      </c>
      <c r="D447" t="s">
        <v>46</v>
      </c>
      <c r="E447" t="s">
        <v>19</v>
      </c>
      <c r="F447" t="s">
        <v>88</v>
      </c>
      <c r="G447">
        <v>50</v>
      </c>
      <c r="H447" s="1">
        <v>43774</v>
      </c>
      <c r="I447" t="s">
        <v>47</v>
      </c>
      <c r="J447" t="s">
        <v>27</v>
      </c>
    </row>
    <row r="448" spans="1:10" x14ac:dyDescent="0.3">
      <c r="A448" t="s">
        <v>492</v>
      </c>
      <c r="B448" t="s">
        <v>11</v>
      </c>
      <c r="C448">
        <v>32</v>
      </c>
      <c r="D448" t="s">
        <v>18</v>
      </c>
      <c r="E448" t="s">
        <v>19</v>
      </c>
      <c r="F448" t="s">
        <v>14</v>
      </c>
      <c r="G448">
        <v>57</v>
      </c>
      <c r="H448" s="1">
        <v>43576</v>
      </c>
      <c r="I448" t="s">
        <v>21</v>
      </c>
      <c r="J448" t="s">
        <v>27</v>
      </c>
    </row>
    <row r="449" spans="1:10" x14ac:dyDescent="0.3">
      <c r="A449" t="s">
        <v>493</v>
      </c>
      <c r="B449" t="s">
        <v>61</v>
      </c>
      <c r="C449">
        <v>27</v>
      </c>
      <c r="D449" t="s">
        <v>18</v>
      </c>
      <c r="E449" t="s">
        <v>13</v>
      </c>
      <c r="F449" t="s">
        <v>25</v>
      </c>
      <c r="G449">
        <v>14</v>
      </c>
      <c r="H449" s="1">
        <v>44849</v>
      </c>
      <c r="I449" t="s">
        <v>39</v>
      </c>
      <c r="J449" t="s">
        <v>16</v>
      </c>
    </row>
    <row r="450" spans="1:10" x14ac:dyDescent="0.3">
      <c r="A450" t="s">
        <v>494</v>
      </c>
      <c r="B450" t="s">
        <v>31</v>
      </c>
      <c r="C450">
        <v>23</v>
      </c>
      <c r="D450" t="s">
        <v>32</v>
      </c>
      <c r="E450" t="s">
        <v>19</v>
      </c>
      <c r="F450" t="s">
        <v>38</v>
      </c>
      <c r="G450">
        <v>28</v>
      </c>
      <c r="H450" s="1">
        <v>44429</v>
      </c>
      <c r="I450" t="s">
        <v>34</v>
      </c>
      <c r="J450" t="s">
        <v>22</v>
      </c>
    </row>
    <row r="451" spans="1:10" x14ac:dyDescent="0.3">
      <c r="A451" t="s">
        <v>495</v>
      </c>
      <c r="B451" t="s">
        <v>42</v>
      </c>
      <c r="C451">
        <v>18</v>
      </c>
      <c r="D451" t="s">
        <v>32</v>
      </c>
      <c r="E451" t="s">
        <v>19</v>
      </c>
      <c r="F451" t="s">
        <v>33</v>
      </c>
      <c r="G451">
        <v>18</v>
      </c>
      <c r="H451" s="1">
        <v>44747</v>
      </c>
      <c r="I451" t="s">
        <v>26</v>
      </c>
      <c r="J451" t="s">
        <v>22</v>
      </c>
    </row>
    <row r="452" spans="1:10" x14ac:dyDescent="0.3">
      <c r="A452" t="s">
        <v>496</v>
      </c>
      <c r="B452" t="s">
        <v>31</v>
      </c>
      <c r="C452">
        <v>26</v>
      </c>
      <c r="D452" t="s">
        <v>18</v>
      </c>
      <c r="E452" t="s">
        <v>13</v>
      </c>
      <c r="F452" t="s">
        <v>20</v>
      </c>
      <c r="G452">
        <v>19</v>
      </c>
      <c r="H452" s="1">
        <v>44700</v>
      </c>
      <c r="I452" t="s">
        <v>26</v>
      </c>
      <c r="J452" t="s">
        <v>27</v>
      </c>
    </row>
    <row r="453" spans="1:10" x14ac:dyDescent="0.3">
      <c r="A453" t="s">
        <v>497</v>
      </c>
      <c r="B453" t="s">
        <v>42</v>
      </c>
      <c r="C453">
        <v>36</v>
      </c>
      <c r="D453" t="s">
        <v>12</v>
      </c>
      <c r="E453" t="s">
        <v>19</v>
      </c>
      <c r="F453" t="s">
        <v>56</v>
      </c>
      <c r="G453">
        <v>33</v>
      </c>
      <c r="H453" s="1">
        <v>44289</v>
      </c>
      <c r="I453" t="s">
        <v>34</v>
      </c>
      <c r="J453" t="s">
        <v>22</v>
      </c>
    </row>
    <row r="454" spans="1:10" x14ac:dyDescent="0.3">
      <c r="A454" t="s">
        <v>498</v>
      </c>
      <c r="B454" t="s">
        <v>11</v>
      </c>
      <c r="C454">
        <v>48</v>
      </c>
      <c r="D454" t="s">
        <v>46</v>
      </c>
      <c r="E454" t="s">
        <v>13</v>
      </c>
      <c r="F454" t="s">
        <v>56</v>
      </c>
      <c r="G454">
        <v>56</v>
      </c>
      <c r="H454" s="1">
        <v>43599</v>
      </c>
      <c r="I454" t="s">
        <v>29</v>
      </c>
      <c r="J454" t="s">
        <v>27</v>
      </c>
    </row>
    <row r="455" spans="1:10" x14ac:dyDescent="0.3">
      <c r="A455" t="s">
        <v>499</v>
      </c>
      <c r="B455" t="s">
        <v>24</v>
      </c>
      <c r="C455">
        <v>36</v>
      </c>
      <c r="D455" t="s">
        <v>12</v>
      </c>
      <c r="E455" t="s">
        <v>19</v>
      </c>
      <c r="F455" t="s">
        <v>54</v>
      </c>
      <c r="G455">
        <v>30</v>
      </c>
      <c r="H455" s="1">
        <v>44364</v>
      </c>
      <c r="I455" t="s">
        <v>34</v>
      </c>
      <c r="J455" t="s">
        <v>22</v>
      </c>
    </row>
    <row r="456" spans="1:10" x14ac:dyDescent="0.3">
      <c r="A456" t="s">
        <v>500</v>
      </c>
      <c r="B456" t="s">
        <v>11</v>
      </c>
      <c r="C456">
        <v>40</v>
      </c>
      <c r="D456" t="s">
        <v>12</v>
      </c>
      <c r="E456" t="s">
        <v>19</v>
      </c>
      <c r="F456" t="s">
        <v>38</v>
      </c>
      <c r="G456">
        <v>57</v>
      </c>
      <c r="H456" s="1">
        <v>43574</v>
      </c>
      <c r="I456" t="s">
        <v>39</v>
      </c>
      <c r="J456" t="s">
        <v>22</v>
      </c>
    </row>
    <row r="457" spans="1:10" x14ac:dyDescent="0.3">
      <c r="A457" t="s">
        <v>501</v>
      </c>
      <c r="B457" t="s">
        <v>31</v>
      </c>
      <c r="C457">
        <v>30</v>
      </c>
      <c r="D457" t="s">
        <v>18</v>
      </c>
      <c r="E457" t="s">
        <v>13</v>
      </c>
      <c r="F457" t="s">
        <v>54</v>
      </c>
      <c r="G457">
        <v>1</v>
      </c>
      <c r="H457" s="1">
        <v>45256</v>
      </c>
      <c r="I457" t="s">
        <v>49</v>
      </c>
      <c r="J457" t="s">
        <v>16</v>
      </c>
    </row>
    <row r="458" spans="1:10" x14ac:dyDescent="0.3">
      <c r="A458" t="s">
        <v>502</v>
      </c>
      <c r="B458" t="s">
        <v>24</v>
      </c>
      <c r="C458">
        <v>38</v>
      </c>
      <c r="D458" t="s">
        <v>12</v>
      </c>
      <c r="E458" t="s">
        <v>13</v>
      </c>
      <c r="F458" t="s">
        <v>54</v>
      </c>
      <c r="G458">
        <v>18</v>
      </c>
      <c r="H458" s="1">
        <v>44729</v>
      </c>
      <c r="I458" t="s">
        <v>39</v>
      </c>
      <c r="J458" t="s">
        <v>22</v>
      </c>
    </row>
    <row r="459" spans="1:10" x14ac:dyDescent="0.3">
      <c r="A459" t="s">
        <v>503</v>
      </c>
      <c r="B459" t="s">
        <v>61</v>
      </c>
      <c r="C459">
        <v>29</v>
      </c>
      <c r="D459" t="s">
        <v>18</v>
      </c>
      <c r="E459" t="s">
        <v>19</v>
      </c>
      <c r="F459" t="s">
        <v>88</v>
      </c>
      <c r="G459">
        <v>43</v>
      </c>
      <c r="H459" s="1">
        <v>43979</v>
      </c>
      <c r="I459" t="s">
        <v>15</v>
      </c>
      <c r="J459" t="s">
        <v>65</v>
      </c>
    </row>
    <row r="460" spans="1:10" x14ac:dyDescent="0.3">
      <c r="A460" t="s">
        <v>504</v>
      </c>
      <c r="B460" t="s">
        <v>31</v>
      </c>
      <c r="C460">
        <v>28</v>
      </c>
      <c r="D460" t="s">
        <v>18</v>
      </c>
      <c r="E460" t="s">
        <v>19</v>
      </c>
      <c r="F460" t="s">
        <v>25</v>
      </c>
      <c r="G460">
        <v>50</v>
      </c>
      <c r="H460" s="1">
        <v>43791</v>
      </c>
      <c r="I460" t="s">
        <v>62</v>
      </c>
      <c r="J460" t="s">
        <v>27</v>
      </c>
    </row>
    <row r="461" spans="1:10" x14ac:dyDescent="0.3">
      <c r="A461" t="s">
        <v>505</v>
      </c>
      <c r="B461" t="s">
        <v>11</v>
      </c>
      <c r="C461">
        <v>32</v>
      </c>
      <c r="D461" t="s">
        <v>18</v>
      </c>
      <c r="E461" t="s">
        <v>13</v>
      </c>
      <c r="F461" t="s">
        <v>64</v>
      </c>
      <c r="G461">
        <v>59</v>
      </c>
      <c r="H461" s="1">
        <v>43509</v>
      </c>
      <c r="I461" t="s">
        <v>15</v>
      </c>
      <c r="J461" t="s">
        <v>27</v>
      </c>
    </row>
    <row r="462" spans="1:10" x14ac:dyDescent="0.3">
      <c r="A462" t="s">
        <v>506</v>
      </c>
      <c r="B462" t="s">
        <v>24</v>
      </c>
      <c r="C462">
        <v>36</v>
      </c>
      <c r="D462" t="s">
        <v>12</v>
      </c>
      <c r="E462" t="s">
        <v>13</v>
      </c>
      <c r="F462" t="s">
        <v>88</v>
      </c>
      <c r="G462">
        <v>47</v>
      </c>
      <c r="H462" s="1">
        <v>43861</v>
      </c>
      <c r="I462" t="s">
        <v>26</v>
      </c>
      <c r="J462" t="s">
        <v>16</v>
      </c>
    </row>
    <row r="463" spans="1:10" x14ac:dyDescent="0.3">
      <c r="A463" t="s">
        <v>507</v>
      </c>
      <c r="B463" t="s">
        <v>31</v>
      </c>
      <c r="C463">
        <v>29</v>
      </c>
      <c r="D463" t="s">
        <v>18</v>
      </c>
      <c r="E463" t="s">
        <v>13</v>
      </c>
      <c r="F463" t="s">
        <v>56</v>
      </c>
      <c r="G463">
        <v>17</v>
      </c>
      <c r="H463" s="1">
        <v>44782</v>
      </c>
      <c r="I463" t="s">
        <v>26</v>
      </c>
      <c r="J463" t="s">
        <v>65</v>
      </c>
    </row>
    <row r="464" spans="1:10" x14ac:dyDescent="0.3">
      <c r="A464" t="s">
        <v>508</v>
      </c>
      <c r="B464" t="s">
        <v>61</v>
      </c>
      <c r="C464">
        <v>33</v>
      </c>
      <c r="D464" t="s">
        <v>18</v>
      </c>
      <c r="E464" t="s">
        <v>19</v>
      </c>
      <c r="F464" t="s">
        <v>54</v>
      </c>
      <c r="G464">
        <v>39</v>
      </c>
      <c r="H464" s="1">
        <v>44117</v>
      </c>
      <c r="I464" t="s">
        <v>47</v>
      </c>
      <c r="J464" t="s">
        <v>27</v>
      </c>
    </row>
    <row r="465" spans="1:10" x14ac:dyDescent="0.3">
      <c r="A465" t="s">
        <v>509</v>
      </c>
      <c r="B465" t="s">
        <v>24</v>
      </c>
      <c r="C465">
        <v>25</v>
      </c>
      <c r="D465" t="s">
        <v>18</v>
      </c>
      <c r="E465" t="s">
        <v>105</v>
      </c>
      <c r="F465" t="s">
        <v>36</v>
      </c>
      <c r="G465">
        <v>60</v>
      </c>
      <c r="H465" s="1">
        <v>43477</v>
      </c>
      <c r="I465" t="s">
        <v>21</v>
      </c>
      <c r="J465" t="s">
        <v>22</v>
      </c>
    </row>
    <row r="466" spans="1:10" x14ac:dyDescent="0.3">
      <c r="A466" t="s">
        <v>510</v>
      </c>
      <c r="B466" t="s">
        <v>11</v>
      </c>
      <c r="C466">
        <v>24</v>
      </c>
      <c r="D466" t="s">
        <v>32</v>
      </c>
      <c r="E466" t="s">
        <v>13</v>
      </c>
      <c r="F466" t="s">
        <v>54</v>
      </c>
      <c r="G466">
        <v>38</v>
      </c>
      <c r="H466" s="1">
        <v>44124</v>
      </c>
      <c r="I466" t="s">
        <v>26</v>
      </c>
      <c r="J466" t="s">
        <v>16</v>
      </c>
    </row>
    <row r="467" spans="1:10" x14ac:dyDescent="0.3">
      <c r="A467" t="s">
        <v>511</v>
      </c>
      <c r="B467" t="s">
        <v>24</v>
      </c>
      <c r="C467">
        <v>43</v>
      </c>
      <c r="D467" t="s">
        <v>12</v>
      </c>
      <c r="E467" t="s">
        <v>105</v>
      </c>
      <c r="F467" t="s">
        <v>33</v>
      </c>
      <c r="G467">
        <v>34</v>
      </c>
      <c r="H467" s="1">
        <v>44269</v>
      </c>
      <c r="I467" t="s">
        <v>26</v>
      </c>
      <c r="J467" t="s">
        <v>27</v>
      </c>
    </row>
    <row r="468" spans="1:10" x14ac:dyDescent="0.3">
      <c r="A468" t="s">
        <v>512</v>
      </c>
      <c r="B468" t="s">
        <v>11</v>
      </c>
      <c r="C468">
        <v>44</v>
      </c>
      <c r="D468" t="s">
        <v>12</v>
      </c>
      <c r="E468" t="s">
        <v>19</v>
      </c>
      <c r="F468" t="s">
        <v>20</v>
      </c>
      <c r="G468">
        <v>40</v>
      </c>
      <c r="H468" s="1">
        <v>44067</v>
      </c>
      <c r="I468" t="s">
        <v>47</v>
      </c>
      <c r="J468" t="s">
        <v>27</v>
      </c>
    </row>
    <row r="469" spans="1:10" x14ac:dyDescent="0.3">
      <c r="A469" t="s">
        <v>513</v>
      </c>
      <c r="B469" t="s">
        <v>24</v>
      </c>
      <c r="C469">
        <v>31</v>
      </c>
      <c r="D469" t="s">
        <v>18</v>
      </c>
      <c r="E469" t="s">
        <v>19</v>
      </c>
      <c r="F469" t="s">
        <v>38</v>
      </c>
      <c r="G469">
        <v>58</v>
      </c>
      <c r="H469" s="1">
        <v>43548</v>
      </c>
      <c r="I469" t="s">
        <v>34</v>
      </c>
      <c r="J469" t="s">
        <v>16</v>
      </c>
    </row>
    <row r="470" spans="1:10" x14ac:dyDescent="0.3">
      <c r="A470" t="s">
        <v>514</v>
      </c>
      <c r="B470" t="s">
        <v>24</v>
      </c>
      <c r="C470">
        <v>31</v>
      </c>
      <c r="D470" t="s">
        <v>18</v>
      </c>
      <c r="E470" t="s">
        <v>19</v>
      </c>
      <c r="F470" t="s">
        <v>88</v>
      </c>
      <c r="G470">
        <v>9</v>
      </c>
      <c r="H470" s="1">
        <v>44998</v>
      </c>
      <c r="I470" t="s">
        <v>15</v>
      </c>
      <c r="J470" t="s">
        <v>22</v>
      </c>
    </row>
    <row r="471" spans="1:10" x14ac:dyDescent="0.3">
      <c r="A471" t="s">
        <v>515</v>
      </c>
      <c r="B471" t="s">
        <v>42</v>
      </c>
      <c r="C471">
        <v>28</v>
      </c>
      <c r="D471" t="s">
        <v>18</v>
      </c>
      <c r="E471" t="s">
        <v>13</v>
      </c>
      <c r="F471" t="s">
        <v>20</v>
      </c>
      <c r="G471">
        <v>12</v>
      </c>
      <c r="H471" s="1">
        <v>44929</v>
      </c>
      <c r="I471" t="s">
        <v>49</v>
      </c>
      <c r="J471" t="s">
        <v>22</v>
      </c>
    </row>
    <row r="472" spans="1:10" x14ac:dyDescent="0.3">
      <c r="A472" t="s">
        <v>516</v>
      </c>
      <c r="B472" t="s">
        <v>11</v>
      </c>
      <c r="C472">
        <v>44</v>
      </c>
      <c r="D472" t="s">
        <v>12</v>
      </c>
      <c r="E472" t="s">
        <v>13</v>
      </c>
      <c r="F472" t="s">
        <v>38</v>
      </c>
      <c r="G472">
        <v>57</v>
      </c>
      <c r="H472" s="1">
        <v>43558</v>
      </c>
      <c r="I472" t="s">
        <v>34</v>
      </c>
      <c r="J472" t="s">
        <v>27</v>
      </c>
    </row>
    <row r="473" spans="1:10" x14ac:dyDescent="0.3">
      <c r="A473" t="s">
        <v>517</v>
      </c>
      <c r="B473" t="s">
        <v>24</v>
      </c>
      <c r="C473">
        <v>41</v>
      </c>
      <c r="D473" t="s">
        <v>12</v>
      </c>
      <c r="E473" t="s">
        <v>13</v>
      </c>
      <c r="F473" t="s">
        <v>56</v>
      </c>
      <c r="G473">
        <v>32</v>
      </c>
      <c r="H473" s="1">
        <v>44313</v>
      </c>
      <c r="I473" t="s">
        <v>15</v>
      </c>
      <c r="J473" t="s">
        <v>27</v>
      </c>
    </row>
    <row r="474" spans="1:10" x14ac:dyDescent="0.3">
      <c r="A474" t="s">
        <v>518</v>
      </c>
      <c r="B474" t="s">
        <v>31</v>
      </c>
      <c r="C474">
        <v>35</v>
      </c>
      <c r="D474" t="s">
        <v>12</v>
      </c>
      <c r="E474" t="s">
        <v>13</v>
      </c>
      <c r="F474" t="s">
        <v>14</v>
      </c>
      <c r="G474">
        <v>58</v>
      </c>
      <c r="H474" s="1">
        <v>43539</v>
      </c>
      <c r="I474" t="s">
        <v>15</v>
      </c>
      <c r="J474" t="s">
        <v>27</v>
      </c>
    </row>
    <row r="475" spans="1:10" x14ac:dyDescent="0.3">
      <c r="A475" t="s">
        <v>519</v>
      </c>
      <c r="B475" t="s">
        <v>42</v>
      </c>
      <c r="C475">
        <v>28</v>
      </c>
      <c r="D475" t="s">
        <v>18</v>
      </c>
      <c r="E475" t="s">
        <v>13</v>
      </c>
      <c r="F475" t="s">
        <v>88</v>
      </c>
      <c r="G475">
        <v>6</v>
      </c>
      <c r="H475" s="1">
        <v>45095</v>
      </c>
      <c r="I475" t="s">
        <v>62</v>
      </c>
      <c r="J475" t="s">
        <v>16</v>
      </c>
    </row>
    <row r="476" spans="1:10" x14ac:dyDescent="0.3">
      <c r="A476" t="s">
        <v>520</v>
      </c>
      <c r="B476" t="s">
        <v>24</v>
      </c>
      <c r="C476">
        <v>24</v>
      </c>
      <c r="D476" t="s">
        <v>32</v>
      </c>
      <c r="E476" t="s">
        <v>19</v>
      </c>
      <c r="F476" t="s">
        <v>88</v>
      </c>
      <c r="G476">
        <v>56</v>
      </c>
      <c r="H476" s="1">
        <v>43608</v>
      </c>
      <c r="I476" t="s">
        <v>21</v>
      </c>
      <c r="J476" t="s">
        <v>27</v>
      </c>
    </row>
    <row r="477" spans="1:10" x14ac:dyDescent="0.3">
      <c r="A477" t="s">
        <v>521</v>
      </c>
      <c r="B477" t="s">
        <v>31</v>
      </c>
      <c r="C477">
        <v>28</v>
      </c>
      <c r="D477" t="s">
        <v>18</v>
      </c>
      <c r="E477" t="s">
        <v>13</v>
      </c>
      <c r="F477" t="s">
        <v>54</v>
      </c>
      <c r="G477">
        <v>45</v>
      </c>
      <c r="H477" s="1">
        <v>43919</v>
      </c>
      <c r="I477" t="s">
        <v>26</v>
      </c>
      <c r="J477" t="s">
        <v>27</v>
      </c>
    </row>
    <row r="478" spans="1:10" x14ac:dyDescent="0.3">
      <c r="A478" t="s">
        <v>522</v>
      </c>
      <c r="B478" t="s">
        <v>24</v>
      </c>
      <c r="C478">
        <v>29</v>
      </c>
      <c r="D478" t="s">
        <v>18</v>
      </c>
      <c r="E478" t="s">
        <v>13</v>
      </c>
      <c r="F478" t="s">
        <v>54</v>
      </c>
      <c r="G478">
        <v>10</v>
      </c>
      <c r="H478" s="1">
        <v>44986</v>
      </c>
      <c r="I478" t="s">
        <v>47</v>
      </c>
      <c r="J478" t="s">
        <v>16</v>
      </c>
    </row>
    <row r="479" spans="1:10" x14ac:dyDescent="0.3">
      <c r="A479" t="s">
        <v>523</v>
      </c>
      <c r="B479" t="s">
        <v>42</v>
      </c>
      <c r="C479">
        <v>18</v>
      </c>
      <c r="D479" t="s">
        <v>32</v>
      </c>
      <c r="E479" t="s">
        <v>13</v>
      </c>
      <c r="F479" t="s">
        <v>14</v>
      </c>
      <c r="G479">
        <v>53</v>
      </c>
      <c r="H479" s="1">
        <v>43686</v>
      </c>
      <c r="I479" t="s">
        <v>26</v>
      </c>
      <c r="J479" t="s">
        <v>16</v>
      </c>
    </row>
    <row r="480" spans="1:10" x14ac:dyDescent="0.3">
      <c r="A480" t="s">
        <v>524</v>
      </c>
      <c r="B480" t="s">
        <v>31</v>
      </c>
      <c r="C480">
        <v>32</v>
      </c>
      <c r="D480" t="s">
        <v>18</v>
      </c>
      <c r="E480" t="s">
        <v>19</v>
      </c>
      <c r="F480" t="s">
        <v>64</v>
      </c>
      <c r="G480">
        <v>4</v>
      </c>
      <c r="H480" s="1">
        <v>45158</v>
      </c>
      <c r="I480" t="s">
        <v>34</v>
      </c>
      <c r="J480" t="s">
        <v>16</v>
      </c>
    </row>
    <row r="481" spans="1:10" x14ac:dyDescent="0.3">
      <c r="A481" t="s">
        <v>525</v>
      </c>
      <c r="B481" t="s">
        <v>24</v>
      </c>
      <c r="C481">
        <v>41</v>
      </c>
      <c r="D481" t="s">
        <v>12</v>
      </c>
      <c r="E481" t="s">
        <v>19</v>
      </c>
      <c r="F481" t="s">
        <v>36</v>
      </c>
      <c r="G481">
        <v>16</v>
      </c>
      <c r="H481" s="1">
        <v>44788</v>
      </c>
      <c r="I481" t="s">
        <v>47</v>
      </c>
      <c r="J481" t="s">
        <v>27</v>
      </c>
    </row>
    <row r="482" spans="1:10" x14ac:dyDescent="0.3">
      <c r="A482" t="s">
        <v>526</v>
      </c>
      <c r="B482" t="s">
        <v>24</v>
      </c>
      <c r="C482">
        <v>28</v>
      </c>
      <c r="D482" t="s">
        <v>18</v>
      </c>
      <c r="E482" t="s">
        <v>13</v>
      </c>
      <c r="F482" t="s">
        <v>54</v>
      </c>
      <c r="G482">
        <v>20</v>
      </c>
      <c r="H482" s="1">
        <v>44673</v>
      </c>
      <c r="I482" t="s">
        <v>15</v>
      </c>
      <c r="J482" t="s">
        <v>27</v>
      </c>
    </row>
    <row r="483" spans="1:10" x14ac:dyDescent="0.3">
      <c r="A483" t="s">
        <v>527</v>
      </c>
      <c r="B483" t="s">
        <v>61</v>
      </c>
      <c r="C483">
        <v>40</v>
      </c>
      <c r="D483" t="s">
        <v>12</v>
      </c>
      <c r="E483" t="s">
        <v>19</v>
      </c>
      <c r="F483" t="s">
        <v>56</v>
      </c>
      <c r="G483">
        <v>55</v>
      </c>
      <c r="H483" s="1">
        <v>43632</v>
      </c>
      <c r="I483" t="s">
        <v>26</v>
      </c>
      <c r="J483" t="s">
        <v>22</v>
      </c>
    </row>
    <row r="484" spans="1:10" x14ac:dyDescent="0.3">
      <c r="A484" t="s">
        <v>528</v>
      </c>
      <c r="B484" t="s">
        <v>42</v>
      </c>
      <c r="C484">
        <v>24</v>
      </c>
      <c r="D484" t="s">
        <v>32</v>
      </c>
      <c r="E484" t="s">
        <v>19</v>
      </c>
      <c r="F484" t="s">
        <v>36</v>
      </c>
      <c r="G484">
        <v>21</v>
      </c>
      <c r="H484" s="1">
        <v>44641</v>
      </c>
      <c r="I484" t="s">
        <v>15</v>
      </c>
      <c r="J484" t="s">
        <v>16</v>
      </c>
    </row>
    <row r="485" spans="1:10" x14ac:dyDescent="0.3">
      <c r="A485" t="s">
        <v>529</v>
      </c>
      <c r="B485" t="s">
        <v>31</v>
      </c>
      <c r="C485">
        <v>18</v>
      </c>
      <c r="D485" t="s">
        <v>32</v>
      </c>
      <c r="E485" t="s">
        <v>13</v>
      </c>
      <c r="F485" t="s">
        <v>14</v>
      </c>
      <c r="G485">
        <v>24</v>
      </c>
      <c r="H485" s="1">
        <v>44566</v>
      </c>
      <c r="I485" t="s">
        <v>34</v>
      </c>
      <c r="J485" t="s">
        <v>22</v>
      </c>
    </row>
    <row r="486" spans="1:10" x14ac:dyDescent="0.3">
      <c r="A486" t="s">
        <v>530</v>
      </c>
      <c r="B486" t="s">
        <v>24</v>
      </c>
      <c r="C486">
        <v>26</v>
      </c>
      <c r="D486" t="s">
        <v>18</v>
      </c>
      <c r="E486" t="s">
        <v>13</v>
      </c>
      <c r="F486" t="s">
        <v>38</v>
      </c>
      <c r="G486">
        <v>8</v>
      </c>
      <c r="H486" s="1">
        <v>45046</v>
      </c>
      <c r="I486" t="s">
        <v>29</v>
      </c>
      <c r="J486" t="s">
        <v>22</v>
      </c>
    </row>
    <row r="487" spans="1:10" x14ac:dyDescent="0.3">
      <c r="A487" t="s">
        <v>531</v>
      </c>
      <c r="B487" t="s">
        <v>24</v>
      </c>
      <c r="C487">
        <v>30</v>
      </c>
      <c r="D487" t="s">
        <v>18</v>
      </c>
      <c r="E487" t="s">
        <v>19</v>
      </c>
      <c r="F487" t="s">
        <v>54</v>
      </c>
      <c r="G487">
        <v>45</v>
      </c>
      <c r="H487" s="1">
        <v>43937</v>
      </c>
      <c r="I487" t="s">
        <v>34</v>
      </c>
      <c r="J487" t="s">
        <v>27</v>
      </c>
    </row>
    <row r="488" spans="1:10" x14ac:dyDescent="0.3">
      <c r="A488" t="s">
        <v>532</v>
      </c>
      <c r="B488" t="s">
        <v>31</v>
      </c>
      <c r="C488">
        <v>18</v>
      </c>
      <c r="D488" t="s">
        <v>32</v>
      </c>
      <c r="E488" t="s">
        <v>13</v>
      </c>
      <c r="F488" t="s">
        <v>64</v>
      </c>
      <c r="G488">
        <v>25</v>
      </c>
      <c r="H488" s="1">
        <v>44524</v>
      </c>
      <c r="I488" t="s">
        <v>15</v>
      </c>
      <c r="J488" t="s">
        <v>16</v>
      </c>
    </row>
    <row r="489" spans="1:10" x14ac:dyDescent="0.3">
      <c r="A489" t="s">
        <v>533</v>
      </c>
      <c r="B489" t="s">
        <v>11</v>
      </c>
      <c r="C489">
        <v>26</v>
      </c>
      <c r="D489" t="s">
        <v>18</v>
      </c>
      <c r="E489" t="s">
        <v>19</v>
      </c>
      <c r="F489" t="s">
        <v>36</v>
      </c>
      <c r="G489">
        <v>10</v>
      </c>
      <c r="H489" s="1">
        <v>44964</v>
      </c>
      <c r="I489" t="s">
        <v>47</v>
      </c>
      <c r="J489" t="s">
        <v>22</v>
      </c>
    </row>
    <row r="490" spans="1:10" x14ac:dyDescent="0.3">
      <c r="A490" t="s">
        <v>534</v>
      </c>
      <c r="B490" t="s">
        <v>11</v>
      </c>
      <c r="C490">
        <v>18</v>
      </c>
      <c r="D490" t="s">
        <v>32</v>
      </c>
      <c r="E490" t="s">
        <v>19</v>
      </c>
      <c r="F490" t="s">
        <v>25</v>
      </c>
      <c r="G490">
        <v>44</v>
      </c>
      <c r="H490" s="1">
        <v>43969</v>
      </c>
      <c r="I490" t="s">
        <v>62</v>
      </c>
      <c r="J490" t="s">
        <v>65</v>
      </c>
    </row>
    <row r="491" spans="1:10" x14ac:dyDescent="0.3">
      <c r="A491" t="s">
        <v>535</v>
      </c>
      <c r="B491" t="s">
        <v>24</v>
      </c>
      <c r="C491">
        <v>24</v>
      </c>
      <c r="D491" t="s">
        <v>32</v>
      </c>
      <c r="E491" t="s">
        <v>19</v>
      </c>
      <c r="F491" t="s">
        <v>64</v>
      </c>
      <c r="G491">
        <v>31</v>
      </c>
      <c r="H491" s="1">
        <v>44349</v>
      </c>
      <c r="I491" t="s">
        <v>15</v>
      </c>
      <c r="J491" t="s">
        <v>22</v>
      </c>
    </row>
    <row r="492" spans="1:10" x14ac:dyDescent="0.3">
      <c r="A492" t="s">
        <v>536</v>
      </c>
      <c r="B492" t="s">
        <v>24</v>
      </c>
      <c r="C492">
        <v>36</v>
      </c>
      <c r="D492" t="s">
        <v>12</v>
      </c>
      <c r="E492" t="s">
        <v>19</v>
      </c>
      <c r="F492" t="s">
        <v>54</v>
      </c>
      <c r="G492">
        <v>36</v>
      </c>
      <c r="H492" s="1">
        <v>44197</v>
      </c>
      <c r="I492" t="s">
        <v>62</v>
      </c>
      <c r="J492" t="s">
        <v>16</v>
      </c>
    </row>
    <row r="493" spans="1:10" x14ac:dyDescent="0.3">
      <c r="A493" t="s">
        <v>537</v>
      </c>
      <c r="B493" t="s">
        <v>42</v>
      </c>
      <c r="C493">
        <v>28</v>
      </c>
      <c r="D493" t="s">
        <v>18</v>
      </c>
      <c r="E493" t="s">
        <v>13</v>
      </c>
      <c r="F493" t="s">
        <v>64</v>
      </c>
      <c r="G493">
        <v>35</v>
      </c>
      <c r="H493" s="1">
        <v>44228</v>
      </c>
      <c r="I493" t="s">
        <v>29</v>
      </c>
      <c r="J493" t="s">
        <v>22</v>
      </c>
    </row>
    <row r="494" spans="1:10" x14ac:dyDescent="0.3">
      <c r="A494" t="s">
        <v>538</v>
      </c>
      <c r="B494" t="s">
        <v>24</v>
      </c>
      <c r="C494">
        <v>22</v>
      </c>
      <c r="D494" t="s">
        <v>32</v>
      </c>
      <c r="E494" t="s">
        <v>13</v>
      </c>
      <c r="F494" t="s">
        <v>88</v>
      </c>
      <c r="G494">
        <v>39</v>
      </c>
      <c r="H494" s="1">
        <v>44104</v>
      </c>
      <c r="I494" t="s">
        <v>62</v>
      </c>
      <c r="J494" t="s">
        <v>22</v>
      </c>
    </row>
    <row r="495" spans="1:10" x14ac:dyDescent="0.3">
      <c r="A495" t="s">
        <v>539</v>
      </c>
      <c r="B495" t="s">
        <v>24</v>
      </c>
      <c r="C495">
        <v>41</v>
      </c>
      <c r="D495" t="s">
        <v>12</v>
      </c>
      <c r="E495" t="s">
        <v>19</v>
      </c>
      <c r="F495" t="s">
        <v>56</v>
      </c>
      <c r="G495">
        <v>32</v>
      </c>
      <c r="H495" s="1">
        <v>44332</v>
      </c>
      <c r="I495" t="s">
        <v>29</v>
      </c>
      <c r="J495" t="s">
        <v>16</v>
      </c>
    </row>
    <row r="496" spans="1:10" x14ac:dyDescent="0.3">
      <c r="A496" t="s">
        <v>540</v>
      </c>
      <c r="B496" t="s">
        <v>11</v>
      </c>
      <c r="C496">
        <v>44</v>
      </c>
      <c r="D496" t="s">
        <v>12</v>
      </c>
      <c r="E496" t="s">
        <v>19</v>
      </c>
      <c r="F496" t="s">
        <v>64</v>
      </c>
      <c r="G496">
        <v>60</v>
      </c>
      <c r="H496" s="1">
        <v>43477</v>
      </c>
      <c r="I496" t="s">
        <v>21</v>
      </c>
      <c r="J496" t="s">
        <v>27</v>
      </c>
    </row>
    <row r="497" spans="1:10" x14ac:dyDescent="0.3">
      <c r="A497" t="s">
        <v>541</v>
      </c>
      <c r="B497" t="s">
        <v>11</v>
      </c>
      <c r="C497">
        <v>23</v>
      </c>
      <c r="D497" t="s">
        <v>32</v>
      </c>
      <c r="E497" t="s">
        <v>13</v>
      </c>
      <c r="F497" t="s">
        <v>33</v>
      </c>
      <c r="G497">
        <v>59</v>
      </c>
      <c r="H497" s="1">
        <v>43495</v>
      </c>
      <c r="I497" t="s">
        <v>62</v>
      </c>
      <c r="J497" t="s">
        <v>16</v>
      </c>
    </row>
    <row r="498" spans="1:10" x14ac:dyDescent="0.3">
      <c r="A498" t="s">
        <v>542</v>
      </c>
      <c r="B498" t="s">
        <v>31</v>
      </c>
      <c r="C498">
        <v>25</v>
      </c>
      <c r="D498" t="s">
        <v>18</v>
      </c>
      <c r="E498" t="s">
        <v>13</v>
      </c>
      <c r="F498" t="s">
        <v>56</v>
      </c>
      <c r="G498">
        <v>21</v>
      </c>
      <c r="H498" s="1">
        <v>44638</v>
      </c>
      <c r="I498" t="s">
        <v>34</v>
      </c>
      <c r="J498" t="s">
        <v>27</v>
      </c>
    </row>
    <row r="499" spans="1:10" x14ac:dyDescent="0.3">
      <c r="A499" t="s">
        <v>543</v>
      </c>
      <c r="B499" t="s">
        <v>24</v>
      </c>
      <c r="C499">
        <v>36</v>
      </c>
      <c r="D499" t="s">
        <v>12</v>
      </c>
      <c r="E499" t="s">
        <v>13</v>
      </c>
      <c r="F499" t="s">
        <v>56</v>
      </c>
      <c r="G499">
        <v>5</v>
      </c>
      <c r="H499" s="1">
        <v>45124</v>
      </c>
      <c r="I499" t="s">
        <v>47</v>
      </c>
      <c r="J499" t="s">
        <v>27</v>
      </c>
    </row>
    <row r="500" spans="1:10" x14ac:dyDescent="0.3">
      <c r="A500" t="s">
        <v>544</v>
      </c>
      <c r="B500" t="s">
        <v>42</v>
      </c>
      <c r="C500">
        <v>18</v>
      </c>
      <c r="D500" t="s">
        <v>32</v>
      </c>
      <c r="E500" t="s">
        <v>19</v>
      </c>
      <c r="F500" t="s">
        <v>54</v>
      </c>
      <c r="G500">
        <v>60</v>
      </c>
      <c r="H500" s="1">
        <v>43488</v>
      </c>
      <c r="I500" t="s">
        <v>34</v>
      </c>
      <c r="J500" t="s">
        <v>16</v>
      </c>
    </row>
    <row r="501" spans="1:10" x14ac:dyDescent="0.3">
      <c r="A501" t="s">
        <v>545</v>
      </c>
      <c r="B501" t="s">
        <v>11</v>
      </c>
      <c r="C501">
        <v>48</v>
      </c>
      <c r="D501" t="s">
        <v>46</v>
      </c>
      <c r="E501" t="s">
        <v>19</v>
      </c>
      <c r="F501" t="s">
        <v>25</v>
      </c>
      <c r="G501">
        <v>40</v>
      </c>
      <c r="H501" s="1">
        <v>44091</v>
      </c>
      <c r="I501" t="s">
        <v>21</v>
      </c>
      <c r="J501" t="s">
        <v>27</v>
      </c>
    </row>
    <row r="502" spans="1:10" x14ac:dyDescent="0.3">
      <c r="A502" t="s">
        <v>546</v>
      </c>
      <c r="B502" t="s">
        <v>24</v>
      </c>
      <c r="C502">
        <v>30</v>
      </c>
      <c r="D502" t="s">
        <v>18</v>
      </c>
      <c r="E502" t="s">
        <v>13</v>
      </c>
      <c r="F502" t="s">
        <v>33</v>
      </c>
      <c r="G502">
        <v>13</v>
      </c>
      <c r="H502" s="1">
        <v>44894</v>
      </c>
      <c r="I502" t="s">
        <v>47</v>
      </c>
      <c r="J502" t="s">
        <v>16</v>
      </c>
    </row>
    <row r="503" spans="1:10" x14ac:dyDescent="0.3">
      <c r="A503" t="s">
        <v>547</v>
      </c>
      <c r="B503" t="s">
        <v>31</v>
      </c>
      <c r="C503">
        <v>27</v>
      </c>
      <c r="D503" t="s">
        <v>18</v>
      </c>
      <c r="E503" t="s">
        <v>13</v>
      </c>
      <c r="F503" t="s">
        <v>64</v>
      </c>
      <c r="G503">
        <v>2</v>
      </c>
      <c r="H503" s="1">
        <v>45213</v>
      </c>
      <c r="I503" t="s">
        <v>62</v>
      </c>
      <c r="J503" t="s">
        <v>27</v>
      </c>
    </row>
    <row r="504" spans="1:10" x14ac:dyDescent="0.3">
      <c r="A504" t="s">
        <v>548</v>
      </c>
      <c r="B504" t="s">
        <v>11</v>
      </c>
      <c r="C504">
        <v>18</v>
      </c>
      <c r="D504" t="s">
        <v>32</v>
      </c>
      <c r="E504" t="s">
        <v>13</v>
      </c>
      <c r="F504" t="s">
        <v>56</v>
      </c>
      <c r="G504">
        <v>13</v>
      </c>
      <c r="H504" s="1">
        <v>44891</v>
      </c>
      <c r="I504" t="s">
        <v>47</v>
      </c>
      <c r="J504" t="s">
        <v>22</v>
      </c>
    </row>
    <row r="505" spans="1:10" x14ac:dyDescent="0.3">
      <c r="A505" t="s">
        <v>549</v>
      </c>
      <c r="B505" t="s">
        <v>31</v>
      </c>
      <c r="C505">
        <v>35</v>
      </c>
      <c r="D505" t="s">
        <v>12</v>
      </c>
      <c r="E505" t="s">
        <v>19</v>
      </c>
      <c r="F505" t="s">
        <v>33</v>
      </c>
      <c r="G505">
        <v>27</v>
      </c>
      <c r="H505" s="1">
        <v>44474</v>
      </c>
      <c r="I505" t="s">
        <v>29</v>
      </c>
      <c r="J505" t="s">
        <v>16</v>
      </c>
    </row>
    <row r="506" spans="1:10" x14ac:dyDescent="0.3">
      <c r="A506" t="s">
        <v>550</v>
      </c>
      <c r="B506" t="s">
        <v>31</v>
      </c>
      <c r="C506">
        <v>33</v>
      </c>
      <c r="D506" t="s">
        <v>18</v>
      </c>
      <c r="E506" t="s">
        <v>19</v>
      </c>
      <c r="F506" t="s">
        <v>54</v>
      </c>
      <c r="G506">
        <v>21</v>
      </c>
      <c r="H506" s="1">
        <v>44639</v>
      </c>
      <c r="I506" t="s">
        <v>49</v>
      </c>
      <c r="J506" t="s">
        <v>27</v>
      </c>
    </row>
    <row r="507" spans="1:10" x14ac:dyDescent="0.3">
      <c r="A507" t="s">
        <v>551</v>
      </c>
      <c r="B507" t="s">
        <v>61</v>
      </c>
      <c r="C507">
        <v>38</v>
      </c>
      <c r="D507" t="s">
        <v>12</v>
      </c>
      <c r="E507" t="s">
        <v>13</v>
      </c>
      <c r="F507" t="s">
        <v>25</v>
      </c>
      <c r="G507">
        <v>56</v>
      </c>
      <c r="H507" s="1">
        <v>43598</v>
      </c>
      <c r="I507" t="s">
        <v>26</v>
      </c>
      <c r="J507" t="s">
        <v>65</v>
      </c>
    </row>
    <row r="508" spans="1:10" x14ac:dyDescent="0.3">
      <c r="A508" t="s">
        <v>552</v>
      </c>
      <c r="B508" t="s">
        <v>24</v>
      </c>
      <c r="C508">
        <v>36</v>
      </c>
      <c r="D508" t="s">
        <v>12</v>
      </c>
      <c r="E508" t="s">
        <v>19</v>
      </c>
      <c r="F508" t="s">
        <v>88</v>
      </c>
      <c r="G508">
        <v>58</v>
      </c>
      <c r="H508" s="1">
        <v>43541</v>
      </c>
      <c r="I508" t="s">
        <v>62</v>
      </c>
      <c r="J508" t="s">
        <v>16</v>
      </c>
    </row>
    <row r="509" spans="1:10" x14ac:dyDescent="0.3">
      <c r="A509" t="s">
        <v>553</v>
      </c>
      <c r="B509" t="s">
        <v>31</v>
      </c>
      <c r="C509">
        <v>29</v>
      </c>
      <c r="D509" t="s">
        <v>18</v>
      </c>
      <c r="E509" t="s">
        <v>19</v>
      </c>
      <c r="F509" t="s">
        <v>56</v>
      </c>
      <c r="G509">
        <v>47</v>
      </c>
      <c r="H509" s="1">
        <v>43866</v>
      </c>
      <c r="I509" t="s">
        <v>34</v>
      </c>
      <c r="J509" t="s">
        <v>27</v>
      </c>
    </row>
    <row r="510" spans="1:10" x14ac:dyDescent="0.3">
      <c r="A510" t="s">
        <v>554</v>
      </c>
      <c r="B510" t="s">
        <v>11</v>
      </c>
      <c r="C510">
        <v>29</v>
      </c>
      <c r="D510" t="s">
        <v>18</v>
      </c>
      <c r="E510" t="s">
        <v>19</v>
      </c>
      <c r="F510" t="s">
        <v>25</v>
      </c>
      <c r="G510">
        <v>42</v>
      </c>
      <c r="H510" s="1">
        <v>44016</v>
      </c>
      <c r="I510" t="s">
        <v>26</v>
      </c>
      <c r="J510" t="s">
        <v>16</v>
      </c>
    </row>
    <row r="511" spans="1:10" x14ac:dyDescent="0.3">
      <c r="A511" t="s">
        <v>555</v>
      </c>
      <c r="B511" t="s">
        <v>31</v>
      </c>
      <c r="C511">
        <v>20</v>
      </c>
      <c r="D511" t="s">
        <v>32</v>
      </c>
      <c r="E511" t="s">
        <v>13</v>
      </c>
      <c r="F511" t="s">
        <v>36</v>
      </c>
      <c r="G511">
        <v>46</v>
      </c>
      <c r="H511" s="1">
        <v>43886</v>
      </c>
      <c r="I511" t="s">
        <v>29</v>
      </c>
      <c r="J511" t="s">
        <v>27</v>
      </c>
    </row>
    <row r="512" spans="1:10" x14ac:dyDescent="0.3">
      <c r="A512" t="s">
        <v>556</v>
      </c>
      <c r="B512" t="s">
        <v>31</v>
      </c>
      <c r="C512">
        <v>25</v>
      </c>
      <c r="D512" t="s">
        <v>18</v>
      </c>
      <c r="E512" t="s">
        <v>19</v>
      </c>
      <c r="F512" t="s">
        <v>14</v>
      </c>
      <c r="G512">
        <v>47</v>
      </c>
      <c r="H512" s="1">
        <v>43869</v>
      </c>
      <c r="I512" t="s">
        <v>34</v>
      </c>
      <c r="J512" t="s">
        <v>16</v>
      </c>
    </row>
    <row r="513" spans="1:10" x14ac:dyDescent="0.3">
      <c r="A513" t="s">
        <v>557</v>
      </c>
      <c r="B513" t="s">
        <v>11</v>
      </c>
      <c r="C513">
        <v>29</v>
      </c>
      <c r="D513" t="s">
        <v>18</v>
      </c>
      <c r="E513" t="s">
        <v>13</v>
      </c>
      <c r="F513" t="s">
        <v>64</v>
      </c>
      <c r="G513">
        <v>8</v>
      </c>
      <c r="H513" s="1">
        <v>45035</v>
      </c>
      <c r="I513" t="s">
        <v>21</v>
      </c>
      <c r="J513" t="s">
        <v>27</v>
      </c>
    </row>
    <row r="514" spans="1:10" x14ac:dyDescent="0.3">
      <c r="A514" t="s">
        <v>558</v>
      </c>
      <c r="B514" t="s">
        <v>31</v>
      </c>
      <c r="C514">
        <v>18</v>
      </c>
      <c r="D514" t="s">
        <v>32</v>
      </c>
      <c r="E514" t="s">
        <v>19</v>
      </c>
      <c r="F514" t="s">
        <v>20</v>
      </c>
      <c r="G514">
        <v>36</v>
      </c>
      <c r="H514" s="1">
        <v>44191</v>
      </c>
      <c r="I514" t="s">
        <v>21</v>
      </c>
      <c r="J514" t="s">
        <v>16</v>
      </c>
    </row>
    <row r="515" spans="1:10" x14ac:dyDescent="0.3">
      <c r="A515" t="s">
        <v>559</v>
      </c>
      <c r="B515" t="s">
        <v>11</v>
      </c>
      <c r="C515">
        <v>27</v>
      </c>
      <c r="D515" t="s">
        <v>18</v>
      </c>
      <c r="E515" t="s">
        <v>19</v>
      </c>
      <c r="F515" t="s">
        <v>56</v>
      </c>
      <c r="G515">
        <v>30</v>
      </c>
      <c r="H515" s="1">
        <v>44377</v>
      </c>
      <c r="I515" t="s">
        <v>49</v>
      </c>
      <c r="J515" t="s">
        <v>16</v>
      </c>
    </row>
    <row r="516" spans="1:10" x14ac:dyDescent="0.3">
      <c r="A516" t="s">
        <v>560</v>
      </c>
      <c r="B516" t="s">
        <v>24</v>
      </c>
      <c r="C516">
        <v>47</v>
      </c>
      <c r="D516" t="s">
        <v>46</v>
      </c>
      <c r="E516" t="s">
        <v>13</v>
      </c>
      <c r="F516" t="s">
        <v>56</v>
      </c>
      <c r="G516">
        <v>6</v>
      </c>
      <c r="H516" s="1">
        <v>45095</v>
      </c>
      <c r="I516" t="s">
        <v>47</v>
      </c>
      <c r="J516" t="s">
        <v>65</v>
      </c>
    </row>
    <row r="517" spans="1:10" x14ac:dyDescent="0.3">
      <c r="A517" t="s">
        <v>561</v>
      </c>
      <c r="B517" t="s">
        <v>24</v>
      </c>
      <c r="C517">
        <v>26</v>
      </c>
      <c r="D517" t="s">
        <v>18</v>
      </c>
      <c r="E517" t="s">
        <v>19</v>
      </c>
      <c r="F517" t="s">
        <v>88</v>
      </c>
      <c r="G517">
        <v>55</v>
      </c>
      <c r="H517" s="1">
        <v>43630</v>
      </c>
      <c r="I517" t="s">
        <v>34</v>
      </c>
      <c r="J517" t="s">
        <v>22</v>
      </c>
    </row>
    <row r="518" spans="1:10" x14ac:dyDescent="0.3">
      <c r="A518" t="s">
        <v>562</v>
      </c>
      <c r="B518" t="s">
        <v>11</v>
      </c>
      <c r="C518">
        <v>21</v>
      </c>
      <c r="D518" t="s">
        <v>32</v>
      </c>
      <c r="E518" t="s">
        <v>19</v>
      </c>
      <c r="F518" t="s">
        <v>36</v>
      </c>
      <c r="G518">
        <v>40</v>
      </c>
      <c r="H518" s="1">
        <v>44077</v>
      </c>
      <c r="I518" t="s">
        <v>29</v>
      </c>
      <c r="J518" t="s">
        <v>16</v>
      </c>
    </row>
    <row r="519" spans="1:10" x14ac:dyDescent="0.3">
      <c r="A519" t="s">
        <v>563</v>
      </c>
      <c r="B519" t="s">
        <v>24</v>
      </c>
      <c r="C519">
        <v>39</v>
      </c>
      <c r="D519" t="s">
        <v>12</v>
      </c>
      <c r="E519" t="s">
        <v>13</v>
      </c>
      <c r="F519" t="s">
        <v>25</v>
      </c>
      <c r="G519">
        <v>39</v>
      </c>
      <c r="H519" s="1">
        <v>44117</v>
      </c>
      <c r="I519" t="s">
        <v>47</v>
      </c>
      <c r="J519" t="s">
        <v>16</v>
      </c>
    </row>
    <row r="520" spans="1:10" x14ac:dyDescent="0.3">
      <c r="A520" t="s">
        <v>564</v>
      </c>
      <c r="B520" t="s">
        <v>42</v>
      </c>
      <c r="C520">
        <v>20</v>
      </c>
      <c r="D520" t="s">
        <v>32</v>
      </c>
      <c r="E520" t="s">
        <v>19</v>
      </c>
      <c r="F520" t="s">
        <v>56</v>
      </c>
      <c r="G520">
        <v>45</v>
      </c>
      <c r="H520" s="1">
        <v>43929</v>
      </c>
      <c r="I520" t="s">
        <v>47</v>
      </c>
      <c r="J520" t="s">
        <v>27</v>
      </c>
    </row>
    <row r="521" spans="1:10" x14ac:dyDescent="0.3">
      <c r="A521" t="s">
        <v>565</v>
      </c>
      <c r="B521" t="s">
        <v>24</v>
      </c>
      <c r="C521">
        <v>29</v>
      </c>
      <c r="D521" t="s">
        <v>18</v>
      </c>
      <c r="E521" t="s">
        <v>13</v>
      </c>
      <c r="F521" t="s">
        <v>88</v>
      </c>
      <c r="G521">
        <v>31</v>
      </c>
      <c r="H521" s="1">
        <v>44352</v>
      </c>
      <c r="I521" t="s">
        <v>39</v>
      </c>
      <c r="J521" t="s">
        <v>16</v>
      </c>
    </row>
    <row r="522" spans="1:10" x14ac:dyDescent="0.3">
      <c r="A522" t="s">
        <v>566</v>
      </c>
      <c r="B522" t="s">
        <v>31</v>
      </c>
      <c r="C522">
        <v>22</v>
      </c>
      <c r="D522" t="s">
        <v>32</v>
      </c>
      <c r="E522" t="s">
        <v>13</v>
      </c>
      <c r="F522" t="s">
        <v>56</v>
      </c>
      <c r="G522">
        <v>20</v>
      </c>
      <c r="H522" s="1">
        <v>44666</v>
      </c>
      <c r="I522" t="s">
        <v>34</v>
      </c>
      <c r="J522" t="s">
        <v>65</v>
      </c>
    </row>
    <row r="523" spans="1:10" x14ac:dyDescent="0.3">
      <c r="A523" t="s">
        <v>567</v>
      </c>
      <c r="B523" t="s">
        <v>61</v>
      </c>
      <c r="C523">
        <v>33</v>
      </c>
      <c r="D523" t="s">
        <v>18</v>
      </c>
      <c r="E523" t="s">
        <v>19</v>
      </c>
      <c r="F523" t="s">
        <v>56</v>
      </c>
      <c r="G523">
        <v>13</v>
      </c>
      <c r="H523" s="1">
        <v>44875</v>
      </c>
      <c r="I523" t="s">
        <v>26</v>
      </c>
      <c r="J523" t="s">
        <v>22</v>
      </c>
    </row>
    <row r="524" spans="1:10" x14ac:dyDescent="0.3">
      <c r="A524" t="s">
        <v>568</v>
      </c>
      <c r="B524" t="s">
        <v>61</v>
      </c>
      <c r="C524">
        <v>36</v>
      </c>
      <c r="D524" t="s">
        <v>12</v>
      </c>
      <c r="E524" t="s">
        <v>13</v>
      </c>
      <c r="F524" t="s">
        <v>25</v>
      </c>
      <c r="G524">
        <v>44</v>
      </c>
      <c r="H524" s="1">
        <v>43954</v>
      </c>
      <c r="I524" t="s">
        <v>15</v>
      </c>
      <c r="J524" t="s">
        <v>22</v>
      </c>
    </row>
    <row r="525" spans="1:10" x14ac:dyDescent="0.3">
      <c r="A525" t="s">
        <v>569</v>
      </c>
      <c r="B525" t="s">
        <v>24</v>
      </c>
      <c r="C525">
        <v>34</v>
      </c>
      <c r="D525" t="s">
        <v>18</v>
      </c>
      <c r="E525" t="s">
        <v>13</v>
      </c>
      <c r="F525" t="s">
        <v>25</v>
      </c>
      <c r="G525">
        <v>38</v>
      </c>
      <c r="H525" s="1">
        <v>44126</v>
      </c>
      <c r="I525" t="s">
        <v>29</v>
      </c>
      <c r="J525" t="s">
        <v>16</v>
      </c>
    </row>
    <row r="526" spans="1:10" x14ac:dyDescent="0.3">
      <c r="A526" t="s">
        <v>570</v>
      </c>
      <c r="B526" t="s">
        <v>11</v>
      </c>
      <c r="C526">
        <v>20</v>
      </c>
      <c r="D526" t="s">
        <v>32</v>
      </c>
      <c r="E526" t="s">
        <v>13</v>
      </c>
      <c r="F526" t="s">
        <v>33</v>
      </c>
      <c r="G526">
        <v>17</v>
      </c>
      <c r="H526" s="1">
        <v>44759</v>
      </c>
      <c r="I526" t="s">
        <v>39</v>
      </c>
      <c r="J526" t="s">
        <v>16</v>
      </c>
    </row>
    <row r="527" spans="1:10" x14ac:dyDescent="0.3">
      <c r="A527" t="s">
        <v>571</v>
      </c>
      <c r="B527" t="s">
        <v>24</v>
      </c>
      <c r="C527">
        <v>48</v>
      </c>
      <c r="D527" t="s">
        <v>46</v>
      </c>
      <c r="E527" t="s">
        <v>13</v>
      </c>
      <c r="F527" t="s">
        <v>54</v>
      </c>
      <c r="G527">
        <v>36</v>
      </c>
      <c r="H527" s="1">
        <v>44183</v>
      </c>
      <c r="I527" t="s">
        <v>49</v>
      </c>
      <c r="J527" t="s">
        <v>22</v>
      </c>
    </row>
    <row r="528" spans="1:10" x14ac:dyDescent="0.3">
      <c r="A528" t="s">
        <v>572</v>
      </c>
      <c r="B528" t="s">
        <v>11</v>
      </c>
      <c r="C528">
        <v>18</v>
      </c>
      <c r="D528" t="s">
        <v>32</v>
      </c>
      <c r="E528" t="s">
        <v>19</v>
      </c>
      <c r="F528" t="s">
        <v>88</v>
      </c>
      <c r="G528">
        <v>41</v>
      </c>
      <c r="H528" s="1">
        <v>44060</v>
      </c>
      <c r="I528" t="s">
        <v>15</v>
      </c>
      <c r="J528" t="s">
        <v>22</v>
      </c>
    </row>
    <row r="529" spans="1:10" x14ac:dyDescent="0.3">
      <c r="A529" t="s">
        <v>573</v>
      </c>
      <c r="B529" t="s">
        <v>31</v>
      </c>
      <c r="C529">
        <v>36</v>
      </c>
      <c r="D529" t="s">
        <v>12</v>
      </c>
      <c r="E529" t="s">
        <v>13</v>
      </c>
      <c r="F529" t="s">
        <v>36</v>
      </c>
      <c r="G529">
        <v>54</v>
      </c>
      <c r="H529" s="1">
        <v>43643</v>
      </c>
      <c r="I529" t="s">
        <v>29</v>
      </c>
      <c r="J529" t="s">
        <v>16</v>
      </c>
    </row>
    <row r="530" spans="1:10" x14ac:dyDescent="0.3">
      <c r="A530" t="s">
        <v>574</v>
      </c>
      <c r="B530" t="s">
        <v>11</v>
      </c>
      <c r="C530">
        <v>19</v>
      </c>
      <c r="D530" t="s">
        <v>32</v>
      </c>
      <c r="E530" t="s">
        <v>13</v>
      </c>
      <c r="F530" t="s">
        <v>14</v>
      </c>
      <c r="G530">
        <v>40</v>
      </c>
      <c r="H530" s="1">
        <v>44072</v>
      </c>
      <c r="I530" t="s">
        <v>49</v>
      </c>
      <c r="J530" t="s">
        <v>27</v>
      </c>
    </row>
    <row r="531" spans="1:10" x14ac:dyDescent="0.3">
      <c r="A531" t="s">
        <v>575</v>
      </c>
      <c r="B531" t="s">
        <v>11</v>
      </c>
      <c r="C531">
        <v>18</v>
      </c>
      <c r="D531" t="s">
        <v>32</v>
      </c>
      <c r="E531" t="s">
        <v>19</v>
      </c>
      <c r="F531" t="s">
        <v>56</v>
      </c>
      <c r="G531">
        <v>18</v>
      </c>
      <c r="H531" s="1">
        <v>44741</v>
      </c>
      <c r="I531" t="s">
        <v>62</v>
      </c>
      <c r="J531" t="s">
        <v>16</v>
      </c>
    </row>
    <row r="532" spans="1:10" x14ac:dyDescent="0.3">
      <c r="A532" t="s">
        <v>576</v>
      </c>
      <c r="B532" t="s">
        <v>24</v>
      </c>
      <c r="C532">
        <v>38</v>
      </c>
      <c r="D532" t="s">
        <v>12</v>
      </c>
      <c r="E532" t="s">
        <v>19</v>
      </c>
      <c r="F532" t="s">
        <v>56</v>
      </c>
      <c r="G532">
        <v>19</v>
      </c>
      <c r="H532" s="1">
        <v>44703</v>
      </c>
      <c r="I532" t="s">
        <v>49</v>
      </c>
      <c r="J532" t="s">
        <v>16</v>
      </c>
    </row>
    <row r="533" spans="1:10" x14ac:dyDescent="0.3">
      <c r="A533" t="s">
        <v>577</v>
      </c>
      <c r="B533" t="s">
        <v>61</v>
      </c>
      <c r="C533">
        <v>39</v>
      </c>
      <c r="D533" t="s">
        <v>12</v>
      </c>
      <c r="E533" t="s">
        <v>13</v>
      </c>
      <c r="F533" t="s">
        <v>38</v>
      </c>
      <c r="G533">
        <v>25</v>
      </c>
      <c r="H533" s="1">
        <v>44525</v>
      </c>
      <c r="I533" t="s">
        <v>47</v>
      </c>
      <c r="J533" t="s">
        <v>27</v>
      </c>
    </row>
    <row r="534" spans="1:10" x14ac:dyDescent="0.3">
      <c r="A534" t="s">
        <v>578</v>
      </c>
      <c r="B534" t="s">
        <v>11</v>
      </c>
      <c r="C534">
        <v>18</v>
      </c>
      <c r="D534" t="s">
        <v>32</v>
      </c>
      <c r="E534" t="s">
        <v>19</v>
      </c>
      <c r="F534" t="s">
        <v>14</v>
      </c>
      <c r="G534">
        <v>1</v>
      </c>
      <c r="H534" s="1">
        <v>45245</v>
      </c>
      <c r="I534" t="s">
        <v>21</v>
      </c>
      <c r="J534" t="s">
        <v>16</v>
      </c>
    </row>
    <row r="535" spans="1:10" x14ac:dyDescent="0.3">
      <c r="A535" t="s">
        <v>579</v>
      </c>
      <c r="B535" t="s">
        <v>31</v>
      </c>
      <c r="C535">
        <v>26</v>
      </c>
      <c r="D535" t="s">
        <v>18</v>
      </c>
      <c r="E535" t="s">
        <v>13</v>
      </c>
      <c r="F535" t="s">
        <v>20</v>
      </c>
      <c r="G535">
        <v>50</v>
      </c>
      <c r="H535" s="1">
        <v>43781</v>
      </c>
      <c r="I535" t="s">
        <v>15</v>
      </c>
      <c r="J535" t="s">
        <v>27</v>
      </c>
    </row>
    <row r="536" spans="1:10" x14ac:dyDescent="0.3">
      <c r="A536" t="s">
        <v>580</v>
      </c>
      <c r="B536" t="s">
        <v>11</v>
      </c>
      <c r="C536">
        <v>26</v>
      </c>
      <c r="D536" t="s">
        <v>18</v>
      </c>
      <c r="E536" t="s">
        <v>13</v>
      </c>
      <c r="F536" t="s">
        <v>36</v>
      </c>
      <c r="G536">
        <v>59</v>
      </c>
      <c r="H536" s="1">
        <v>43516</v>
      </c>
      <c r="I536" t="s">
        <v>62</v>
      </c>
      <c r="J536" t="s">
        <v>16</v>
      </c>
    </row>
    <row r="537" spans="1:10" x14ac:dyDescent="0.3">
      <c r="A537" t="s">
        <v>581</v>
      </c>
      <c r="B537" t="s">
        <v>24</v>
      </c>
      <c r="C537">
        <v>30</v>
      </c>
      <c r="D537" t="s">
        <v>18</v>
      </c>
      <c r="E537" t="s">
        <v>19</v>
      </c>
      <c r="F537" t="s">
        <v>33</v>
      </c>
      <c r="G537">
        <v>21</v>
      </c>
      <c r="H537" s="1">
        <v>44649</v>
      </c>
      <c r="I537" t="s">
        <v>34</v>
      </c>
      <c r="J537" t="s">
        <v>27</v>
      </c>
    </row>
    <row r="538" spans="1:10" x14ac:dyDescent="0.3">
      <c r="A538" t="s">
        <v>582</v>
      </c>
      <c r="B538" t="s">
        <v>42</v>
      </c>
      <c r="C538">
        <v>53</v>
      </c>
      <c r="D538" t="s">
        <v>46</v>
      </c>
      <c r="E538" t="s">
        <v>105</v>
      </c>
      <c r="F538" t="s">
        <v>20</v>
      </c>
      <c r="G538">
        <v>27</v>
      </c>
      <c r="H538" s="1">
        <v>44462</v>
      </c>
      <c r="I538" t="s">
        <v>29</v>
      </c>
      <c r="J538" t="s">
        <v>27</v>
      </c>
    </row>
    <row r="539" spans="1:10" x14ac:dyDescent="0.3">
      <c r="A539" t="s">
        <v>583</v>
      </c>
      <c r="B539" t="s">
        <v>11</v>
      </c>
      <c r="C539">
        <v>26</v>
      </c>
      <c r="D539" t="s">
        <v>18</v>
      </c>
      <c r="E539" t="s">
        <v>13</v>
      </c>
      <c r="F539" t="s">
        <v>20</v>
      </c>
      <c r="G539">
        <v>5</v>
      </c>
      <c r="H539" s="1">
        <v>45120</v>
      </c>
      <c r="I539" t="s">
        <v>49</v>
      </c>
      <c r="J539" t="s">
        <v>16</v>
      </c>
    </row>
    <row r="540" spans="1:10" x14ac:dyDescent="0.3">
      <c r="A540" t="s">
        <v>584</v>
      </c>
      <c r="B540" t="s">
        <v>61</v>
      </c>
      <c r="C540">
        <v>36</v>
      </c>
      <c r="D540" t="s">
        <v>12</v>
      </c>
      <c r="E540" t="s">
        <v>13</v>
      </c>
      <c r="F540" t="s">
        <v>64</v>
      </c>
      <c r="G540">
        <v>33</v>
      </c>
      <c r="H540" s="1">
        <v>44283</v>
      </c>
      <c r="I540" t="s">
        <v>29</v>
      </c>
      <c r="J540" t="s">
        <v>27</v>
      </c>
    </row>
    <row r="541" spans="1:10" x14ac:dyDescent="0.3">
      <c r="A541" t="s">
        <v>585</v>
      </c>
      <c r="B541" t="s">
        <v>31</v>
      </c>
      <c r="C541">
        <v>45</v>
      </c>
      <c r="D541" t="s">
        <v>46</v>
      </c>
      <c r="E541" t="s">
        <v>19</v>
      </c>
      <c r="F541" t="s">
        <v>36</v>
      </c>
      <c r="G541">
        <v>19</v>
      </c>
      <c r="H541" s="1">
        <v>44698</v>
      </c>
      <c r="I541" t="s">
        <v>15</v>
      </c>
      <c r="J541" t="s">
        <v>16</v>
      </c>
    </row>
    <row r="542" spans="1:10" x14ac:dyDescent="0.3">
      <c r="A542" t="s">
        <v>586</v>
      </c>
      <c r="B542" t="s">
        <v>11</v>
      </c>
      <c r="C542">
        <v>28</v>
      </c>
      <c r="D542" t="s">
        <v>18</v>
      </c>
      <c r="E542" t="s">
        <v>13</v>
      </c>
      <c r="F542" t="s">
        <v>36</v>
      </c>
      <c r="G542">
        <v>24</v>
      </c>
      <c r="H542" s="1">
        <v>44552</v>
      </c>
      <c r="I542" t="s">
        <v>21</v>
      </c>
      <c r="J542" t="s">
        <v>27</v>
      </c>
    </row>
    <row r="543" spans="1:10" x14ac:dyDescent="0.3">
      <c r="A543" t="s">
        <v>587</v>
      </c>
      <c r="B543" t="s">
        <v>24</v>
      </c>
      <c r="C543">
        <v>41</v>
      </c>
      <c r="D543" t="s">
        <v>12</v>
      </c>
      <c r="E543" t="s">
        <v>19</v>
      </c>
      <c r="F543" t="s">
        <v>20</v>
      </c>
      <c r="G543">
        <v>60</v>
      </c>
      <c r="H543" s="1">
        <v>43480</v>
      </c>
      <c r="I543" t="s">
        <v>39</v>
      </c>
      <c r="J543" t="s">
        <v>16</v>
      </c>
    </row>
    <row r="544" spans="1:10" x14ac:dyDescent="0.3">
      <c r="A544" t="s">
        <v>588</v>
      </c>
      <c r="B544" t="s">
        <v>31</v>
      </c>
      <c r="C544">
        <v>46</v>
      </c>
      <c r="D544" t="s">
        <v>46</v>
      </c>
      <c r="E544" t="s">
        <v>13</v>
      </c>
      <c r="F544" t="s">
        <v>38</v>
      </c>
      <c r="G544">
        <v>35</v>
      </c>
      <c r="H544" s="1">
        <v>44229</v>
      </c>
      <c r="I544" t="s">
        <v>34</v>
      </c>
      <c r="J544" t="s">
        <v>27</v>
      </c>
    </row>
    <row r="545" spans="1:10" x14ac:dyDescent="0.3">
      <c r="A545" t="s">
        <v>589</v>
      </c>
      <c r="B545" t="s">
        <v>24</v>
      </c>
      <c r="C545">
        <v>44</v>
      </c>
      <c r="D545" t="s">
        <v>12</v>
      </c>
      <c r="E545" t="s">
        <v>13</v>
      </c>
      <c r="F545" t="s">
        <v>38</v>
      </c>
      <c r="G545">
        <v>49</v>
      </c>
      <c r="H545" s="1">
        <v>43810</v>
      </c>
      <c r="I545" t="s">
        <v>39</v>
      </c>
      <c r="J545" t="s">
        <v>27</v>
      </c>
    </row>
    <row r="546" spans="1:10" x14ac:dyDescent="0.3">
      <c r="A546" t="s">
        <v>590</v>
      </c>
      <c r="B546" t="s">
        <v>31</v>
      </c>
      <c r="C546">
        <v>40</v>
      </c>
      <c r="D546" t="s">
        <v>12</v>
      </c>
      <c r="E546" t="s">
        <v>13</v>
      </c>
      <c r="F546" t="s">
        <v>38</v>
      </c>
      <c r="G546">
        <v>13</v>
      </c>
      <c r="H546" s="1">
        <v>44900</v>
      </c>
      <c r="I546" t="s">
        <v>21</v>
      </c>
      <c r="J546" t="s">
        <v>16</v>
      </c>
    </row>
    <row r="547" spans="1:10" x14ac:dyDescent="0.3">
      <c r="A547" t="s">
        <v>591</v>
      </c>
      <c r="B547" t="s">
        <v>11</v>
      </c>
      <c r="C547">
        <v>30</v>
      </c>
      <c r="D547" t="s">
        <v>18</v>
      </c>
      <c r="E547" t="s">
        <v>13</v>
      </c>
      <c r="F547" t="s">
        <v>25</v>
      </c>
      <c r="G547">
        <v>58</v>
      </c>
      <c r="H547" s="1">
        <v>43549</v>
      </c>
      <c r="I547" t="s">
        <v>62</v>
      </c>
      <c r="J547" t="s">
        <v>27</v>
      </c>
    </row>
    <row r="548" spans="1:10" x14ac:dyDescent="0.3">
      <c r="A548" t="s">
        <v>592</v>
      </c>
      <c r="B548" t="s">
        <v>61</v>
      </c>
      <c r="C548">
        <v>41</v>
      </c>
      <c r="D548" t="s">
        <v>12</v>
      </c>
      <c r="E548" t="s">
        <v>13</v>
      </c>
      <c r="F548" t="s">
        <v>25</v>
      </c>
      <c r="G548">
        <v>29</v>
      </c>
      <c r="H548" s="1">
        <v>44399</v>
      </c>
      <c r="I548" t="s">
        <v>47</v>
      </c>
      <c r="J548" t="s">
        <v>65</v>
      </c>
    </row>
    <row r="549" spans="1:10" x14ac:dyDescent="0.3">
      <c r="A549" t="s">
        <v>593</v>
      </c>
      <c r="B549" t="s">
        <v>42</v>
      </c>
      <c r="C549">
        <v>24</v>
      </c>
      <c r="D549" t="s">
        <v>32</v>
      </c>
      <c r="E549" t="s">
        <v>13</v>
      </c>
      <c r="F549" t="s">
        <v>20</v>
      </c>
      <c r="G549">
        <v>43</v>
      </c>
      <c r="H549" s="1">
        <v>43983</v>
      </c>
      <c r="I549" t="s">
        <v>15</v>
      </c>
      <c r="J549" t="s">
        <v>65</v>
      </c>
    </row>
    <row r="550" spans="1:10" x14ac:dyDescent="0.3">
      <c r="A550" t="s">
        <v>594</v>
      </c>
      <c r="B550" t="s">
        <v>24</v>
      </c>
      <c r="C550">
        <v>47</v>
      </c>
      <c r="D550" t="s">
        <v>46</v>
      </c>
      <c r="E550" t="s">
        <v>13</v>
      </c>
      <c r="F550" t="s">
        <v>14</v>
      </c>
      <c r="G550">
        <v>45</v>
      </c>
      <c r="H550" s="1">
        <v>43931</v>
      </c>
      <c r="I550" t="s">
        <v>34</v>
      </c>
      <c r="J550" t="s">
        <v>16</v>
      </c>
    </row>
    <row r="551" spans="1:10" x14ac:dyDescent="0.3">
      <c r="A551" t="s">
        <v>595</v>
      </c>
      <c r="B551" t="s">
        <v>31</v>
      </c>
      <c r="C551">
        <v>39</v>
      </c>
      <c r="D551" t="s">
        <v>12</v>
      </c>
      <c r="E551" t="s">
        <v>13</v>
      </c>
      <c r="F551" t="s">
        <v>56</v>
      </c>
      <c r="G551">
        <v>44</v>
      </c>
      <c r="H551" s="1">
        <v>43970</v>
      </c>
      <c r="I551" t="s">
        <v>49</v>
      </c>
      <c r="J551" t="s">
        <v>22</v>
      </c>
    </row>
    <row r="552" spans="1:10" x14ac:dyDescent="0.3">
      <c r="A552" t="s">
        <v>596</v>
      </c>
      <c r="B552" t="s">
        <v>61</v>
      </c>
      <c r="C552">
        <v>31</v>
      </c>
      <c r="D552" t="s">
        <v>18</v>
      </c>
      <c r="E552" t="s">
        <v>13</v>
      </c>
      <c r="F552" t="s">
        <v>33</v>
      </c>
      <c r="G552">
        <v>44</v>
      </c>
      <c r="H552" s="1">
        <v>43951</v>
      </c>
      <c r="I552" t="s">
        <v>15</v>
      </c>
      <c r="J552" t="s">
        <v>27</v>
      </c>
    </row>
    <row r="553" spans="1:10" x14ac:dyDescent="0.3">
      <c r="A553" t="s">
        <v>597</v>
      </c>
      <c r="B553" t="s">
        <v>31</v>
      </c>
      <c r="C553">
        <v>20</v>
      </c>
      <c r="D553" t="s">
        <v>32</v>
      </c>
      <c r="E553" t="s">
        <v>13</v>
      </c>
      <c r="F553" t="s">
        <v>14</v>
      </c>
      <c r="G553">
        <v>14</v>
      </c>
      <c r="H553" s="1">
        <v>44849</v>
      </c>
      <c r="I553" t="s">
        <v>39</v>
      </c>
      <c r="J553" t="s">
        <v>27</v>
      </c>
    </row>
    <row r="554" spans="1:10" x14ac:dyDescent="0.3">
      <c r="A554" t="s">
        <v>598</v>
      </c>
      <c r="B554" t="s">
        <v>31</v>
      </c>
      <c r="C554">
        <v>43</v>
      </c>
      <c r="D554" t="s">
        <v>12</v>
      </c>
      <c r="E554" t="s">
        <v>19</v>
      </c>
      <c r="F554" t="s">
        <v>64</v>
      </c>
      <c r="G554">
        <v>45</v>
      </c>
      <c r="H554" s="1">
        <v>43935</v>
      </c>
      <c r="I554" t="s">
        <v>21</v>
      </c>
      <c r="J554" t="s">
        <v>22</v>
      </c>
    </row>
    <row r="555" spans="1:10" x14ac:dyDescent="0.3">
      <c r="A555" t="s">
        <v>599</v>
      </c>
      <c r="B555" t="s">
        <v>42</v>
      </c>
      <c r="C555">
        <v>39</v>
      </c>
      <c r="D555" t="s">
        <v>12</v>
      </c>
      <c r="E555" t="s">
        <v>19</v>
      </c>
      <c r="F555" t="s">
        <v>54</v>
      </c>
      <c r="G555">
        <v>31</v>
      </c>
      <c r="H555" s="1">
        <v>44357</v>
      </c>
      <c r="I555" t="s">
        <v>47</v>
      </c>
      <c r="J555" t="s">
        <v>16</v>
      </c>
    </row>
    <row r="556" spans="1:10" x14ac:dyDescent="0.3">
      <c r="A556" t="s">
        <v>600</v>
      </c>
      <c r="B556" t="s">
        <v>61</v>
      </c>
      <c r="C556">
        <v>41</v>
      </c>
      <c r="D556" t="s">
        <v>12</v>
      </c>
      <c r="E556" t="s">
        <v>13</v>
      </c>
      <c r="F556" t="s">
        <v>38</v>
      </c>
      <c r="G556">
        <v>30</v>
      </c>
      <c r="H556" s="1">
        <v>44390</v>
      </c>
      <c r="I556" t="s">
        <v>26</v>
      </c>
      <c r="J556" t="s">
        <v>27</v>
      </c>
    </row>
    <row r="557" spans="1:10" x14ac:dyDescent="0.3">
      <c r="A557" t="s">
        <v>601</v>
      </c>
      <c r="B557" t="s">
        <v>24</v>
      </c>
      <c r="C557">
        <v>25</v>
      </c>
      <c r="D557" t="s">
        <v>18</v>
      </c>
      <c r="E557" t="s">
        <v>19</v>
      </c>
      <c r="F557" t="s">
        <v>56</v>
      </c>
      <c r="G557">
        <v>28</v>
      </c>
      <c r="H557" s="1">
        <v>44447</v>
      </c>
      <c r="I557" t="s">
        <v>49</v>
      </c>
      <c r="J557" t="s">
        <v>16</v>
      </c>
    </row>
    <row r="558" spans="1:10" x14ac:dyDescent="0.3">
      <c r="A558" t="s">
        <v>602</v>
      </c>
      <c r="B558" t="s">
        <v>42</v>
      </c>
      <c r="C558">
        <v>23</v>
      </c>
      <c r="D558" t="s">
        <v>32</v>
      </c>
      <c r="E558" t="s">
        <v>19</v>
      </c>
      <c r="F558" t="s">
        <v>88</v>
      </c>
      <c r="G558">
        <v>37</v>
      </c>
      <c r="H558" s="1">
        <v>44162</v>
      </c>
      <c r="I558" t="s">
        <v>39</v>
      </c>
      <c r="J558" t="s">
        <v>27</v>
      </c>
    </row>
    <row r="559" spans="1:10" x14ac:dyDescent="0.3">
      <c r="A559" t="s">
        <v>603</v>
      </c>
      <c r="B559" t="s">
        <v>31</v>
      </c>
      <c r="C559">
        <v>49</v>
      </c>
      <c r="D559" t="s">
        <v>46</v>
      </c>
      <c r="E559" t="s">
        <v>13</v>
      </c>
      <c r="F559" t="s">
        <v>25</v>
      </c>
      <c r="G559">
        <v>59</v>
      </c>
      <c r="H559" s="1">
        <v>43498</v>
      </c>
      <c r="I559" t="s">
        <v>62</v>
      </c>
      <c r="J559" t="s">
        <v>22</v>
      </c>
    </row>
    <row r="560" spans="1:10" x14ac:dyDescent="0.3">
      <c r="A560" t="s">
        <v>604</v>
      </c>
      <c r="B560" t="s">
        <v>24</v>
      </c>
      <c r="C560">
        <v>40</v>
      </c>
      <c r="D560" t="s">
        <v>12</v>
      </c>
      <c r="E560" t="s">
        <v>13</v>
      </c>
      <c r="F560" t="s">
        <v>38</v>
      </c>
      <c r="G560">
        <v>27</v>
      </c>
      <c r="H560" s="1">
        <v>44474</v>
      </c>
      <c r="I560" t="s">
        <v>39</v>
      </c>
      <c r="J560" t="s">
        <v>16</v>
      </c>
    </row>
    <row r="561" spans="1:10" x14ac:dyDescent="0.3">
      <c r="A561" t="s">
        <v>605</v>
      </c>
      <c r="B561" t="s">
        <v>24</v>
      </c>
      <c r="C561">
        <v>18</v>
      </c>
      <c r="D561" t="s">
        <v>32</v>
      </c>
      <c r="E561" t="s">
        <v>13</v>
      </c>
      <c r="F561" t="s">
        <v>36</v>
      </c>
      <c r="G561">
        <v>3</v>
      </c>
      <c r="H561" s="1">
        <v>45192</v>
      </c>
      <c r="I561" t="s">
        <v>34</v>
      </c>
      <c r="J561" t="s">
        <v>27</v>
      </c>
    </row>
    <row r="562" spans="1:10" x14ac:dyDescent="0.3">
      <c r="A562" t="s">
        <v>606</v>
      </c>
      <c r="B562" t="s">
        <v>42</v>
      </c>
      <c r="C562">
        <v>27</v>
      </c>
      <c r="D562" t="s">
        <v>18</v>
      </c>
      <c r="E562" t="s">
        <v>13</v>
      </c>
      <c r="F562" t="s">
        <v>38</v>
      </c>
      <c r="G562">
        <v>44</v>
      </c>
      <c r="H562" s="1">
        <v>43943</v>
      </c>
      <c r="I562" t="s">
        <v>49</v>
      </c>
      <c r="J562" t="s">
        <v>27</v>
      </c>
    </row>
    <row r="563" spans="1:10" x14ac:dyDescent="0.3">
      <c r="A563" t="s">
        <v>607</v>
      </c>
      <c r="B563" t="s">
        <v>11</v>
      </c>
      <c r="C563">
        <v>39</v>
      </c>
      <c r="D563" t="s">
        <v>12</v>
      </c>
      <c r="E563" t="s">
        <v>13</v>
      </c>
      <c r="F563" t="s">
        <v>14</v>
      </c>
      <c r="G563">
        <v>51</v>
      </c>
      <c r="H563" s="1">
        <v>43759</v>
      </c>
      <c r="I563" t="s">
        <v>49</v>
      </c>
      <c r="J563" t="s">
        <v>22</v>
      </c>
    </row>
    <row r="564" spans="1:10" x14ac:dyDescent="0.3">
      <c r="A564" t="s">
        <v>608</v>
      </c>
      <c r="B564" t="s">
        <v>11</v>
      </c>
      <c r="C564">
        <v>24</v>
      </c>
      <c r="D564" t="s">
        <v>32</v>
      </c>
      <c r="E564" t="s">
        <v>13</v>
      </c>
      <c r="F564" t="s">
        <v>54</v>
      </c>
      <c r="G564">
        <v>56</v>
      </c>
      <c r="H564" s="1">
        <v>43591</v>
      </c>
      <c r="I564" t="s">
        <v>26</v>
      </c>
      <c r="J564" t="s">
        <v>16</v>
      </c>
    </row>
    <row r="565" spans="1:10" x14ac:dyDescent="0.3">
      <c r="A565" t="s">
        <v>609</v>
      </c>
      <c r="B565" t="s">
        <v>24</v>
      </c>
      <c r="C565">
        <v>34</v>
      </c>
      <c r="D565" t="s">
        <v>18</v>
      </c>
      <c r="E565" t="s">
        <v>19</v>
      </c>
      <c r="F565" t="s">
        <v>38</v>
      </c>
      <c r="G565">
        <v>31</v>
      </c>
      <c r="H565" s="1">
        <v>44340</v>
      </c>
      <c r="I565" t="s">
        <v>15</v>
      </c>
      <c r="J565" t="s">
        <v>16</v>
      </c>
    </row>
    <row r="566" spans="1:10" x14ac:dyDescent="0.3">
      <c r="A566" t="s">
        <v>610</v>
      </c>
      <c r="B566" t="s">
        <v>11</v>
      </c>
      <c r="C566">
        <v>18</v>
      </c>
      <c r="D566" t="s">
        <v>32</v>
      </c>
      <c r="E566" t="s">
        <v>13</v>
      </c>
      <c r="F566" t="s">
        <v>38</v>
      </c>
      <c r="G566">
        <v>26</v>
      </c>
      <c r="H566" s="1">
        <v>44489</v>
      </c>
      <c r="I566" t="s">
        <v>29</v>
      </c>
      <c r="J566" t="s">
        <v>16</v>
      </c>
    </row>
    <row r="567" spans="1:10" x14ac:dyDescent="0.3">
      <c r="A567" t="s">
        <v>611</v>
      </c>
      <c r="B567" t="s">
        <v>42</v>
      </c>
      <c r="C567">
        <v>38</v>
      </c>
      <c r="D567" t="s">
        <v>12</v>
      </c>
      <c r="E567" t="s">
        <v>13</v>
      </c>
      <c r="F567" t="s">
        <v>20</v>
      </c>
      <c r="G567">
        <v>36</v>
      </c>
      <c r="H567" s="1">
        <v>44193</v>
      </c>
      <c r="I567" t="s">
        <v>47</v>
      </c>
      <c r="J567" t="s">
        <v>27</v>
      </c>
    </row>
    <row r="568" spans="1:10" x14ac:dyDescent="0.3">
      <c r="A568" t="s">
        <v>612</v>
      </c>
      <c r="B568" t="s">
        <v>61</v>
      </c>
      <c r="C568">
        <v>30</v>
      </c>
      <c r="D568" t="s">
        <v>18</v>
      </c>
      <c r="E568" t="s">
        <v>19</v>
      </c>
      <c r="F568" t="s">
        <v>56</v>
      </c>
      <c r="G568">
        <v>46</v>
      </c>
      <c r="H568" s="1">
        <v>43900</v>
      </c>
      <c r="I568" t="s">
        <v>49</v>
      </c>
      <c r="J568" t="s">
        <v>27</v>
      </c>
    </row>
    <row r="569" spans="1:10" x14ac:dyDescent="0.3">
      <c r="A569" t="s">
        <v>613</v>
      </c>
      <c r="B569" t="s">
        <v>11</v>
      </c>
      <c r="C569">
        <v>30</v>
      </c>
      <c r="D569" t="s">
        <v>18</v>
      </c>
      <c r="E569" t="s">
        <v>19</v>
      </c>
      <c r="F569" t="s">
        <v>14</v>
      </c>
      <c r="G569">
        <v>48</v>
      </c>
      <c r="H569" s="1">
        <v>43830</v>
      </c>
      <c r="I569" t="s">
        <v>15</v>
      </c>
      <c r="J569" t="s">
        <v>27</v>
      </c>
    </row>
    <row r="570" spans="1:10" x14ac:dyDescent="0.3">
      <c r="A570" t="s">
        <v>614</v>
      </c>
      <c r="B570" t="s">
        <v>24</v>
      </c>
      <c r="C570">
        <v>18</v>
      </c>
      <c r="D570" t="s">
        <v>32</v>
      </c>
      <c r="E570" t="s">
        <v>13</v>
      </c>
      <c r="F570" t="s">
        <v>88</v>
      </c>
      <c r="G570">
        <v>34</v>
      </c>
      <c r="H570" s="1">
        <v>44270</v>
      </c>
      <c r="I570" t="s">
        <v>49</v>
      </c>
      <c r="J570" t="s">
        <v>22</v>
      </c>
    </row>
    <row r="571" spans="1:10" x14ac:dyDescent="0.3">
      <c r="A571" t="s">
        <v>615</v>
      </c>
      <c r="B571" t="s">
        <v>31</v>
      </c>
      <c r="C571">
        <v>29</v>
      </c>
      <c r="D571" t="s">
        <v>18</v>
      </c>
      <c r="E571" t="s">
        <v>19</v>
      </c>
      <c r="F571" t="s">
        <v>88</v>
      </c>
      <c r="G571">
        <v>54</v>
      </c>
      <c r="H571" s="1">
        <v>43655</v>
      </c>
      <c r="I571" t="s">
        <v>62</v>
      </c>
      <c r="J571" t="s">
        <v>16</v>
      </c>
    </row>
    <row r="572" spans="1:10" x14ac:dyDescent="0.3">
      <c r="A572" t="s">
        <v>616</v>
      </c>
      <c r="B572" t="s">
        <v>31</v>
      </c>
      <c r="C572">
        <v>38</v>
      </c>
      <c r="D572" t="s">
        <v>12</v>
      </c>
      <c r="E572" t="s">
        <v>13</v>
      </c>
      <c r="F572" t="s">
        <v>38</v>
      </c>
      <c r="G572">
        <v>8</v>
      </c>
      <c r="H572" s="1">
        <v>45046</v>
      </c>
      <c r="I572" t="s">
        <v>49</v>
      </c>
      <c r="J572" t="s">
        <v>65</v>
      </c>
    </row>
    <row r="573" spans="1:10" x14ac:dyDescent="0.3">
      <c r="A573" t="s">
        <v>617</v>
      </c>
      <c r="B573" t="s">
        <v>11</v>
      </c>
      <c r="C573">
        <v>31</v>
      </c>
      <c r="D573" t="s">
        <v>18</v>
      </c>
      <c r="E573" t="s">
        <v>19</v>
      </c>
      <c r="F573" t="s">
        <v>36</v>
      </c>
      <c r="G573">
        <v>7</v>
      </c>
      <c r="H573" s="1">
        <v>45077</v>
      </c>
      <c r="I573" t="s">
        <v>34</v>
      </c>
      <c r="J573" t="s">
        <v>22</v>
      </c>
    </row>
    <row r="574" spans="1:10" x14ac:dyDescent="0.3">
      <c r="A574" t="s">
        <v>618</v>
      </c>
      <c r="B574" t="s">
        <v>24</v>
      </c>
      <c r="C574">
        <v>24</v>
      </c>
      <c r="D574" t="s">
        <v>32</v>
      </c>
      <c r="E574" t="s">
        <v>13</v>
      </c>
      <c r="F574" t="s">
        <v>14</v>
      </c>
      <c r="G574">
        <v>8</v>
      </c>
      <c r="H574" s="1">
        <v>45026</v>
      </c>
      <c r="I574" t="s">
        <v>21</v>
      </c>
      <c r="J574" t="s">
        <v>16</v>
      </c>
    </row>
    <row r="575" spans="1:10" x14ac:dyDescent="0.3">
      <c r="A575" t="s">
        <v>619</v>
      </c>
      <c r="B575" t="s">
        <v>11</v>
      </c>
      <c r="C575">
        <v>24</v>
      </c>
      <c r="D575" t="s">
        <v>32</v>
      </c>
      <c r="E575" t="s">
        <v>13</v>
      </c>
      <c r="F575" t="s">
        <v>88</v>
      </c>
      <c r="G575">
        <v>37</v>
      </c>
      <c r="H575" s="1">
        <v>44166</v>
      </c>
      <c r="I575" t="s">
        <v>15</v>
      </c>
      <c r="J575" t="s">
        <v>22</v>
      </c>
    </row>
    <row r="576" spans="1:10" x14ac:dyDescent="0.3">
      <c r="A576" t="s">
        <v>620</v>
      </c>
      <c r="B576" t="s">
        <v>31</v>
      </c>
      <c r="C576">
        <v>24</v>
      </c>
      <c r="D576" t="s">
        <v>32</v>
      </c>
      <c r="E576" t="s">
        <v>19</v>
      </c>
      <c r="F576" t="s">
        <v>56</v>
      </c>
      <c r="G576">
        <v>10</v>
      </c>
      <c r="H576" s="1">
        <v>44966</v>
      </c>
      <c r="I576" t="s">
        <v>21</v>
      </c>
      <c r="J576" t="s">
        <v>22</v>
      </c>
    </row>
    <row r="577" spans="1:10" x14ac:dyDescent="0.3">
      <c r="A577" t="s">
        <v>621</v>
      </c>
      <c r="B577" t="s">
        <v>31</v>
      </c>
      <c r="C577">
        <v>18</v>
      </c>
      <c r="D577" t="s">
        <v>32</v>
      </c>
      <c r="E577" t="s">
        <v>105</v>
      </c>
      <c r="F577" t="s">
        <v>88</v>
      </c>
      <c r="G577">
        <v>33</v>
      </c>
      <c r="H577" s="1">
        <v>44283</v>
      </c>
      <c r="I577" t="s">
        <v>15</v>
      </c>
      <c r="J577" t="s">
        <v>27</v>
      </c>
    </row>
    <row r="578" spans="1:10" x14ac:dyDescent="0.3">
      <c r="A578" t="s">
        <v>622</v>
      </c>
      <c r="B578" t="s">
        <v>61</v>
      </c>
      <c r="C578">
        <v>30</v>
      </c>
      <c r="D578" t="s">
        <v>18</v>
      </c>
      <c r="E578" t="s">
        <v>19</v>
      </c>
      <c r="F578" t="s">
        <v>36</v>
      </c>
      <c r="G578">
        <v>50</v>
      </c>
      <c r="H578" s="1">
        <v>43773</v>
      </c>
      <c r="I578" t="s">
        <v>49</v>
      </c>
      <c r="J578" t="s">
        <v>16</v>
      </c>
    </row>
    <row r="579" spans="1:10" x14ac:dyDescent="0.3">
      <c r="A579" t="s">
        <v>623</v>
      </c>
      <c r="B579" t="s">
        <v>24</v>
      </c>
      <c r="C579">
        <v>22</v>
      </c>
      <c r="D579" t="s">
        <v>32</v>
      </c>
      <c r="E579" t="s">
        <v>19</v>
      </c>
      <c r="F579" t="s">
        <v>14</v>
      </c>
      <c r="G579">
        <v>20</v>
      </c>
      <c r="H579" s="1">
        <v>44684</v>
      </c>
      <c r="I579" t="s">
        <v>15</v>
      </c>
      <c r="J579" t="s">
        <v>22</v>
      </c>
    </row>
    <row r="580" spans="1:10" x14ac:dyDescent="0.3">
      <c r="A580" t="s">
        <v>624</v>
      </c>
      <c r="B580" t="s">
        <v>31</v>
      </c>
      <c r="C580">
        <v>31</v>
      </c>
      <c r="D580" t="s">
        <v>18</v>
      </c>
      <c r="E580" t="s">
        <v>13</v>
      </c>
      <c r="F580" t="s">
        <v>36</v>
      </c>
      <c r="G580">
        <v>20</v>
      </c>
      <c r="H580" s="1">
        <v>44666</v>
      </c>
      <c r="I580" t="s">
        <v>39</v>
      </c>
      <c r="J580" t="s">
        <v>16</v>
      </c>
    </row>
    <row r="581" spans="1:10" x14ac:dyDescent="0.3">
      <c r="A581" t="s">
        <v>625</v>
      </c>
      <c r="B581" t="s">
        <v>61</v>
      </c>
      <c r="C581">
        <v>40</v>
      </c>
      <c r="D581" t="s">
        <v>12</v>
      </c>
      <c r="E581" t="s">
        <v>13</v>
      </c>
      <c r="F581" t="s">
        <v>54</v>
      </c>
      <c r="G581">
        <v>4</v>
      </c>
      <c r="H581" s="1">
        <v>45147</v>
      </c>
      <c r="I581" t="s">
        <v>29</v>
      </c>
      <c r="J581" t="s">
        <v>27</v>
      </c>
    </row>
    <row r="582" spans="1:10" x14ac:dyDescent="0.3">
      <c r="A582" t="s">
        <v>626</v>
      </c>
      <c r="B582" t="s">
        <v>31</v>
      </c>
      <c r="C582">
        <v>34</v>
      </c>
      <c r="D582" t="s">
        <v>18</v>
      </c>
      <c r="E582" t="s">
        <v>13</v>
      </c>
      <c r="F582" t="s">
        <v>36</v>
      </c>
      <c r="G582">
        <v>21</v>
      </c>
      <c r="H582" s="1">
        <v>44643</v>
      </c>
      <c r="I582" t="s">
        <v>39</v>
      </c>
      <c r="J582" t="s">
        <v>22</v>
      </c>
    </row>
    <row r="583" spans="1:10" x14ac:dyDescent="0.3">
      <c r="A583" t="s">
        <v>627</v>
      </c>
      <c r="B583" t="s">
        <v>31</v>
      </c>
      <c r="C583">
        <v>32</v>
      </c>
      <c r="D583" t="s">
        <v>18</v>
      </c>
      <c r="E583" t="s">
        <v>13</v>
      </c>
      <c r="F583" t="s">
        <v>36</v>
      </c>
      <c r="G583">
        <v>44</v>
      </c>
      <c r="H583" s="1">
        <v>43949</v>
      </c>
      <c r="I583" t="s">
        <v>62</v>
      </c>
      <c r="J583" t="s">
        <v>16</v>
      </c>
    </row>
    <row r="584" spans="1:10" x14ac:dyDescent="0.3">
      <c r="A584" t="s">
        <v>628</v>
      </c>
      <c r="B584" t="s">
        <v>24</v>
      </c>
      <c r="C584">
        <v>23</v>
      </c>
      <c r="D584" t="s">
        <v>32</v>
      </c>
      <c r="E584" t="s">
        <v>19</v>
      </c>
      <c r="F584" t="s">
        <v>38</v>
      </c>
      <c r="G584">
        <v>23</v>
      </c>
      <c r="H584" s="1">
        <v>44596</v>
      </c>
      <c r="I584" t="s">
        <v>29</v>
      </c>
      <c r="J584" t="s">
        <v>22</v>
      </c>
    </row>
    <row r="585" spans="1:10" x14ac:dyDescent="0.3">
      <c r="A585" t="s">
        <v>629</v>
      </c>
      <c r="B585" t="s">
        <v>42</v>
      </c>
      <c r="C585">
        <v>51</v>
      </c>
      <c r="D585" t="s">
        <v>46</v>
      </c>
      <c r="E585" t="s">
        <v>19</v>
      </c>
      <c r="F585" t="s">
        <v>38</v>
      </c>
      <c r="G585">
        <v>52</v>
      </c>
      <c r="H585" s="1">
        <v>43719</v>
      </c>
      <c r="I585" t="s">
        <v>15</v>
      </c>
      <c r="J585" t="s">
        <v>65</v>
      </c>
    </row>
    <row r="586" spans="1:10" x14ac:dyDescent="0.3">
      <c r="A586" t="s">
        <v>630</v>
      </c>
      <c r="B586" t="s">
        <v>11</v>
      </c>
      <c r="C586">
        <v>23</v>
      </c>
      <c r="D586" t="s">
        <v>32</v>
      </c>
      <c r="E586" t="s">
        <v>19</v>
      </c>
      <c r="F586" t="s">
        <v>25</v>
      </c>
      <c r="G586">
        <v>6</v>
      </c>
      <c r="H586" s="1">
        <v>45089</v>
      </c>
      <c r="I586" t="s">
        <v>29</v>
      </c>
      <c r="J586" t="s">
        <v>27</v>
      </c>
    </row>
    <row r="587" spans="1:10" x14ac:dyDescent="0.3">
      <c r="A587" t="s">
        <v>631</v>
      </c>
      <c r="B587" t="s">
        <v>24</v>
      </c>
      <c r="C587">
        <v>50</v>
      </c>
      <c r="D587" t="s">
        <v>46</v>
      </c>
      <c r="E587" t="s">
        <v>19</v>
      </c>
      <c r="F587" t="s">
        <v>54</v>
      </c>
      <c r="G587">
        <v>40</v>
      </c>
      <c r="H587" s="1">
        <v>44081</v>
      </c>
      <c r="I587" t="s">
        <v>26</v>
      </c>
      <c r="J587" t="s">
        <v>22</v>
      </c>
    </row>
    <row r="588" spans="1:10" x14ac:dyDescent="0.3">
      <c r="A588" t="s">
        <v>632</v>
      </c>
      <c r="B588" t="s">
        <v>42</v>
      </c>
      <c r="C588">
        <v>25</v>
      </c>
      <c r="D588" t="s">
        <v>18</v>
      </c>
      <c r="E588" t="s">
        <v>13</v>
      </c>
      <c r="F588" t="s">
        <v>54</v>
      </c>
      <c r="G588">
        <v>42</v>
      </c>
      <c r="H588" s="1">
        <v>44029</v>
      </c>
      <c r="I588" t="s">
        <v>62</v>
      </c>
      <c r="J588" t="s">
        <v>16</v>
      </c>
    </row>
    <row r="589" spans="1:10" x14ac:dyDescent="0.3">
      <c r="A589" t="s">
        <v>633</v>
      </c>
      <c r="B589" t="s">
        <v>61</v>
      </c>
      <c r="C589">
        <v>18</v>
      </c>
      <c r="D589" t="s">
        <v>32</v>
      </c>
      <c r="E589" t="s">
        <v>19</v>
      </c>
      <c r="F589" t="s">
        <v>54</v>
      </c>
      <c r="G589">
        <v>37</v>
      </c>
      <c r="H589" s="1">
        <v>44165</v>
      </c>
      <c r="I589" t="s">
        <v>15</v>
      </c>
      <c r="J589" t="s">
        <v>16</v>
      </c>
    </row>
    <row r="590" spans="1:10" x14ac:dyDescent="0.3">
      <c r="A590" t="s">
        <v>634</v>
      </c>
      <c r="B590" t="s">
        <v>24</v>
      </c>
      <c r="C590">
        <v>18</v>
      </c>
      <c r="D590" t="s">
        <v>32</v>
      </c>
      <c r="E590" t="s">
        <v>13</v>
      </c>
      <c r="F590" t="s">
        <v>88</v>
      </c>
      <c r="G590">
        <v>17</v>
      </c>
      <c r="H590" s="1">
        <v>44756</v>
      </c>
      <c r="I590" t="s">
        <v>29</v>
      </c>
      <c r="J590" t="s">
        <v>16</v>
      </c>
    </row>
    <row r="591" spans="1:10" x14ac:dyDescent="0.3">
      <c r="A591" t="s">
        <v>635</v>
      </c>
      <c r="B591" t="s">
        <v>31</v>
      </c>
      <c r="C591">
        <v>27</v>
      </c>
      <c r="D591" t="s">
        <v>18</v>
      </c>
      <c r="E591" t="s">
        <v>13</v>
      </c>
      <c r="F591" t="s">
        <v>20</v>
      </c>
      <c r="G591">
        <v>26</v>
      </c>
      <c r="H591" s="1">
        <v>44487</v>
      </c>
      <c r="I591" t="s">
        <v>29</v>
      </c>
      <c r="J591" t="s">
        <v>22</v>
      </c>
    </row>
    <row r="592" spans="1:10" x14ac:dyDescent="0.3">
      <c r="A592" t="s">
        <v>636</v>
      </c>
      <c r="B592" t="s">
        <v>11</v>
      </c>
      <c r="C592">
        <v>26</v>
      </c>
      <c r="D592" t="s">
        <v>18</v>
      </c>
      <c r="E592" t="s">
        <v>19</v>
      </c>
      <c r="F592" t="s">
        <v>25</v>
      </c>
      <c r="G592">
        <v>12</v>
      </c>
      <c r="H592" s="1">
        <v>44913</v>
      </c>
      <c r="I592" t="s">
        <v>34</v>
      </c>
      <c r="J592" t="s">
        <v>65</v>
      </c>
    </row>
    <row r="593" spans="1:10" x14ac:dyDescent="0.3">
      <c r="A593" t="s">
        <v>637</v>
      </c>
      <c r="B593" t="s">
        <v>31</v>
      </c>
      <c r="C593">
        <v>29</v>
      </c>
      <c r="D593" t="s">
        <v>18</v>
      </c>
      <c r="E593" t="s">
        <v>19</v>
      </c>
      <c r="F593" t="s">
        <v>54</v>
      </c>
      <c r="G593">
        <v>45</v>
      </c>
      <c r="H593" s="1">
        <v>43916</v>
      </c>
      <c r="I593" t="s">
        <v>39</v>
      </c>
      <c r="J593" t="s">
        <v>16</v>
      </c>
    </row>
    <row r="594" spans="1:10" x14ac:dyDescent="0.3">
      <c r="A594" t="s">
        <v>638</v>
      </c>
      <c r="B594" t="s">
        <v>24</v>
      </c>
      <c r="C594">
        <v>46</v>
      </c>
      <c r="D594" t="s">
        <v>46</v>
      </c>
      <c r="E594" t="s">
        <v>13</v>
      </c>
      <c r="F594" t="s">
        <v>36</v>
      </c>
      <c r="G594">
        <v>35</v>
      </c>
      <c r="H594" s="1">
        <v>44234</v>
      </c>
      <c r="I594" t="s">
        <v>21</v>
      </c>
      <c r="J594" t="s">
        <v>16</v>
      </c>
    </row>
    <row r="595" spans="1:10" x14ac:dyDescent="0.3">
      <c r="A595" t="s">
        <v>639</v>
      </c>
      <c r="B595" t="s">
        <v>31</v>
      </c>
      <c r="C595">
        <v>27</v>
      </c>
      <c r="D595" t="s">
        <v>18</v>
      </c>
      <c r="E595" t="s">
        <v>19</v>
      </c>
      <c r="F595" t="s">
        <v>38</v>
      </c>
      <c r="G595">
        <v>12</v>
      </c>
      <c r="H595" s="1">
        <v>44924</v>
      </c>
      <c r="I595" t="s">
        <v>47</v>
      </c>
      <c r="J595" t="s">
        <v>16</v>
      </c>
    </row>
    <row r="596" spans="1:10" x14ac:dyDescent="0.3">
      <c r="A596" t="s">
        <v>640</v>
      </c>
      <c r="B596" t="s">
        <v>11</v>
      </c>
      <c r="C596">
        <v>30</v>
      </c>
      <c r="D596" t="s">
        <v>18</v>
      </c>
      <c r="E596" t="s">
        <v>19</v>
      </c>
      <c r="F596" t="s">
        <v>33</v>
      </c>
      <c r="G596">
        <v>48</v>
      </c>
      <c r="H596" s="1">
        <v>43833</v>
      </c>
      <c r="I596" t="s">
        <v>29</v>
      </c>
      <c r="J596" t="s">
        <v>27</v>
      </c>
    </row>
    <row r="597" spans="1:10" x14ac:dyDescent="0.3">
      <c r="A597" t="s">
        <v>641</v>
      </c>
      <c r="B597" t="s">
        <v>42</v>
      </c>
      <c r="C597">
        <v>25</v>
      </c>
      <c r="D597" t="s">
        <v>18</v>
      </c>
      <c r="E597" t="s">
        <v>19</v>
      </c>
      <c r="F597" t="s">
        <v>33</v>
      </c>
      <c r="G597">
        <v>47</v>
      </c>
      <c r="H597" s="1">
        <v>43862</v>
      </c>
      <c r="I597" t="s">
        <v>47</v>
      </c>
      <c r="J597" t="s">
        <v>27</v>
      </c>
    </row>
    <row r="598" spans="1:10" x14ac:dyDescent="0.3">
      <c r="A598" t="s">
        <v>642</v>
      </c>
      <c r="B598" t="s">
        <v>31</v>
      </c>
      <c r="C598">
        <v>22</v>
      </c>
      <c r="D598" t="s">
        <v>32</v>
      </c>
      <c r="E598" t="s">
        <v>13</v>
      </c>
      <c r="F598" t="s">
        <v>54</v>
      </c>
      <c r="G598">
        <v>26</v>
      </c>
      <c r="H598" s="1">
        <v>44498</v>
      </c>
      <c r="I598" t="s">
        <v>29</v>
      </c>
      <c r="J598" t="s">
        <v>27</v>
      </c>
    </row>
    <row r="599" spans="1:10" x14ac:dyDescent="0.3">
      <c r="A599" t="s">
        <v>643</v>
      </c>
      <c r="B599" t="s">
        <v>11</v>
      </c>
      <c r="C599">
        <v>37</v>
      </c>
      <c r="D599" t="s">
        <v>12</v>
      </c>
      <c r="E599" t="s">
        <v>13</v>
      </c>
      <c r="F599" t="s">
        <v>14</v>
      </c>
      <c r="G599">
        <v>44</v>
      </c>
      <c r="H599" s="1">
        <v>43946</v>
      </c>
      <c r="I599" t="s">
        <v>62</v>
      </c>
      <c r="J599" t="s">
        <v>22</v>
      </c>
    </row>
    <row r="600" spans="1:10" x14ac:dyDescent="0.3">
      <c r="A600" t="s">
        <v>644</v>
      </c>
      <c r="B600" t="s">
        <v>24</v>
      </c>
      <c r="C600">
        <v>35</v>
      </c>
      <c r="D600" t="s">
        <v>12</v>
      </c>
      <c r="E600" t="s">
        <v>19</v>
      </c>
      <c r="F600" t="s">
        <v>64</v>
      </c>
      <c r="G600">
        <v>25</v>
      </c>
      <c r="H600" s="1">
        <v>44536</v>
      </c>
      <c r="I600" t="s">
        <v>47</v>
      </c>
      <c r="J600" t="s">
        <v>16</v>
      </c>
    </row>
    <row r="601" spans="1:10" x14ac:dyDescent="0.3">
      <c r="A601" t="s">
        <v>645</v>
      </c>
      <c r="B601" t="s">
        <v>24</v>
      </c>
      <c r="C601">
        <v>24</v>
      </c>
      <c r="D601" t="s">
        <v>32</v>
      </c>
      <c r="E601" t="s">
        <v>13</v>
      </c>
      <c r="F601" t="s">
        <v>56</v>
      </c>
      <c r="G601">
        <v>30</v>
      </c>
      <c r="H601" s="1">
        <v>44385</v>
      </c>
      <c r="I601" t="s">
        <v>39</v>
      </c>
      <c r="J601" t="s">
        <v>27</v>
      </c>
    </row>
    <row r="602" spans="1:10" x14ac:dyDescent="0.3">
      <c r="A602" t="s">
        <v>646</v>
      </c>
      <c r="B602" t="s">
        <v>31</v>
      </c>
      <c r="C602">
        <v>33</v>
      </c>
      <c r="D602" t="s">
        <v>18</v>
      </c>
      <c r="E602" t="s">
        <v>13</v>
      </c>
      <c r="F602" t="s">
        <v>54</v>
      </c>
      <c r="G602">
        <v>27</v>
      </c>
      <c r="H602" s="1">
        <v>44454</v>
      </c>
      <c r="I602" t="s">
        <v>49</v>
      </c>
      <c r="J602" t="s">
        <v>22</v>
      </c>
    </row>
    <row r="603" spans="1:10" x14ac:dyDescent="0.3">
      <c r="A603" t="s">
        <v>647</v>
      </c>
      <c r="B603" t="s">
        <v>11</v>
      </c>
      <c r="C603">
        <v>33</v>
      </c>
      <c r="D603" t="s">
        <v>18</v>
      </c>
      <c r="E603" t="s">
        <v>13</v>
      </c>
      <c r="F603" t="s">
        <v>64</v>
      </c>
      <c r="G603">
        <v>35</v>
      </c>
      <c r="H603" s="1">
        <v>44235</v>
      </c>
      <c r="I603" t="s">
        <v>49</v>
      </c>
      <c r="J603" t="s">
        <v>16</v>
      </c>
    </row>
    <row r="604" spans="1:10" x14ac:dyDescent="0.3">
      <c r="A604" t="s">
        <v>648</v>
      </c>
      <c r="B604" t="s">
        <v>11</v>
      </c>
      <c r="C604">
        <v>41</v>
      </c>
      <c r="D604" t="s">
        <v>12</v>
      </c>
      <c r="E604" t="s">
        <v>13</v>
      </c>
      <c r="F604" t="s">
        <v>36</v>
      </c>
      <c r="G604">
        <v>20</v>
      </c>
      <c r="H604" s="1">
        <v>44670</v>
      </c>
      <c r="I604" t="s">
        <v>21</v>
      </c>
      <c r="J604" t="s">
        <v>27</v>
      </c>
    </row>
    <row r="605" spans="1:10" x14ac:dyDescent="0.3">
      <c r="A605" t="s">
        <v>649</v>
      </c>
      <c r="B605" t="s">
        <v>31</v>
      </c>
      <c r="C605">
        <v>21</v>
      </c>
      <c r="D605" t="s">
        <v>32</v>
      </c>
      <c r="E605" t="s">
        <v>19</v>
      </c>
      <c r="F605" t="s">
        <v>38</v>
      </c>
      <c r="G605">
        <v>48</v>
      </c>
      <c r="H605" s="1">
        <v>43827</v>
      </c>
      <c r="I605" t="s">
        <v>62</v>
      </c>
      <c r="J605" t="s">
        <v>27</v>
      </c>
    </row>
    <row r="606" spans="1:10" x14ac:dyDescent="0.3">
      <c r="A606" t="s">
        <v>650</v>
      </c>
      <c r="B606" t="s">
        <v>24</v>
      </c>
      <c r="C606">
        <v>35</v>
      </c>
      <c r="D606" t="s">
        <v>12</v>
      </c>
      <c r="E606" t="s">
        <v>19</v>
      </c>
      <c r="F606" t="s">
        <v>38</v>
      </c>
      <c r="G606">
        <v>60</v>
      </c>
      <c r="H606" s="1">
        <v>43492</v>
      </c>
      <c r="I606" t="s">
        <v>47</v>
      </c>
      <c r="J606" t="s">
        <v>27</v>
      </c>
    </row>
    <row r="607" spans="1:10" x14ac:dyDescent="0.3">
      <c r="A607" t="s">
        <v>651</v>
      </c>
      <c r="B607" t="s">
        <v>31</v>
      </c>
      <c r="C607">
        <v>27</v>
      </c>
      <c r="D607" t="s">
        <v>18</v>
      </c>
      <c r="E607" t="s">
        <v>13</v>
      </c>
      <c r="F607" t="s">
        <v>56</v>
      </c>
      <c r="G607">
        <v>49</v>
      </c>
      <c r="H607" s="1">
        <v>43805</v>
      </c>
      <c r="I607" t="s">
        <v>49</v>
      </c>
      <c r="J607" t="s">
        <v>16</v>
      </c>
    </row>
    <row r="608" spans="1:10" x14ac:dyDescent="0.3">
      <c r="A608" t="s">
        <v>652</v>
      </c>
      <c r="B608" t="s">
        <v>61</v>
      </c>
      <c r="C608">
        <v>18</v>
      </c>
      <c r="D608" t="s">
        <v>32</v>
      </c>
      <c r="E608" t="s">
        <v>13</v>
      </c>
      <c r="F608" t="s">
        <v>14</v>
      </c>
      <c r="G608">
        <v>8</v>
      </c>
      <c r="H608" s="1">
        <v>45034</v>
      </c>
      <c r="I608" t="s">
        <v>29</v>
      </c>
      <c r="J608" t="s">
        <v>22</v>
      </c>
    </row>
    <row r="609" spans="1:10" x14ac:dyDescent="0.3">
      <c r="A609" t="s">
        <v>653</v>
      </c>
      <c r="B609" t="s">
        <v>31</v>
      </c>
      <c r="C609">
        <v>18</v>
      </c>
      <c r="D609" t="s">
        <v>32</v>
      </c>
      <c r="E609" t="s">
        <v>13</v>
      </c>
      <c r="F609" t="s">
        <v>38</v>
      </c>
      <c r="G609">
        <v>9</v>
      </c>
      <c r="H609" s="1">
        <v>44995</v>
      </c>
      <c r="I609" t="s">
        <v>29</v>
      </c>
      <c r="J609" t="s">
        <v>16</v>
      </c>
    </row>
    <row r="610" spans="1:10" x14ac:dyDescent="0.3">
      <c r="A610" t="s">
        <v>654</v>
      </c>
      <c r="B610" t="s">
        <v>11</v>
      </c>
      <c r="C610">
        <v>22</v>
      </c>
      <c r="D610" t="s">
        <v>32</v>
      </c>
      <c r="E610" t="s">
        <v>105</v>
      </c>
      <c r="F610" t="s">
        <v>20</v>
      </c>
      <c r="G610">
        <v>37</v>
      </c>
      <c r="H610" s="1">
        <v>44170</v>
      </c>
      <c r="I610" t="s">
        <v>39</v>
      </c>
      <c r="J610" t="s">
        <v>16</v>
      </c>
    </row>
    <row r="611" spans="1:10" x14ac:dyDescent="0.3">
      <c r="A611" t="s">
        <v>655</v>
      </c>
      <c r="B611" t="s">
        <v>11</v>
      </c>
      <c r="C611">
        <v>44</v>
      </c>
      <c r="D611" t="s">
        <v>12</v>
      </c>
      <c r="E611" t="s">
        <v>19</v>
      </c>
      <c r="F611" t="s">
        <v>38</v>
      </c>
      <c r="G611">
        <v>33</v>
      </c>
      <c r="H611" s="1">
        <v>44274</v>
      </c>
      <c r="I611" t="s">
        <v>49</v>
      </c>
      <c r="J611" t="s">
        <v>27</v>
      </c>
    </row>
    <row r="612" spans="1:10" x14ac:dyDescent="0.3">
      <c r="A612" t="s">
        <v>656</v>
      </c>
      <c r="B612" t="s">
        <v>11</v>
      </c>
      <c r="C612">
        <v>24</v>
      </c>
      <c r="D612" t="s">
        <v>32</v>
      </c>
      <c r="E612" t="s">
        <v>19</v>
      </c>
      <c r="F612" t="s">
        <v>64</v>
      </c>
      <c r="G612">
        <v>34</v>
      </c>
      <c r="H612" s="1">
        <v>44249</v>
      </c>
      <c r="I612" t="s">
        <v>62</v>
      </c>
      <c r="J612" t="s">
        <v>22</v>
      </c>
    </row>
    <row r="613" spans="1:10" x14ac:dyDescent="0.3">
      <c r="A613" t="s">
        <v>657</v>
      </c>
      <c r="B613" t="s">
        <v>11</v>
      </c>
      <c r="C613">
        <v>37</v>
      </c>
      <c r="D613" t="s">
        <v>12</v>
      </c>
      <c r="E613" t="s">
        <v>13</v>
      </c>
      <c r="F613" t="s">
        <v>33</v>
      </c>
      <c r="G613">
        <v>32</v>
      </c>
      <c r="H613" s="1">
        <v>44330</v>
      </c>
      <c r="I613" t="s">
        <v>62</v>
      </c>
      <c r="J613" t="s">
        <v>22</v>
      </c>
    </row>
    <row r="614" spans="1:10" x14ac:dyDescent="0.3">
      <c r="A614" t="s">
        <v>658</v>
      </c>
      <c r="B614" t="s">
        <v>11</v>
      </c>
      <c r="C614">
        <v>31</v>
      </c>
      <c r="D614" t="s">
        <v>18</v>
      </c>
      <c r="E614" t="s">
        <v>19</v>
      </c>
      <c r="F614" t="s">
        <v>14</v>
      </c>
      <c r="G614">
        <v>10</v>
      </c>
      <c r="H614" s="1">
        <v>44990</v>
      </c>
      <c r="I614" t="s">
        <v>21</v>
      </c>
      <c r="J614" t="s">
        <v>22</v>
      </c>
    </row>
    <row r="615" spans="1:10" x14ac:dyDescent="0.3">
      <c r="A615" t="s">
        <v>659</v>
      </c>
      <c r="B615" t="s">
        <v>61</v>
      </c>
      <c r="C615">
        <v>34</v>
      </c>
      <c r="D615" t="s">
        <v>18</v>
      </c>
      <c r="E615" t="s">
        <v>19</v>
      </c>
      <c r="F615" t="s">
        <v>14</v>
      </c>
      <c r="G615">
        <v>50</v>
      </c>
      <c r="H615" s="1">
        <v>43784</v>
      </c>
      <c r="I615" t="s">
        <v>39</v>
      </c>
      <c r="J615" t="s">
        <v>27</v>
      </c>
    </row>
    <row r="616" spans="1:10" x14ac:dyDescent="0.3">
      <c r="A616" t="s">
        <v>660</v>
      </c>
      <c r="B616" t="s">
        <v>31</v>
      </c>
      <c r="C616">
        <v>28</v>
      </c>
      <c r="D616" t="s">
        <v>18</v>
      </c>
      <c r="E616" t="s">
        <v>19</v>
      </c>
      <c r="F616" t="s">
        <v>88</v>
      </c>
      <c r="G616">
        <v>8</v>
      </c>
      <c r="H616" s="1">
        <v>45045</v>
      </c>
      <c r="I616" t="s">
        <v>49</v>
      </c>
      <c r="J616" t="s">
        <v>65</v>
      </c>
    </row>
    <row r="617" spans="1:10" x14ac:dyDescent="0.3">
      <c r="A617" t="s">
        <v>661</v>
      </c>
      <c r="B617" t="s">
        <v>42</v>
      </c>
      <c r="C617">
        <v>28</v>
      </c>
      <c r="D617" t="s">
        <v>18</v>
      </c>
      <c r="E617" t="s">
        <v>13</v>
      </c>
      <c r="F617" t="s">
        <v>20</v>
      </c>
      <c r="G617">
        <v>50</v>
      </c>
      <c r="H617" s="1">
        <v>43768</v>
      </c>
      <c r="I617" t="s">
        <v>49</v>
      </c>
      <c r="J617" t="s">
        <v>27</v>
      </c>
    </row>
    <row r="618" spans="1:10" x14ac:dyDescent="0.3">
      <c r="A618" t="s">
        <v>662</v>
      </c>
      <c r="B618" t="s">
        <v>24</v>
      </c>
      <c r="C618">
        <v>36</v>
      </c>
      <c r="D618" t="s">
        <v>12</v>
      </c>
      <c r="E618" t="s">
        <v>13</v>
      </c>
      <c r="F618" t="s">
        <v>54</v>
      </c>
      <c r="G618">
        <v>56</v>
      </c>
      <c r="H618" s="1">
        <v>43588</v>
      </c>
      <c r="I618" t="s">
        <v>49</v>
      </c>
      <c r="J618" t="s">
        <v>22</v>
      </c>
    </row>
    <row r="619" spans="1:10" x14ac:dyDescent="0.3">
      <c r="A619" t="s">
        <v>663</v>
      </c>
      <c r="B619" t="s">
        <v>42</v>
      </c>
      <c r="C619">
        <v>32</v>
      </c>
      <c r="D619" t="s">
        <v>18</v>
      </c>
      <c r="E619" t="s">
        <v>19</v>
      </c>
      <c r="F619" t="s">
        <v>64</v>
      </c>
      <c r="G619">
        <v>27</v>
      </c>
      <c r="H619" s="1">
        <v>44476</v>
      </c>
      <c r="I619" t="s">
        <v>47</v>
      </c>
      <c r="J619" t="s">
        <v>16</v>
      </c>
    </row>
    <row r="620" spans="1:10" x14ac:dyDescent="0.3">
      <c r="A620" t="s">
        <v>664</v>
      </c>
      <c r="B620" t="s">
        <v>61</v>
      </c>
      <c r="C620">
        <v>31</v>
      </c>
      <c r="D620" t="s">
        <v>18</v>
      </c>
      <c r="E620" t="s">
        <v>13</v>
      </c>
      <c r="F620" t="s">
        <v>56</v>
      </c>
      <c r="G620">
        <v>59</v>
      </c>
      <c r="H620" s="1">
        <v>43516</v>
      </c>
      <c r="I620" t="s">
        <v>29</v>
      </c>
      <c r="J620" t="s">
        <v>16</v>
      </c>
    </row>
    <row r="621" spans="1:10" x14ac:dyDescent="0.3">
      <c r="A621" t="s">
        <v>665</v>
      </c>
      <c r="B621" t="s">
        <v>11</v>
      </c>
      <c r="C621">
        <v>18</v>
      </c>
      <c r="D621" t="s">
        <v>32</v>
      </c>
      <c r="E621" t="s">
        <v>13</v>
      </c>
      <c r="F621" t="s">
        <v>25</v>
      </c>
      <c r="G621">
        <v>8</v>
      </c>
      <c r="H621" s="1">
        <v>45052</v>
      </c>
      <c r="I621" t="s">
        <v>62</v>
      </c>
      <c r="J621" t="s">
        <v>16</v>
      </c>
    </row>
    <row r="622" spans="1:10" x14ac:dyDescent="0.3">
      <c r="A622" t="s">
        <v>666</v>
      </c>
      <c r="B622" t="s">
        <v>61</v>
      </c>
      <c r="C622">
        <v>31</v>
      </c>
      <c r="D622" t="s">
        <v>18</v>
      </c>
      <c r="E622" t="s">
        <v>19</v>
      </c>
      <c r="F622" t="s">
        <v>38</v>
      </c>
      <c r="G622">
        <v>34</v>
      </c>
      <c r="H622" s="1">
        <v>44255</v>
      </c>
      <c r="I622" t="s">
        <v>39</v>
      </c>
      <c r="J622" t="s">
        <v>65</v>
      </c>
    </row>
    <row r="623" spans="1:10" x14ac:dyDescent="0.3">
      <c r="A623" t="s">
        <v>667</v>
      </c>
      <c r="B623" t="s">
        <v>11</v>
      </c>
      <c r="C623">
        <v>20</v>
      </c>
      <c r="D623" t="s">
        <v>32</v>
      </c>
      <c r="E623" t="s">
        <v>13</v>
      </c>
      <c r="F623" t="s">
        <v>33</v>
      </c>
      <c r="G623">
        <v>23</v>
      </c>
      <c r="H623" s="1">
        <v>44577</v>
      </c>
      <c r="I623" t="s">
        <v>39</v>
      </c>
      <c r="J623" t="s">
        <v>22</v>
      </c>
    </row>
    <row r="624" spans="1:10" x14ac:dyDescent="0.3">
      <c r="A624" t="s">
        <v>668</v>
      </c>
      <c r="B624" t="s">
        <v>31</v>
      </c>
      <c r="C624">
        <v>39</v>
      </c>
      <c r="D624" t="s">
        <v>12</v>
      </c>
      <c r="E624" t="s">
        <v>19</v>
      </c>
      <c r="F624" t="s">
        <v>38</v>
      </c>
      <c r="G624">
        <v>54</v>
      </c>
      <c r="H624" s="1">
        <v>43647</v>
      </c>
      <c r="I624" t="s">
        <v>47</v>
      </c>
      <c r="J624" t="s">
        <v>22</v>
      </c>
    </row>
    <row r="625" spans="1:10" x14ac:dyDescent="0.3">
      <c r="A625" t="s">
        <v>669</v>
      </c>
      <c r="B625" t="s">
        <v>11</v>
      </c>
      <c r="C625">
        <v>28</v>
      </c>
      <c r="D625" t="s">
        <v>18</v>
      </c>
      <c r="E625" t="s">
        <v>13</v>
      </c>
      <c r="F625" t="s">
        <v>56</v>
      </c>
      <c r="G625">
        <v>9</v>
      </c>
      <c r="H625" s="1">
        <v>45001</v>
      </c>
      <c r="I625" t="s">
        <v>39</v>
      </c>
      <c r="J625" t="s">
        <v>22</v>
      </c>
    </row>
    <row r="626" spans="1:10" x14ac:dyDescent="0.3">
      <c r="A626" t="s">
        <v>670</v>
      </c>
      <c r="B626" t="s">
        <v>24</v>
      </c>
      <c r="C626">
        <v>37</v>
      </c>
      <c r="D626" t="s">
        <v>12</v>
      </c>
      <c r="E626" t="s">
        <v>19</v>
      </c>
      <c r="F626" t="s">
        <v>33</v>
      </c>
      <c r="G626">
        <v>37</v>
      </c>
      <c r="H626" s="1">
        <v>44169</v>
      </c>
      <c r="I626" t="s">
        <v>26</v>
      </c>
      <c r="J626" t="s">
        <v>27</v>
      </c>
    </row>
    <row r="627" spans="1:10" x14ac:dyDescent="0.3">
      <c r="A627" t="s">
        <v>671</v>
      </c>
      <c r="B627" t="s">
        <v>31</v>
      </c>
      <c r="C627">
        <v>45</v>
      </c>
      <c r="D627" t="s">
        <v>46</v>
      </c>
      <c r="E627" t="s">
        <v>19</v>
      </c>
      <c r="F627" t="s">
        <v>54</v>
      </c>
      <c r="G627">
        <v>8</v>
      </c>
      <c r="H627" s="1">
        <v>45037</v>
      </c>
      <c r="I627" t="s">
        <v>47</v>
      </c>
      <c r="J627" t="s">
        <v>65</v>
      </c>
    </row>
    <row r="628" spans="1:10" x14ac:dyDescent="0.3">
      <c r="A628" t="s">
        <v>672</v>
      </c>
      <c r="B628" t="s">
        <v>31</v>
      </c>
      <c r="C628">
        <v>18</v>
      </c>
      <c r="D628" t="s">
        <v>32</v>
      </c>
      <c r="E628" t="s">
        <v>13</v>
      </c>
      <c r="F628" t="s">
        <v>54</v>
      </c>
      <c r="G628">
        <v>26</v>
      </c>
      <c r="H628" s="1">
        <v>44489</v>
      </c>
      <c r="I628" t="s">
        <v>47</v>
      </c>
      <c r="J628" t="s">
        <v>22</v>
      </c>
    </row>
    <row r="629" spans="1:10" x14ac:dyDescent="0.3">
      <c r="A629" t="s">
        <v>673</v>
      </c>
      <c r="B629" t="s">
        <v>31</v>
      </c>
      <c r="C629">
        <v>35</v>
      </c>
      <c r="D629" t="s">
        <v>12</v>
      </c>
      <c r="E629" t="s">
        <v>13</v>
      </c>
      <c r="F629" t="s">
        <v>88</v>
      </c>
      <c r="G629">
        <v>57</v>
      </c>
      <c r="H629" s="1">
        <v>43560</v>
      </c>
      <c r="I629" t="s">
        <v>49</v>
      </c>
      <c r="J629" t="s">
        <v>16</v>
      </c>
    </row>
    <row r="630" spans="1:10" x14ac:dyDescent="0.3">
      <c r="A630" t="s">
        <v>674</v>
      </c>
      <c r="B630" t="s">
        <v>31</v>
      </c>
      <c r="C630">
        <v>18</v>
      </c>
      <c r="D630" t="s">
        <v>32</v>
      </c>
      <c r="E630" t="s">
        <v>13</v>
      </c>
      <c r="F630" t="s">
        <v>25</v>
      </c>
      <c r="G630">
        <v>44</v>
      </c>
      <c r="H630" s="1">
        <v>43947</v>
      </c>
      <c r="I630" t="s">
        <v>47</v>
      </c>
      <c r="J630" t="s">
        <v>27</v>
      </c>
    </row>
    <row r="631" spans="1:10" x14ac:dyDescent="0.3">
      <c r="A631" t="s">
        <v>675</v>
      </c>
      <c r="B631" t="s">
        <v>24</v>
      </c>
      <c r="C631">
        <v>24</v>
      </c>
      <c r="D631" t="s">
        <v>32</v>
      </c>
      <c r="E631" t="s">
        <v>19</v>
      </c>
      <c r="F631" t="s">
        <v>64</v>
      </c>
      <c r="G631">
        <v>11</v>
      </c>
      <c r="H631" s="1">
        <v>44941</v>
      </c>
      <c r="I631" t="s">
        <v>21</v>
      </c>
      <c r="J631" t="s">
        <v>65</v>
      </c>
    </row>
    <row r="632" spans="1:10" x14ac:dyDescent="0.3">
      <c r="A632" t="s">
        <v>676</v>
      </c>
      <c r="B632" t="s">
        <v>11</v>
      </c>
      <c r="C632">
        <v>31</v>
      </c>
      <c r="D632" t="s">
        <v>18</v>
      </c>
      <c r="E632" t="s">
        <v>13</v>
      </c>
      <c r="F632" t="s">
        <v>36</v>
      </c>
      <c r="G632">
        <v>33</v>
      </c>
      <c r="H632" s="1">
        <v>44285</v>
      </c>
      <c r="I632" t="s">
        <v>34</v>
      </c>
      <c r="J632" t="s">
        <v>22</v>
      </c>
    </row>
    <row r="633" spans="1:10" x14ac:dyDescent="0.3">
      <c r="A633" t="s">
        <v>677</v>
      </c>
      <c r="B633" t="s">
        <v>42</v>
      </c>
      <c r="C633">
        <v>40</v>
      </c>
      <c r="D633" t="s">
        <v>12</v>
      </c>
      <c r="E633" t="s">
        <v>13</v>
      </c>
      <c r="F633" t="s">
        <v>14</v>
      </c>
      <c r="G633">
        <v>12</v>
      </c>
      <c r="H633" s="1">
        <v>44929</v>
      </c>
      <c r="I633" t="s">
        <v>62</v>
      </c>
      <c r="J633" t="s">
        <v>16</v>
      </c>
    </row>
    <row r="634" spans="1:10" x14ac:dyDescent="0.3">
      <c r="A634" t="s">
        <v>678</v>
      </c>
      <c r="B634" t="s">
        <v>31</v>
      </c>
      <c r="C634">
        <v>32</v>
      </c>
      <c r="D634" t="s">
        <v>18</v>
      </c>
      <c r="E634" t="s">
        <v>105</v>
      </c>
      <c r="F634" t="s">
        <v>36</v>
      </c>
      <c r="G634">
        <v>4</v>
      </c>
      <c r="H634" s="1">
        <v>45169</v>
      </c>
      <c r="I634" t="s">
        <v>47</v>
      </c>
      <c r="J634" t="s">
        <v>27</v>
      </c>
    </row>
    <row r="635" spans="1:10" x14ac:dyDescent="0.3">
      <c r="A635" t="s">
        <v>679</v>
      </c>
      <c r="B635" t="s">
        <v>31</v>
      </c>
      <c r="C635">
        <v>33</v>
      </c>
      <c r="D635" t="s">
        <v>18</v>
      </c>
      <c r="E635" t="s">
        <v>19</v>
      </c>
      <c r="F635" t="s">
        <v>56</v>
      </c>
      <c r="G635">
        <v>28</v>
      </c>
      <c r="H635" s="1">
        <v>44428</v>
      </c>
      <c r="I635" t="s">
        <v>62</v>
      </c>
      <c r="J635" t="s">
        <v>16</v>
      </c>
    </row>
    <row r="636" spans="1:10" x14ac:dyDescent="0.3">
      <c r="A636" t="s">
        <v>680</v>
      </c>
      <c r="B636" t="s">
        <v>61</v>
      </c>
      <c r="C636">
        <v>22</v>
      </c>
      <c r="D636" t="s">
        <v>32</v>
      </c>
      <c r="E636" t="s">
        <v>13</v>
      </c>
      <c r="F636" t="s">
        <v>20</v>
      </c>
      <c r="G636">
        <v>15</v>
      </c>
      <c r="H636" s="1">
        <v>44821</v>
      </c>
      <c r="I636" t="s">
        <v>39</v>
      </c>
      <c r="J636" t="s">
        <v>22</v>
      </c>
    </row>
    <row r="637" spans="1:10" x14ac:dyDescent="0.3">
      <c r="A637" t="s">
        <v>681</v>
      </c>
      <c r="B637" t="s">
        <v>11</v>
      </c>
      <c r="C637">
        <v>18</v>
      </c>
      <c r="D637" t="s">
        <v>32</v>
      </c>
      <c r="E637" t="s">
        <v>19</v>
      </c>
      <c r="F637" t="s">
        <v>25</v>
      </c>
      <c r="G637">
        <v>49</v>
      </c>
      <c r="H637" s="1">
        <v>43803</v>
      </c>
      <c r="I637" t="s">
        <v>49</v>
      </c>
      <c r="J637" t="s">
        <v>16</v>
      </c>
    </row>
    <row r="638" spans="1:10" x14ac:dyDescent="0.3">
      <c r="A638" t="s">
        <v>682</v>
      </c>
      <c r="B638" t="s">
        <v>11</v>
      </c>
      <c r="C638">
        <v>42</v>
      </c>
      <c r="D638" t="s">
        <v>12</v>
      </c>
      <c r="E638" t="s">
        <v>19</v>
      </c>
      <c r="F638" t="s">
        <v>38</v>
      </c>
      <c r="G638">
        <v>35</v>
      </c>
      <c r="H638" s="1">
        <v>44241</v>
      </c>
      <c r="I638" t="s">
        <v>29</v>
      </c>
      <c r="J638" t="s">
        <v>27</v>
      </c>
    </row>
    <row r="639" spans="1:10" x14ac:dyDescent="0.3">
      <c r="A639" t="s">
        <v>683</v>
      </c>
      <c r="B639" t="s">
        <v>24</v>
      </c>
      <c r="C639">
        <v>18</v>
      </c>
      <c r="D639" t="s">
        <v>32</v>
      </c>
      <c r="E639" t="s">
        <v>13</v>
      </c>
      <c r="F639" t="s">
        <v>36</v>
      </c>
      <c r="G639">
        <v>45</v>
      </c>
      <c r="H639" s="1">
        <v>43931</v>
      </c>
      <c r="I639" t="s">
        <v>39</v>
      </c>
      <c r="J639" t="s">
        <v>65</v>
      </c>
    </row>
    <row r="640" spans="1:10" x14ac:dyDescent="0.3">
      <c r="A640" t="s">
        <v>684</v>
      </c>
      <c r="B640" t="s">
        <v>42</v>
      </c>
      <c r="C640">
        <v>54</v>
      </c>
      <c r="D640" t="s">
        <v>46</v>
      </c>
      <c r="E640" t="s">
        <v>19</v>
      </c>
      <c r="F640" t="s">
        <v>56</v>
      </c>
      <c r="G640">
        <v>6</v>
      </c>
      <c r="H640" s="1">
        <v>45092</v>
      </c>
      <c r="I640" t="s">
        <v>49</v>
      </c>
      <c r="J640" t="s">
        <v>27</v>
      </c>
    </row>
    <row r="641" spans="1:10" x14ac:dyDescent="0.3">
      <c r="A641" t="s">
        <v>685</v>
      </c>
      <c r="B641" t="s">
        <v>31</v>
      </c>
      <c r="C641">
        <v>23</v>
      </c>
      <c r="D641" t="s">
        <v>32</v>
      </c>
      <c r="E641" t="s">
        <v>13</v>
      </c>
      <c r="F641" t="s">
        <v>88</v>
      </c>
      <c r="G641">
        <v>28</v>
      </c>
      <c r="H641" s="1">
        <v>44445</v>
      </c>
      <c r="I641" t="s">
        <v>29</v>
      </c>
      <c r="J641" t="s">
        <v>16</v>
      </c>
    </row>
    <row r="642" spans="1:10" x14ac:dyDescent="0.3">
      <c r="A642" t="s">
        <v>686</v>
      </c>
      <c r="B642" t="s">
        <v>61</v>
      </c>
      <c r="C642">
        <v>27</v>
      </c>
      <c r="D642" t="s">
        <v>18</v>
      </c>
      <c r="E642" t="s">
        <v>13</v>
      </c>
      <c r="F642" t="s">
        <v>64</v>
      </c>
      <c r="G642">
        <v>14</v>
      </c>
      <c r="H642" s="1">
        <v>44854</v>
      </c>
      <c r="I642" t="s">
        <v>49</v>
      </c>
      <c r="J642" t="s">
        <v>27</v>
      </c>
    </row>
    <row r="643" spans="1:10" x14ac:dyDescent="0.3">
      <c r="A643" t="s">
        <v>687</v>
      </c>
      <c r="B643" t="s">
        <v>31</v>
      </c>
      <c r="C643">
        <v>29</v>
      </c>
      <c r="D643" t="s">
        <v>18</v>
      </c>
      <c r="E643" t="s">
        <v>13</v>
      </c>
      <c r="F643" t="s">
        <v>88</v>
      </c>
      <c r="G643">
        <v>3</v>
      </c>
      <c r="H643" s="1">
        <v>45198</v>
      </c>
      <c r="I643" t="s">
        <v>49</v>
      </c>
      <c r="J643" t="s">
        <v>16</v>
      </c>
    </row>
    <row r="644" spans="1:10" x14ac:dyDescent="0.3">
      <c r="A644" t="s">
        <v>688</v>
      </c>
      <c r="B644" t="s">
        <v>11</v>
      </c>
      <c r="C644">
        <v>28</v>
      </c>
      <c r="D644" t="s">
        <v>18</v>
      </c>
      <c r="E644" t="s">
        <v>13</v>
      </c>
      <c r="F644" t="s">
        <v>38</v>
      </c>
      <c r="G644">
        <v>19</v>
      </c>
      <c r="H644" s="1">
        <v>44702</v>
      </c>
      <c r="I644" t="s">
        <v>49</v>
      </c>
      <c r="J644" t="s">
        <v>16</v>
      </c>
    </row>
    <row r="645" spans="1:10" x14ac:dyDescent="0.3">
      <c r="A645" t="s">
        <v>689</v>
      </c>
      <c r="B645" t="s">
        <v>24</v>
      </c>
      <c r="C645">
        <v>40</v>
      </c>
      <c r="D645" t="s">
        <v>12</v>
      </c>
      <c r="E645" t="s">
        <v>19</v>
      </c>
      <c r="F645" t="s">
        <v>54</v>
      </c>
      <c r="G645">
        <v>14</v>
      </c>
      <c r="H645" s="1">
        <v>44856</v>
      </c>
      <c r="I645" t="s">
        <v>34</v>
      </c>
      <c r="J645" t="s">
        <v>65</v>
      </c>
    </row>
    <row r="646" spans="1:10" x14ac:dyDescent="0.3">
      <c r="A646" t="s">
        <v>690</v>
      </c>
      <c r="B646" t="s">
        <v>11</v>
      </c>
      <c r="C646">
        <v>43</v>
      </c>
      <c r="D646" t="s">
        <v>12</v>
      </c>
      <c r="E646" t="s">
        <v>13</v>
      </c>
      <c r="F646" t="s">
        <v>88</v>
      </c>
      <c r="G646">
        <v>43</v>
      </c>
      <c r="H646" s="1">
        <v>44000</v>
      </c>
      <c r="I646" t="s">
        <v>39</v>
      </c>
      <c r="J646" t="s">
        <v>27</v>
      </c>
    </row>
    <row r="647" spans="1:10" x14ac:dyDescent="0.3">
      <c r="A647" t="s">
        <v>691</v>
      </c>
      <c r="B647" t="s">
        <v>24</v>
      </c>
      <c r="C647">
        <v>33</v>
      </c>
      <c r="D647" t="s">
        <v>18</v>
      </c>
      <c r="E647" t="s">
        <v>19</v>
      </c>
      <c r="F647" t="s">
        <v>64</v>
      </c>
      <c r="G647">
        <v>18</v>
      </c>
      <c r="H647" s="1">
        <v>44724</v>
      </c>
      <c r="I647" t="s">
        <v>62</v>
      </c>
      <c r="J647" t="s">
        <v>22</v>
      </c>
    </row>
    <row r="648" spans="1:10" x14ac:dyDescent="0.3">
      <c r="A648" t="s">
        <v>692</v>
      </c>
      <c r="B648" t="s">
        <v>24</v>
      </c>
      <c r="C648">
        <v>26</v>
      </c>
      <c r="D648" t="s">
        <v>18</v>
      </c>
      <c r="E648" t="s">
        <v>19</v>
      </c>
      <c r="F648" t="s">
        <v>54</v>
      </c>
      <c r="G648">
        <v>42</v>
      </c>
      <c r="H648" s="1">
        <v>44032</v>
      </c>
      <c r="I648" t="s">
        <v>49</v>
      </c>
      <c r="J648" t="s">
        <v>16</v>
      </c>
    </row>
    <row r="649" spans="1:10" x14ac:dyDescent="0.3">
      <c r="A649" t="s">
        <v>693</v>
      </c>
      <c r="B649" t="s">
        <v>42</v>
      </c>
      <c r="C649">
        <v>53</v>
      </c>
      <c r="D649" t="s">
        <v>46</v>
      </c>
      <c r="E649" t="s">
        <v>19</v>
      </c>
      <c r="F649" t="s">
        <v>36</v>
      </c>
      <c r="G649">
        <v>29</v>
      </c>
      <c r="H649" s="1">
        <v>44415</v>
      </c>
      <c r="I649" t="s">
        <v>49</v>
      </c>
      <c r="J649" t="s">
        <v>27</v>
      </c>
    </row>
    <row r="650" spans="1:10" x14ac:dyDescent="0.3">
      <c r="A650" t="s">
        <v>694</v>
      </c>
      <c r="B650" t="s">
        <v>11</v>
      </c>
      <c r="C650">
        <v>42</v>
      </c>
      <c r="D650" t="s">
        <v>12</v>
      </c>
      <c r="E650" t="s">
        <v>13</v>
      </c>
      <c r="F650" t="s">
        <v>64</v>
      </c>
      <c r="G650">
        <v>44</v>
      </c>
      <c r="H650" s="1">
        <v>43964</v>
      </c>
      <c r="I650" t="s">
        <v>21</v>
      </c>
      <c r="J650" t="s">
        <v>22</v>
      </c>
    </row>
    <row r="651" spans="1:10" x14ac:dyDescent="0.3">
      <c r="A651" t="s">
        <v>695</v>
      </c>
      <c r="B651" t="s">
        <v>24</v>
      </c>
      <c r="C651">
        <v>38</v>
      </c>
      <c r="D651" t="s">
        <v>12</v>
      </c>
      <c r="E651" t="s">
        <v>19</v>
      </c>
      <c r="F651" t="s">
        <v>33</v>
      </c>
      <c r="G651">
        <v>7</v>
      </c>
      <c r="H651" s="1">
        <v>45058</v>
      </c>
      <c r="I651" t="s">
        <v>26</v>
      </c>
      <c r="J651" t="s">
        <v>27</v>
      </c>
    </row>
    <row r="652" spans="1:10" x14ac:dyDescent="0.3">
      <c r="A652" t="s">
        <v>696</v>
      </c>
      <c r="B652" t="s">
        <v>31</v>
      </c>
      <c r="C652">
        <v>22</v>
      </c>
      <c r="D652" t="s">
        <v>32</v>
      </c>
      <c r="E652" t="s">
        <v>19</v>
      </c>
      <c r="F652" t="s">
        <v>36</v>
      </c>
      <c r="G652">
        <v>29</v>
      </c>
      <c r="H652" s="1">
        <v>44417</v>
      </c>
      <c r="I652" t="s">
        <v>49</v>
      </c>
      <c r="J652" t="s">
        <v>16</v>
      </c>
    </row>
    <row r="653" spans="1:10" x14ac:dyDescent="0.3">
      <c r="A653" t="s">
        <v>697</v>
      </c>
      <c r="B653" t="s">
        <v>31</v>
      </c>
      <c r="C653">
        <v>34</v>
      </c>
      <c r="D653" t="s">
        <v>18</v>
      </c>
      <c r="E653" t="s">
        <v>13</v>
      </c>
      <c r="F653" t="s">
        <v>56</v>
      </c>
      <c r="G653">
        <v>58</v>
      </c>
      <c r="H653" s="1">
        <v>43541</v>
      </c>
      <c r="I653" t="s">
        <v>62</v>
      </c>
      <c r="J653" t="s">
        <v>22</v>
      </c>
    </row>
    <row r="654" spans="1:10" x14ac:dyDescent="0.3">
      <c r="A654" t="s">
        <v>698</v>
      </c>
      <c r="B654" t="s">
        <v>42</v>
      </c>
      <c r="C654">
        <v>27</v>
      </c>
      <c r="D654" t="s">
        <v>18</v>
      </c>
      <c r="E654" t="s">
        <v>19</v>
      </c>
      <c r="F654" t="s">
        <v>54</v>
      </c>
      <c r="G654">
        <v>44</v>
      </c>
      <c r="H654" s="1">
        <v>43959</v>
      </c>
      <c r="I654" t="s">
        <v>49</v>
      </c>
      <c r="J654" t="s">
        <v>65</v>
      </c>
    </row>
    <row r="655" spans="1:10" x14ac:dyDescent="0.3">
      <c r="A655" t="s">
        <v>699</v>
      </c>
      <c r="B655" t="s">
        <v>42</v>
      </c>
      <c r="C655">
        <v>36</v>
      </c>
      <c r="D655" t="s">
        <v>12</v>
      </c>
      <c r="E655" t="s">
        <v>19</v>
      </c>
      <c r="F655" t="s">
        <v>14</v>
      </c>
      <c r="G655">
        <v>58</v>
      </c>
      <c r="H655" s="1">
        <v>43548</v>
      </c>
      <c r="I655" t="s">
        <v>62</v>
      </c>
      <c r="J655" t="s">
        <v>16</v>
      </c>
    </row>
    <row r="656" spans="1:10" x14ac:dyDescent="0.3">
      <c r="A656" t="s">
        <v>700</v>
      </c>
      <c r="B656" t="s">
        <v>31</v>
      </c>
      <c r="C656">
        <v>24</v>
      </c>
      <c r="D656" t="s">
        <v>32</v>
      </c>
      <c r="E656" t="s">
        <v>13</v>
      </c>
      <c r="F656" t="s">
        <v>54</v>
      </c>
      <c r="G656">
        <v>31</v>
      </c>
      <c r="H656" s="1">
        <v>44333</v>
      </c>
      <c r="I656" t="s">
        <v>34</v>
      </c>
      <c r="J656" t="s">
        <v>16</v>
      </c>
    </row>
    <row r="657" spans="1:10" x14ac:dyDescent="0.3">
      <c r="A657" t="s">
        <v>701</v>
      </c>
      <c r="B657" t="s">
        <v>61</v>
      </c>
      <c r="C657">
        <v>45</v>
      </c>
      <c r="D657" t="s">
        <v>46</v>
      </c>
      <c r="E657" t="s">
        <v>19</v>
      </c>
      <c r="F657" t="s">
        <v>88</v>
      </c>
      <c r="G657">
        <v>60</v>
      </c>
      <c r="H657" s="1">
        <v>43487</v>
      </c>
      <c r="I657" t="s">
        <v>29</v>
      </c>
      <c r="J657" t="s">
        <v>16</v>
      </c>
    </row>
    <row r="658" spans="1:10" x14ac:dyDescent="0.3">
      <c r="A658" t="s">
        <v>702</v>
      </c>
      <c r="B658" t="s">
        <v>24</v>
      </c>
      <c r="C658">
        <v>40</v>
      </c>
      <c r="D658" t="s">
        <v>12</v>
      </c>
      <c r="E658" t="s">
        <v>13</v>
      </c>
      <c r="F658" t="s">
        <v>25</v>
      </c>
      <c r="G658">
        <v>29</v>
      </c>
      <c r="H658" s="1">
        <v>44415</v>
      </c>
      <c r="I658" t="s">
        <v>29</v>
      </c>
      <c r="J658" t="s">
        <v>27</v>
      </c>
    </row>
    <row r="659" spans="1:10" x14ac:dyDescent="0.3">
      <c r="A659" t="s">
        <v>703</v>
      </c>
      <c r="B659" t="s">
        <v>11</v>
      </c>
      <c r="C659">
        <v>46</v>
      </c>
      <c r="D659" t="s">
        <v>46</v>
      </c>
      <c r="E659" t="s">
        <v>19</v>
      </c>
      <c r="F659" t="s">
        <v>25</v>
      </c>
      <c r="G659">
        <v>9</v>
      </c>
      <c r="H659" s="1">
        <v>45022</v>
      </c>
      <c r="I659" t="s">
        <v>34</v>
      </c>
      <c r="J659" t="s">
        <v>65</v>
      </c>
    </row>
    <row r="660" spans="1:10" x14ac:dyDescent="0.3">
      <c r="A660" t="s">
        <v>704</v>
      </c>
      <c r="B660" t="s">
        <v>31</v>
      </c>
      <c r="C660">
        <v>25</v>
      </c>
      <c r="D660" t="s">
        <v>18</v>
      </c>
      <c r="E660" t="s">
        <v>19</v>
      </c>
      <c r="F660" t="s">
        <v>38</v>
      </c>
      <c r="G660">
        <v>15</v>
      </c>
      <c r="H660" s="1">
        <v>44818</v>
      </c>
      <c r="I660" t="s">
        <v>47</v>
      </c>
      <c r="J660" t="s">
        <v>27</v>
      </c>
    </row>
    <row r="661" spans="1:10" x14ac:dyDescent="0.3">
      <c r="A661" t="s">
        <v>705</v>
      </c>
      <c r="B661" t="s">
        <v>11</v>
      </c>
      <c r="C661">
        <v>30</v>
      </c>
      <c r="D661" t="s">
        <v>18</v>
      </c>
      <c r="E661" t="s">
        <v>13</v>
      </c>
      <c r="F661" t="s">
        <v>33</v>
      </c>
      <c r="G661">
        <v>28</v>
      </c>
      <c r="H661" s="1">
        <v>44443</v>
      </c>
      <c r="I661" t="s">
        <v>15</v>
      </c>
      <c r="J661" t="s">
        <v>16</v>
      </c>
    </row>
    <row r="662" spans="1:10" x14ac:dyDescent="0.3">
      <c r="A662" t="s">
        <v>706</v>
      </c>
      <c r="B662" t="s">
        <v>24</v>
      </c>
      <c r="C662">
        <v>32</v>
      </c>
      <c r="D662" t="s">
        <v>18</v>
      </c>
      <c r="E662" t="s">
        <v>19</v>
      </c>
      <c r="F662" t="s">
        <v>64</v>
      </c>
      <c r="G662">
        <v>41</v>
      </c>
      <c r="H662" s="1">
        <v>44041</v>
      </c>
      <c r="I662" t="s">
        <v>21</v>
      </c>
      <c r="J662" t="s">
        <v>22</v>
      </c>
    </row>
    <row r="663" spans="1:10" x14ac:dyDescent="0.3">
      <c r="A663" t="s">
        <v>707</v>
      </c>
      <c r="B663" t="s">
        <v>31</v>
      </c>
      <c r="C663">
        <v>28</v>
      </c>
      <c r="D663" t="s">
        <v>18</v>
      </c>
      <c r="E663" t="s">
        <v>13</v>
      </c>
      <c r="F663" t="s">
        <v>88</v>
      </c>
      <c r="G663">
        <v>57</v>
      </c>
      <c r="H663" s="1">
        <v>43569</v>
      </c>
      <c r="I663" t="s">
        <v>62</v>
      </c>
      <c r="J663" t="s">
        <v>27</v>
      </c>
    </row>
    <row r="664" spans="1:10" x14ac:dyDescent="0.3">
      <c r="A664" t="s">
        <v>708</v>
      </c>
      <c r="B664" t="s">
        <v>24</v>
      </c>
      <c r="C664">
        <v>39</v>
      </c>
      <c r="D664" t="s">
        <v>12</v>
      </c>
      <c r="E664" t="s">
        <v>13</v>
      </c>
      <c r="F664" t="s">
        <v>25</v>
      </c>
      <c r="G664">
        <v>49</v>
      </c>
      <c r="H664" s="1">
        <v>43794</v>
      </c>
      <c r="I664" t="s">
        <v>34</v>
      </c>
      <c r="J664" t="s">
        <v>16</v>
      </c>
    </row>
    <row r="665" spans="1:10" x14ac:dyDescent="0.3">
      <c r="A665" t="s">
        <v>709</v>
      </c>
      <c r="B665" t="s">
        <v>11</v>
      </c>
      <c r="C665">
        <v>18</v>
      </c>
      <c r="D665" t="s">
        <v>32</v>
      </c>
      <c r="E665" t="s">
        <v>19</v>
      </c>
      <c r="F665" t="s">
        <v>38</v>
      </c>
      <c r="G665">
        <v>40</v>
      </c>
      <c r="H665" s="1">
        <v>44087</v>
      </c>
      <c r="I665" t="s">
        <v>49</v>
      </c>
      <c r="J665" t="s">
        <v>22</v>
      </c>
    </row>
    <row r="666" spans="1:10" x14ac:dyDescent="0.3">
      <c r="A666" t="s">
        <v>710</v>
      </c>
      <c r="B666" t="s">
        <v>24</v>
      </c>
      <c r="C666">
        <v>28</v>
      </c>
      <c r="D666" t="s">
        <v>18</v>
      </c>
      <c r="E666" t="s">
        <v>13</v>
      </c>
      <c r="F666" t="s">
        <v>88</v>
      </c>
      <c r="G666">
        <v>2</v>
      </c>
      <c r="H666" s="1">
        <v>45219</v>
      </c>
      <c r="I666" t="s">
        <v>21</v>
      </c>
      <c r="J666" t="s">
        <v>16</v>
      </c>
    </row>
    <row r="667" spans="1:10" x14ac:dyDescent="0.3">
      <c r="A667" t="s">
        <v>711</v>
      </c>
      <c r="B667" t="s">
        <v>24</v>
      </c>
      <c r="C667">
        <v>33</v>
      </c>
      <c r="D667" t="s">
        <v>18</v>
      </c>
      <c r="E667" t="s">
        <v>13</v>
      </c>
      <c r="F667" t="s">
        <v>36</v>
      </c>
      <c r="G667">
        <v>7</v>
      </c>
      <c r="H667" s="1">
        <v>45068</v>
      </c>
      <c r="I667" t="s">
        <v>49</v>
      </c>
      <c r="J667" t="s">
        <v>22</v>
      </c>
    </row>
    <row r="668" spans="1:10" x14ac:dyDescent="0.3">
      <c r="A668" t="s">
        <v>712</v>
      </c>
      <c r="B668" t="s">
        <v>24</v>
      </c>
      <c r="C668">
        <v>33</v>
      </c>
      <c r="D668" t="s">
        <v>18</v>
      </c>
      <c r="E668" t="s">
        <v>19</v>
      </c>
      <c r="F668" t="s">
        <v>38</v>
      </c>
      <c r="G668">
        <v>58</v>
      </c>
      <c r="H668" s="1">
        <v>43536</v>
      </c>
      <c r="I668" t="s">
        <v>34</v>
      </c>
      <c r="J668" t="s">
        <v>65</v>
      </c>
    </row>
    <row r="669" spans="1:10" x14ac:dyDescent="0.3">
      <c r="A669" t="s">
        <v>713</v>
      </c>
      <c r="B669" t="s">
        <v>42</v>
      </c>
      <c r="C669">
        <v>32</v>
      </c>
      <c r="D669" t="s">
        <v>18</v>
      </c>
      <c r="E669" t="s">
        <v>19</v>
      </c>
      <c r="F669" t="s">
        <v>33</v>
      </c>
      <c r="G669">
        <v>1</v>
      </c>
      <c r="H669" s="1">
        <v>45252</v>
      </c>
      <c r="I669" t="s">
        <v>47</v>
      </c>
      <c r="J669" t="s">
        <v>16</v>
      </c>
    </row>
    <row r="670" spans="1:10" x14ac:dyDescent="0.3">
      <c r="A670" t="s">
        <v>714</v>
      </c>
      <c r="B670" t="s">
        <v>61</v>
      </c>
      <c r="C670">
        <v>48</v>
      </c>
      <c r="D670" t="s">
        <v>46</v>
      </c>
      <c r="E670" t="s">
        <v>19</v>
      </c>
      <c r="F670" t="s">
        <v>38</v>
      </c>
      <c r="G670">
        <v>9</v>
      </c>
      <c r="H670" s="1">
        <v>45004</v>
      </c>
      <c r="I670" t="s">
        <v>34</v>
      </c>
      <c r="J670" t="s">
        <v>22</v>
      </c>
    </row>
    <row r="671" spans="1:10" x14ac:dyDescent="0.3">
      <c r="A671" t="s">
        <v>715</v>
      </c>
      <c r="B671" t="s">
        <v>24</v>
      </c>
      <c r="C671">
        <v>28</v>
      </c>
      <c r="D671" t="s">
        <v>18</v>
      </c>
      <c r="E671" t="s">
        <v>13</v>
      </c>
      <c r="F671" t="s">
        <v>36</v>
      </c>
      <c r="G671">
        <v>16</v>
      </c>
      <c r="H671" s="1">
        <v>44800</v>
      </c>
      <c r="I671" t="s">
        <v>29</v>
      </c>
      <c r="J671" t="s">
        <v>16</v>
      </c>
    </row>
    <row r="672" spans="1:10" x14ac:dyDescent="0.3">
      <c r="A672" t="s">
        <v>716</v>
      </c>
      <c r="B672" t="s">
        <v>31</v>
      </c>
      <c r="C672">
        <v>20</v>
      </c>
      <c r="D672" t="s">
        <v>32</v>
      </c>
      <c r="E672" t="s">
        <v>19</v>
      </c>
      <c r="F672" t="s">
        <v>36</v>
      </c>
      <c r="G672">
        <v>56</v>
      </c>
      <c r="H672" s="1">
        <v>43586</v>
      </c>
      <c r="I672" t="s">
        <v>49</v>
      </c>
      <c r="J672" t="s">
        <v>16</v>
      </c>
    </row>
    <row r="673" spans="1:10" x14ac:dyDescent="0.3">
      <c r="A673" t="s">
        <v>717</v>
      </c>
      <c r="B673" t="s">
        <v>31</v>
      </c>
      <c r="C673">
        <v>48</v>
      </c>
      <c r="D673" t="s">
        <v>46</v>
      </c>
      <c r="E673" t="s">
        <v>13</v>
      </c>
      <c r="F673" t="s">
        <v>56</v>
      </c>
      <c r="G673">
        <v>27</v>
      </c>
      <c r="H673" s="1">
        <v>44473</v>
      </c>
      <c r="I673" t="s">
        <v>26</v>
      </c>
      <c r="J673" t="s">
        <v>22</v>
      </c>
    </row>
    <row r="674" spans="1:10" x14ac:dyDescent="0.3">
      <c r="A674" t="s">
        <v>718</v>
      </c>
      <c r="B674" t="s">
        <v>24</v>
      </c>
      <c r="C674">
        <v>20</v>
      </c>
      <c r="D674" t="s">
        <v>32</v>
      </c>
      <c r="E674" t="s">
        <v>13</v>
      </c>
      <c r="F674" t="s">
        <v>38</v>
      </c>
      <c r="G674">
        <v>17</v>
      </c>
      <c r="H674" s="1">
        <v>44770</v>
      </c>
      <c r="I674" t="s">
        <v>47</v>
      </c>
      <c r="J674" t="s">
        <v>22</v>
      </c>
    </row>
    <row r="675" spans="1:10" x14ac:dyDescent="0.3">
      <c r="A675" t="s">
        <v>719</v>
      </c>
      <c r="B675" t="s">
        <v>24</v>
      </c>
      <c r="C675">
        <v>25</v>
      </c>
      <c r="D675" t="s">
        <v>18</v>
      </c>
      <c r="E675" t="s">
        <v>19</v>
      </c>
      <c r="F675" t="s">
        <v>25</v>
      </c>
      <c r="G675">
        <v>31</v>
      </c>
      <c r="H675" s="1">
        <v>44359</v>
      </c>
      <c r="I675" t="s">
        <v>21</v>
      </c>
      <c r="J675" t="s">
        <v>27</v>
      </c>
    </row>
    <row r="676" spans="1:10" x14ac:dyDescent="0.3">
      <c r="A676" t="s">
        <v>720</v>
      </c>
      <c r="B676" t="s">
        <v>24</v>
      </c>
      <c r="C676">
        <v>24</v>
      </c>
      <c r="D676" t="s">
        <v>32</v>
      </c>
      <c r="E676" t="s">
        <v>19</v>
      </c>
      <c r="F676" t="s">
        <v>20</v>
      </c>
      <c r="G676">
        <v>8</v>
      </c>
      <c r="H676" s="1">
        <v>45035</v>
      </c>
      <c r="I676" t="s">
        <v>15</v>
      </c>
      <c r="J676" t="s">
        <v>16</v>
      </c>
    </row>
    <row r="677" spans="1:10" x14ac:dyDescent="0.3">
      <c r="A677" t="s">
        <v>721</v>
      </c>
      <c r="B677" t="s">
        <v>31</v>
      </c>
      <c r="C677">
        <v>25</v>
      </c>
      <c r="D677" t="s">
        <v>18</v>
      </c>
      <c r="E677" t="s">
        <v>19</v>
      </c>
      <c r="F677" t="s">
        <v>14</v>
      </c>
      <c r="G677">
        <v>34</v>
      </c>
      <c r="H677" s="1">
        <v>44248</v>
      </c>
      <c r="I677" t="s">
        <v>15</v>
      </c>
      <c r="J677" t="s">
        <v>16</v>
      </c>
    </row>
    <row r="678" spans="1:10" x14ac:dyDescent="0.3">
      <c r="A678" t="s">
        <v>722</v>
      </c>
      <c r="B678" t="s">
        <v>24</v>
      </c>
      <c r="C678">
        <v>18</v>
      </c>
      <c r="D678" t="s">
        <v>32</v>
      </c>
      <c r="E678" t="s">
        <v>19</v>
      </c>
      <c r="F678" t="s">
        <v>20</v>
      </c>
      <c r="G678">
        <v>12</v>
      </c>
      <c r="H678" s="1">
        <v>44914</v>
      </c>
      <c r="I678" t="s">
        <v>34</v>
      </c>
      <c r="J678" t="s">
        <v>22</v>
      </c>
    </row>
    <row r="679" spans="1:10" x14ac:dyDescent="0.3">
      <c r="A679" t="s">
        <v>723</v>
      </c>
      <c r="B679" t="s">
        <v>31</v>
      </c>
      <c r="C679">
        <v>51</v>
      </c>
      <c r="D679" t="s">
        <v>46</v>
      </c>
      <c r="E679" t="s">
        <v>19</v>
      </c>
      <c r="F679" t="s">
        <v>25</v>
      </c>
      <c r="G679">
        <v>41</v>
      </c>
      <c r="H679" s="1">
        <v>44046</v>
      </c>
      <c r="I679" t="s">
        <v>34</v>
      </c>
      <c r="J679" t="s">
        <v>65</v>
      </c>
    </row>
    <row r="680" spans="1:10" x14ac:dyDescent="0.3">
      <c r="A680" t="s">
        <v>724</v>
      </c>
      <c r="B680" t="s">
        <v>42</v>
      </c>
      <c r="C680">
        <v>28</v>
      </c>
      <c r="D680" t="s">
        <v>18</v>
      </c>
      <c r="E680" t="s">
        <v>19</v>
      </c>
      <c r="F680" t="s">
        <v>38</v>
      </c>
      <c r="G680">
        <v>21</v>
      </c>
      <c r="H680" s="1">
        <v>44639</v>
      </c>
      <c r="I680" t="s">
        <v>34</v>
      </c>
      <c r="J680" t="s">
        <v>27</v>
      </c>
    </row>
    <row r="681" spans="1:10" x14ac:dyDescent="0.3">
      <c r="A681" t="s">
        <v>725</v>
      </c>
      <c r="B681" t="s">
        <v>24</v>
      </c>
      <c r="C681">
        <v>43</v>
      </c>
      <c r="D681" t="s">
        <v>12</v>
      </c>
      <c r="E681" t="s">
        <v>19</v>
      </c>
      <c r="F681" t="s">
        <v>88</v>
      </c>
      <c r="G681">
        <v>34</v>
      </c>
      <c r="H681" s="1">
        <v>44271</v>
      </c>
      <c r="I681" t="s">
        <v>29</v>
      </c>
      <c r="J681" t="s">
        <v>16</v>
      </c>
    </row>
    <row r="682" spans="1:10" x14ac:dyDescent="0.3">
      <c r="A682" t="s">
        <v>726</v>
      </c>
      <c r="B682" t="s">
        <v>11</v>
      </c>
      <c r="C682">
        <v>18</v>
      </c>
      <c r="D682" t="s">
        <v>32</v>
      </c>
      <c r="E682" t="s">
        <v>13</v>
      </c>
      <c r="F682" t="s">
        <v>20</v>
      </c>
      <c r="G682">
        <v>51</v>
      </c>
      <c r="H682" s="1">
        <v>43738</v>
      </c>
      <c r="I682" t="s">
        <v>29</v>
      </c>
      <c r="J682" t="s">
        <v>16</v>
      </c>
    </row>
    <row r="683" spans="1:10" x14ac:dyDescent="0.3">
      <c r="A683" t="s">
        <v>727</v>
      </c>
      <c r="B683" t="s">
        <v>24</v>
      </c>
      <c r="C683">
        <v>29</v>
      </c>
      <c r="D683" t="s">
        <v>18</v>
      </c>
      <c r="E683" t="s">
        <v>13</v>
      </c>
      <c r="F683" t="s">
        <v>88</v>
      </c>
      <c r="G683">
        <v>29</v>
      </c>
      <c r="H683" s="1">
        <v>44408</v>
      </c>
      <c r="I683" t="s">
        <v>21</v>
      </c>
      <c r="J683" t="s">
        <v>27</v>
      </c>
    </row>
    <row r="684" spans="1:10" x14ac:dyDescent="0.3">
      <c r="A684" t="s">
        <v>728</v>
      </c>
      <c r="B684" t="s">
        <v>31</v>
      </c>
      <c r="C684">
        <v>22</v>
      </c>
      <c r="D684" t="s">
        <v>32</v>
      </c>
      <c r="E684" t="s">
        <v>13</v>
      </c>
      <c r="F684" t="s">
        <v>54</v>
      </c>
      <c r="G684">
        <v>32</v>
      </c>
      <c r="H684" s="1">
        <v>44307</v>
      </c>
      <c r="I684" t="s">
        <v>39</v>
      </c>
      <c r="J684" t="s">
        <v>27</v>
      </c>
    </row>
    <row r="685" spans="1:10" x14ac:dyDescent="0.3">
      <c r="A685" t="s">
        <v>729</v>
      </c>
      <c r="B685" t="s">
        <v>11</v>
      </c>
      <c r="C685">
        <v>44</v>
      </c>
      <c r="D685" t="s">
        <v>12</v>
      </c>
      <c r="E685" t="s">
        <v>13</v>
      </c>
      <c r="F685" t="s">
        <v>14</v>
      </c>
      <c r="G685">
        <v>1</v>
      </c>
      <c r="H685" s="1">
        <v>45252</v>
      </c>
      <c r="I685" t="s">
        <v>49</v>
      </c>
      <c r="J685" t="s">
        <v>27</v>
      </c>
    </row>
    <row r="686" spans="1:10" x14ac:dyDescent="0.3">
      <c r="A686" t="s">
        <v>730</v>
      </c>
      <c r="B686" t="s">
        <v>31</v>
      </c>
      <c r="C686">
        <v>18</v>
      </c>
      <c r="D686" t="s">
        <v>32</v>
      </c>
      <c r="E686" t="s">
        <v>105</v>
      </c>
      <c r="F686" t="s">
        <v>20</v>
      </c>
      <c r="G686">
        <v>30</v>
      </c>
      <c r="H686" s="1">
        <v>44378</v>
      </c>
      <c r="I686" t="s">
        <v>29</v>
      </c>
      <c r="J686" t="s">
        <v>16</v>
      </c>
    </row>
    <row r="687" spans="1:10" x14ac:dyDescent="0.3">
      <c r="A687" t="s">
        <v>731</v>
      </c>
      <c r="B687" t="s">
        <v>24</v>
      </c>
      <c r="C687">
        <v>21</v>
      </c>
      <c r="D687" t="s">
        <v>32</v>
      </c>
      <c r="E687" t="s">
        <v>19</v>
      </c>
      <c r="F687" t="s">
        <v>56</v>
      </c>
      <c r="G687">
        <v>55</v>
      </c>
      <c r="H687" s="1">
        <v>43615</v>
      </c>
      <c r="I687" t="s">
        <v>39</v>
      </c>
      <c r="J687" t="s">
        <v>22</v>
      </c>
    </row>
    <row r="688" spans="1:10" x14ac:dyDescent="0.3">
      <c r="A688" t="s">
        <v>732</v>
      </c>
      <c r="B688" t="s">
        <v>42</v>
      </c>
      <c r="C688">
        <v>25</v>
      </c>
      <c r="D688" t="s">
        <v>18</v>
      </c>
      <c r="E688" t="s">
        <v>19</v>
      </c>
      <c r="F688" t="s">
        <v>38</v>
      </c>
      <c r="G688">
        <v>10</v>
      </c>
      <c r="H688" s="1">
        <v>44979</v>
      </c>
      <c r="I688" t="s">
        <v>62</v>
      </c>
      <c r="J688" t="s">
        <v>27</v>
      </c>
    </row>
    <row r="689" spans="1:10" x14ac:dyDescent="0.3">
      <c r="A689" t="s">
        <v>733</v>
      </c>
      <c r="B689" t="s">
        <v>31</v>
      </c>
      <c r="C689">
        <v>27</v>
      </c>
      <c r="D689" t="s">
        <v>18</v>
      </c>
      <c r="E689" t="s">
        <v>19</v>
      </c>
      <c r="F689" t="s">
        <v>38</v>
      </c>
      <c r="G689">
        <v>52</v>
      </c>
      <c r="H689" s="1">
        <v>43715</v>
      </c>
      <c r="I689" t="s">
        <v>39</v>
      </c>
      <c r="J689" t="s">
        <v>27</v>
      </c>
    </row>
    <row r="690" spans="1:10" x14ac:dyDescent="0.3">
      <c r="A690" t="s">
        <v>734</v>
      </c>
      <c r="B690" t="s">
        <v>31</v>
      </c>
      <c r="C690">
        <v>18</v>
      </c>
      <c r="D690" t="s">
        <v>32</v>
      </c>
      <c r="E690" t="s">
        <v>19</v>
      </c>
      <c r="F690" t="s">
        <v>36</v>
      </c>
      <c r="G690">
        <v>56</v>
      </c>
      <c r="H690" s="1">
        <v>43609</v>
      </c>
      <c r="I690" t="s">
        <v>62</v>
      </c>
      <c r="J690" t="s">
        <v>27</v>
      </c>
    </row>
    <row r="691" spans="1:10" x14ac:dyDescent="0.3">
      <c r="A691" t="s">
        <v>735</v>
      </c>
      <c r="B691" t="s">
        <v>42</v>
      </c>
      <c r="C691">
        <v>21</v>
      </c>
      <c r="D691" t="s">
        <v>32</v>
      </c>
      <c r="E691" t="s">
        <v>13</v>
      </c>
      <c r="F691" t="s">
        <v>88</v>
      </c>
      <c r="G691">
        <v>47</v>
      </c>
      <c r="H691" s="1">
        <v>43881</v>
      </c>
      <c r="I691" t="s">
        <v>62</v>
      </c>
      <c r="J691" t="s">
        <v>22</v>
      </c>
    </row>
    <row r="692" spans="1:10" x14ac:dyDescent="0.3">
      <c r="A692" t="s">
        <v>736</v>
      </c>
      <c r="B692" t="s">
        <v>11</v>
      </c>
      <c r="C692">
        <v>31</v>
      </c>
      <c r="D692" t="s">
        <v>18</v>
      </c>
      <c r="E692" t="s">
        <v>19</v>
      </c>
      <c r="F692" t="s">
        <v>25</v>
      </c>
      <c r="G692">
        <v>55</v>
      </c>
      <c r="H692" s="1">
        <v>43613</v>
      </c>
      <c r="I692" t="s">
        <v>26</v>
      </c>
      <c r="J692" t="s">
        <v>27</v>
      </c>
    </row>
    <row r="693" spans="1:10" x14ac:dyDescent="0.3">
      <c r="A693" t="s">
        <v>737</v>
      </c>
      <c r="B693" t="s">
        <v>24</v>
      </c>
      <c r="C693">
        <v>32</v>
      </c>
      <c r="D693" t="s">
        <v>18</v>
      </c>
      <c r="E693" t="s">
        <v>13</v>
      </c>
      <c r="F693" t="s">
        <v>38</v>
      </c>
      <c r="G693">
        <v>21</v>
      </c>
      <c r="H693" s="1">
        <v>44648</v>
      </c>
      <c r="I693" t="s">
        <v>49</v>
      </c>
      <c r="J693" t="s">
        <v>27</v>
      </c>
    </row>
    <row r="694" spans="1:10" x14ac:dyDescent="0.3">
      <c r="A694" t="s">
        <v>738</v>
      </c>
      <c r="B694" t="s">
        <v>11</v>
      </c>
      <c r="C694">
        <v>18</v>
      </c>
      <c r="D694" t="s">
        <v>32</v>
      </c>
      <c r="E694" t="s">
        <v>13</v>
      </c>
      <c r="F694" t="s">
        <v>20</v>
      </c>
      <c r="G694">
        <v>12</v>
      </c>
      <c r="H694" s="1">
        <v>44913</v>
      </c>
      <c r="I694" t="s">
        <v>62</v>
      </c>
      <c r="J694" t="s">
        <v>22</v>
      </c>
    </row>
    <row r="695" spans="1:10" x14ac:dyDescent="0.3">
      <c r="A695" t="s">
        <v>739</v>
      </c>
      <c r="B695" t="s">
        <v>42</v>
      </c>
      <c r="C695">
        <v>25</v>
      </c>
      <c r="D695" t="s">
        <v>18</v>
      </c>
      <c r="E695" t="s">
        <v>13</v>
      </c>
      <c r="F695" t="s">
        <v>64</v>
      </c>
      <c r="G695">
        <v>11</v>
      </c>
      <c r="H695" s="1">
        <v>44959</v>
      </c>
      <c r="I695" t="s">
        <v>47</v>
      </c>
      <c r="J695" t="s">
        <v>16</v>
      </c>
    </row>
    <row r="696" spans="1:10" x14ac:dyDescent="0.3">
      <c r="A696" t="s">
        <v>740</v>
      </c>
      <c r="B696" t="s">
        <v>31</v>
      </c>
      <c r="C696">
        <v>47</v>
      </c>
      <c r="D696" t="s">
        <v>46</v>
      </c>
      <c r="E696" t="s">
        <v>19</v>
      </c>
      <c r="F696" t="s">
        <v>36</v>
      </c>
      <c r="G696">
        <v>19</v>
      </c>
      <c r="H696" s="1">
        <v>44695</v>
      </c>
      <c r="I696" t="s">
        <v>47</v>
      </c>
      <c r="J696" t="s">
        <v>65</v>
      </c>
    </row>
    <row r="697" spans="1:10" x14ac:dyDescent="0.3">
      <c r="A697" t="s">
        <v>741</v>
      </c>
      <c r="B697" t="s">
        <v>11</v>
      </c>
      <c r="C697">
        <v>18</v>
      </c>
      <c r="D697" t="s">
        <v>32</v>
      </c>
      <c r="E697" t="s">
        <v>13</v>
      </c>
      <c r="F697" t="s">
        <v>54</v>
      </c>
      <c r="G697">
        <v>20</v>
      </c>
      <c r="H697" s="1">
        <v>44692</v>
      </c>
      <c r="I697" t="s">
        <v>21</v>
      </c>
      <c r="J697" t="s">
        <v>65</v>
      </c>
    </row>
    <row r="698" spans="1:10" x14ac:dyDescent="0.3">
      <c r="A698" t="s">
        <v>742</v>
      </c>
      <c r="B698" t="s">
        <v>24</v>
      </c>
      <c r="C698">
        <v>25</v>
      </c>
      <c r="D698" t="s">
        <v>18</v>
      </c>
      <c r="E698" t="s">
        <v>13</v>
      </c>
      <c r="F698" t="s">
        <v>56</v>
      </c>
      <c r="G698">
        <v>41</v>
      </c>
      <c r="H698" s="1">
        <v>44057</v>
      </c>
      <c r="I698" t="s">
        <v>34</v>
      </c>
      <c r="J698" t="s">
        <v>27</v>
      </c>
    </row>
    <row r="699" spans="1:10" x14ac:dyDescent="0.3">
      <c r="A699" t="s">
        <v>743</v>
      </c>
      <c r="B699" t="s">
        <v>31</v>
      </c>
      <c r="C699">
        <v>26</v>
      </c>
      <c r="D699" t="s">
        <v>18</v>
      </c>
      <c r="E699" t="s">
        <v>19</v>
      </c>
      <c r="F699" t="s">
        <v>20</v>
      </c>
      <c r="G699">
        <v>8</v>
      </c>
      <c r="H699" s="1">
        <v>45047</v>
      </c>
      <c r="I699" t="s">
        <v>39</v>
      </c>
      <c r="J699" t="s">
        <v>22</v>
      </c>
    </row>
    <row r="700" spans="1:10" x14ac:dyDescent="0.3">
      <c r="A700" t="s">
        <v>744</v>
      </c>
      <c r="B700" t="s">
        <v>11</v>
      </c>
      <c r="C700">
        <v>26</v>
      </c>
      <c r="D700" t="s">
        <v>18</v>
      </c>
      <c r="E700" t="s">
        <v>19</v>
      </c>
      <c r="F700" t="s">
        <v>54</v>
      </c>
      <c r="G700">
        <v>22</v>
      </c>
      <c r="H700" s="1">
        <v>44605</v>
      </c>
      <c r="I700" t="s">
        <v>29</v>
      </c>
      <c r="J700" t="s">
        <v>22</v>
      </c>
    </row>
    <row r="701" spans="1:10" x14ac:dyDescent="0.3">
      <c r="A701" t="s">
        <v>745</v>
      </c>
      <c r="B701" t="s">
        <v>24</v>
      </c>
      <c r="C701">
        <v>19</v>
      </c>
      <c r="D701" t="s">
        <v>32</v>
      </c>
      <c r="E701" t="s">
        <v>19</v>
      </c>
      <c r="F701" t="s">
        <v>20</v>
      </c>
      <c r="G701">
        <v>6</v>
      </c>
      <c r="H701" s="1">
        <v>45086</v>
      </c>
      <c r="I701" t="s">
        <v>47</v>
      </c>
      <c r="J701" t="s">
        <v>27</v>
      </c>
    </row>
    <row r="702" spans="1:10" x14ac:dyDescent="0.3">
      <c r="A702" t="s">
        <v>746</v>
      </c>
      <c r="B702" t="s">
        <v>11</v>
      </c>
      <c r="C702">
        <v>18</v>
      </c>
      <c r="D702" t="s">
        <v>32</v>
      </c>
      <c r="E702" t="s">
        <v>19</v>
      </c>
      <c r="F702" t="s">
        <v>33</v>
      </c>
      <c r="G702">
        <v>34</v>
      </c>
      <c r="H702" s="1">
        <v>44246</v>
      </c>
      <c r="I702" t="s">
        <v>15</v>
      </c>
      <c r="J702" t="s">
        <v>22</v>
      </c>
    </row>
    <row r="703" spans="1:10" x14ac:dyDescent="0.3">
      <c r="A703" t="s">
        <v>747</v>
      </c>
      <c r="B703" t="s">
        <v>42</v>
      </c>
      <c r="C703">
        <v>60</v>
      </c>
      <c r="D703" t="s">
        <v>201</v>
      </c>
      <c r="E703" t="s">
        <v>19</v>
      </c>
      <c r="F703" t="s">
        <v>54</v>
      </c>
      <c r="G703">
        <v>54</v>
      </c>
      <c r="H703" s="1">
        <v>43660</v>
      </c>
      <c r="I703" t="s">
        <v>62</v>
      </c>
      <c r="J703" t="s">
        <v>16</v>
      </c>
    </row>
    <row r="704" spans="1:10" x14ac:dyDescent="0.3">
      <c r="A704" t="s">
        <v>748</v>
      </c>
      <c r="B704" t="s">
        <v>31</v>
      </c>
      <c r="C704">
        <v>41</v>
      </c>
      <c r="D704" t="s">
        <v>12</v>
      </c>
      <c r="E704" t="s">
        <v>19</v>
      </c>
      <c r="F704" t="s">
        <v>14</v>
      </c>
      <c r="G704">
        <v>6</v>
      </c>
      <c r="H704" s="1">
        <v>45109</v>
      </c>
      <c r="I704" t="s">
        <v>62</v>
      </c>
      <c r="J704" t="s">
        <v>27</v>
      </c>
    </row>
    <row r="705" spans="1:10" x14ac:dyDescent="0.3">
      <c r="A705" t="s">
        <v>749</v>
      </c>
      <c r="B705" t="s">
        <v>11</v>
      </c>
      <c r="C705">
        <v>35</v>
      </c>
      <c r="D705" t="s">
        <v>12</v>
      </c>
      <c r="E705" t="s">
        <v>13</v>
      </c>
      <c r="F705" t="s">
        <v>64</v>
      </c>
      <c r="G705">
        <v>18</v>
      </c>
      <c r="H705" s="1">
        <v>44728</v>
      </c>
      <c r="I705" t="s">
        <v>15</v>
      </c>
      <c r="J705" t="s">
        <v>27</v>
      </c>
    </row>
    <row r="706" spans="1:10" x14ac:dyDescent="0.3">
      <c r="A706" t="s">
        <v>750</v>
      </c>
      <c r="B706" t="s">
        <v>61</v>
      </c>
      <c r="C706">
        <v>25</v>
      </c>
      <c r="D706" t="s">
        <v>18</v>
      </c>
      <c r="E706" t="s">
        <v>19</v>
      </c>
      <c r="F706" t="s">
        <v>25</v>
      </c>
      <c r="G706">
        <v>24</v>
      </c>
      <c r="H706" s="1">
        <v>44554</v>
      </c>
      <c r="I706" t="s">
        <v>29</v>
      </c>
      <c r="J706" t="s">
        <v>65</v>
      </c>
    </row>
    <row r="707" spans="1:10" x14ac:dyDescent="0.3">
      <c r="A707" t="s">
        <v>751</v>
      </c>
      <c r="B707" t="s">
        <v>31</v>
      </c>
      <c r="C707">
        <v>29</v>
      </c>
      <c r="D707" t="s">
        <v>18</v>
      </c>
      <c r="E707" t="s">
        <v>13</v>
      </c>
      <c r="F707" t="s">
        <v>36</v>
      </c>
      <c r="G707">
        <v>21</v>
      </c>
      <c r="H707" s="1">
        <v>44641</v>
      </c>
      <c r="I707" t="s">
        <v>15</v>
      </c>
      <c r="J707" t="s">
        <v>16</v>
      </c>
    </row>
    <row r="708" spans="1:10" x14ac:dyDescent="0.3">
      <c r="A708" t="s">
        <v>752</v>
      </c>
      <c r="B708" t="s">
        <v>11</v>
      </c>
      <c r="C708">
        <v>36</v>
      </c>
      <c r="D708" t="s">
        <v>12</v>
      </c>
      <c r="E708" t="s">
        <v>13</v>
      </c>
      <c r="F708" t="s">
        <v>64</v>
      </c>
      <c r="G708">
        <v>38</v>
      </c>
      <c r="H708" s="1">
        <v>44137</v>
      </c>
      <c r="I708" t="s">
        <v>39</v>
      </c>
      <c r="J708" t="s">
        <v>16</v>
      </c>
    </row>
    <row r="709" spans="1:10" x14ac:dyDescent="0.3">
      <c r="A709" t="s">
        <v>753</v>
      </c>
      <c r="B709" t="s">
        <v>42</v>
      </c>
      <c r="C709">
        <v>26</v>
      </c>
      <c r="D709" t="s">
        <v>18</v>
      </c>
      <c r="E709" t="s">
        <v>19</v>
      </c>
      <c r="F709" t="s">
        <v>33</v>
      </c>
      <c r="G709">
        <v>39</v>
      </c>
      <c r="H709" s="1">
        <v>44099</v>
      </c>
      <c r="I709" t="s">
        <v>47</v>
      </c>
      <c r="J709" t="s">
        <v>65</v>
      </c>
    </row>
    <row r="710" spans="1:10" x14ac:dyDescent="0.3">
      <c r="A710" t="s">
        <v>754</v>
      </c>
      <c r="B710" t="s">
        <v>61</v>
      </c>
      <c r="C710">
        <v>29</v>
      </c>
      <c r="D710" t="s">
        <v>18</v>
      </c>
      <c r="E710" t="s">
        <v>105</v>
      </c>
      <c r="F710" t="s">
        <v>54</v>
      </c>
      <c r="G710">
        <v>42</v>
      </c>
      <c r="H710" s="1">
        <v>44021</v>
      </c>
      <c r="I710" t="s">
        <v>49</v>
      </c>
      <c r="J710" t="s">
        <v>27</v>
      </c>
    </row>
    <row r="711" spans="1:10" x14ac:dyDescent="0.3">
      <c r="A711" t="s">
        <v>755</v>
      </c>
      <c r="B711" t="s">
        <v>24</v>
      </c>
      <c r="C711">
        <v>29</v>
      </c>
      <c r="D711" t="s">
        <v>18</v>
      </c>
      <c r="E711" t="s">
        <v>13</v>
      </c>
      <c r="F711" t="s">
        <v>33</v>
      </c>
      <c r="G711">
        <v>20</v>
      </c>
      <c r="H711" s="1">
        <v>44663</v>
      </c>
      <c r="I711" t="s">
        <v>15</v>
      </c>
      <c r="J711" t="s">
        <v>27</v>
      </c>
    </row>
    <row r="712" spans="1:10" x14ac:dyDescent="0.3">
      <c r="A712" t="s">
        <v>756</v>
      </c>
      <c r="B712" t="s">
        <v>42</v>
      </c>
      <c r="C712">
        <v>22</v>
      </c>
      <c r="D712" t="s">
        <v>32</v>
      </c>
      <c r="E712" t="s">
        <v>19</v>
      </c>
      <c r="F712" t="s">
        <v>14</v>
      </c>
      <c r="G712">
        <v>51</v>
      </c>
      <c r="H712" s="1">
        <v>43743</v>
      </c>
      <c r="I712" t="s">
        <v>62</v>
      </c>
      <c r="J712" t="s">
        <v>16</v>
      </c>
    </row>
    <row r="713" spans="1:10" x14ac:dyDescent="0.3">
      <c r="A713" t="s">
        <v>757</v>
      </c>
      <c r="B713" t="s">
        <v>31</v>
      </c>
      <c r="C713">
        <v>45</v>
      </c>
      <c r="D713" t="s">
        <v>46</v>
      </c>
      <c r="E713" t="s">
        <v>19</v>
      </c>
      <c r="F713" t="s">
        <v>14</v>
      </c>
      <c r="G713">
        <v>57</v>
      </c>
      <c r="H713" s="1">
        <v>43568</v>
      </c>
      <c r="I713" t="s">
        <v>29</v>
      </c>
      <c r="J713" t="s">
        <v>16</v>
      </c>
    </row>
    <row r="714" spans="1:10" x14ac:dyDescent="0.3">
      <c r="A714" t="s">
        <v>758</v>
      </c>
      <c r="B714" t="s">
        <v>31</v>
      </c>
      <c r="C714">
        <v>27</v>
      </c>
      <c r="D714" t="s">
        <v>18</v>
      </c>
      <c r="E714" t="s">
        <v>13</v>
      </c>
      <c r="F714" t="s">
        <v>33</v>
      </c>
      <c r="G714">
        <v>53</v>
      </c>
      <c r="H714" s="1">
        <v>43700</v>
      </c>
      <c r="I714" t="s">
        <v>34</v>
      </c>
      <c r="J714" t="s">
        <v>65</v>
      </c>
    </row>
    <row r="715" spans="1:10" x14ac:dyDescent="0.3">
      <c r="A715" t="s">
        <v>759</v>
      </c>
      <c r="B715" t="s">
        <v>11</v>
      </c>
      <c r="C715">
        <v>36</v>
      </c>
      <c r="D715" t="s">
        <v>12</v>
      </c>
      <c r="E715" t="s">
        <v>19</v>
      </c>
      <c r="F715" t="s">
        <v>25</v>
      </c>
      <c r="G715">
        <v>56</v>
      </c>
      <c r="H715" s="1">
        <v>43609</v>
      </c>
      <c r="I715" t="s">
        <v>29</v>
      </c>
      <c r="J715" t="s">
        <v>27</v>
      </c>
    </row>
    <row r="716" spans="1:10" x14ac:dyDescent="0.3">
      <c r="A716" t="s">
        <v>760</v>
      </c>
      <c r="B716" t="s">
        <v>31</v>
      </c>
      <c r="C716">
        <v>43</v>
      </c>
      <c r="D716" t="s">
        <v>12</v>
      </c>
      <c r="E716" t="s">
        <v>13</v>
      </c>
      <c r="F716" t="s">
        <v>20</v>
      </c>
      <c r="G716">
        <v>10</v>
      </c>
      <c r="H716" s="1">
        <v>44992</v>
      </c>
      <c r="I716" t="s">
        <v>47</v>
      </c>
      <c r="J716" t="s">
        <v>16</v>
      </c>
    </row>
    <row r="717" spans="1:10" x14ac:dyDescent="0.3">
      <c r="A717" t="s">
        <v>761</v>
      </c>
      <c r="B717" t="s">
        <v>11</v>
      </c>
      <c r="C717">
        <v>39</v>
      </c>
      <c r="D717" t="s">
        <v>12</v>
      </c>
      <c r="E717" t="s">
        <v>19</v>
      </c>
      <c r="F717" t="s">
        <v>88</v>
      </c>
      <c r="G717">
        <v>1</v>
      </c>
      <c r="H717" s="1">
        <v>45237</v>
      </c>
      <c r="I717" t="s">
        <v>29</v>
      </c>
      <c r="J717" t="s">
        <v>27</v>
      </c>
    </row>
    <row r="718" spans="1:10" x14ac:dyDescent="0.3">
      <c r="A718" t="s">
        <v>762</v>
      </c>
      <c r="B718" t="s">
        <v>42</v>
      </c>
      <c r="C718">
        <v>24</v>
      </c>
      <c r="D718" t="s">
        <v>32</v>
      </c>
      <c r="E718" t="s">
        <v>13</v>
      </c>
      <c r="F718" t="s">
        <v>25</v>
      </c>
      <c r="G718">
        <v>40</v>
      </c>
      <c r="H718" s="1">
        <v>44076</v>
      </c>
      <c r="I718" t="s">
        <v>29</v>
      </c>
      <c r="J718" t="s">
        <v>16</v>
      </c>
    </row>
    <row r="719" spans="1:10" x14ac:dyDescent="0.3">
      <c r="A719" t="s">
        <v>763</v>
      </c>
      <c r="B719" t="s">
        <v>31</v>
      </c>
      <c r="C719">
        <v>31</v>
      </c>
      <c r="D719" t="s">
        <v>18</v>
      </c>
      <c r="E719" t="s">
        <v>19</v>
      </c>
      <c r="F719" t="s">
        <v>25</v>
      </c>
      <c r="G719">
        <v>16</v>
      </c>
      <c r="H719" s="1">
        <v>44786</v>
      </c>
      <c r="I719" t="s">
        <v>29</v>
      </c>
      <c r="J719" t="s">
        <v>22</v>
      </c>
    </row>
    <row r="720" spans="1:10" x14ac:dyDescent="0.3">
      <c r="A720" t="s">
        <v>764</v>
      </c>
      <c r="B720" t="s">
        <v>31</v>
      </c>
      <c r="C720">
        <v>18</v>
      </c>
      <c r="D720" t="s">
        <v>32</v>
      </c>
      <c r="E720" t="s">
        <v>19</v>
      </c>
      <c r="F720" t="s">
        <v>56</v>
      </c>
      <c r="G720">
        <v>37</v>
      </c>
      <c r="H720" s="1">
        <v>44156</v>
      </c>
      <c r="I720" t="s">
        <v>47</v>
      </c>
      <c r="J720" t="s">
        <v>27</v>
      </c>
    </row>
    <row r="721" spans="1:10" x14ac:dyDescent="0.3">
      <c r="A721" t="s">
        <v>765</v>
      </c>
      <c r="B721" t="s">
        <v>31</v>
      </c>
      <c r="C721">
        <v>25</v>
      </c>
      <c r="D721" t="s">
        <v>18</v>
      </c>
      <c r="E721" t="s">
        <v>13</v>
      </c>
      <c r="F721" t="s">
        <v>14</v>
      </c>
      <c r="G721">
        <v>10</v>
      </c>
      <c r="H721" s="1">
        <v>44969</v>
      </c>
      <c r="I721" t="s">
        <v>47</v>
      </c>
      <c r="J721" t="s">
        <v>27</v>
      </c>
    </row>
    <row r="722" spans="1:10" x14ac:dyDescent="0.3">
      <c r="A722" t="s">
        <v>766</v>
      </c>
      <c r="B722" t="s">
        <v>61</v>
      </c>
      <c r="C722">
        <v>20</v>
      </c>
      <c r="D722" t="s">
        <v>32</v>
      </c>
      <c r="E722" t="s">
        <v>13</v>
      </c>
      <c r="F722" t="s">
        <v>88</v>
      </c>
      <c r="G722">
        <v>15</v>
      </c>
      <c r="H722" s="1">
        <v>44829</v>
      </c>
      <c r="I722" t="s">
        <v>34</v>
      </c>
      <c r="J722" t="s">
        <v>27</v>
      </c>
    </row>
    <row r="723" spans="1:10" x14ac:dyDescent="0.3">
      <c r="A723" t="s">
        <v>767</v>
      </c>
      <c r="B723" t="s">
        <v>61</v>
      </c>
      <c r="C723">
        <v>31</v>
      </c>
      <c r="D723" t="s">
        <v>18</v>
      </c>
      <c r="E723" t="s">
        <v>13</v>
      </c>
      <c r="F723" t="s">
        <v>38</v>
      </c>
      <c r="G723">
        <v>16</v>
      </c>
      <c r="H723" s="1">
        <v>44803</v>
      </c>
      <c r="I723" t="s">
        <v>62</v>
      </c>
      <c r="J723" t="s">
        <v>65</v>
      </c>
    </row>
    <row r="724" spans="1:10" x14ac:dyDescent="0.3">
      <c r="A724" t="s">
        <v>768</v>
      </c>
      <c r="B724" t="s">
        <v>24</v>
      </c>
      <c r="C724">
        <v>47</v>
      </c>
      <c r="D724" t="s">
        <v>46</v>
      </c>
      <c r="E724" t="s">
        <v>13</v>
      </c>
      <c r="F724" t="s">
        <v>88</v>
      </c>
      <c r="G724">
        <v>21</v>
      </c>
      <c r="H724" s="1">
        <v>44662</v>
      </c>
      <c r="I724" t="s">
        <v>15</v>
      </c>
      <c r="J724" t="s">
        <v>27</v>
      </c>
    </row>
    <row r="725" spans="1:10" x14ac:dyDescent="0.3">
      <c r="A725" t="s">
        <v>769</v>
      </c>
      <c r="B725" t="s">
        <v>31</v>
      </c>
      <c r="C725">
        <v>22</v>
      </c>
      <c r="D725" t="s">
        <v>32</v>
      </c>
      <c r="E725" t="s">
        <v>19</v>
      </c>
      <c r="F725" t="s">
        <v>38</v>
      </c>
      <c r="G725">
        <v>25</v>
      </c>
      <c r="H725" s="1">
        <v>44521</v>
      </c>
      <c r="I725" t="s">
        <v>26</v>
      </c>
      <c r="J725" t="s">
        <v>27</v>
      </c>
    </row>
    <row r="726" spans="1:10" x14ac:dyDescent="0.3">
      <c r="A726" t="s">
        <v>770</v>
      </c>
      <c r="B726" t="s">
        <v>11</v>
      </c>
      <c r="C726">
        <v>23</v>
      </c>
      <c r="D726" t="s">
        <v>32</v>
      </c>
      <c r="E726" t="s">
        <v>19</v>
      </c>
      <c r="F726" t="s">
        <v>14</v>
      </c>
      <c r="G726">
        <v>24</v>
      </c>
      <c r="H726" s="1">
        <v>44563</v>
      </c>
      <c r="I726" t="s">
        <v>34</v>
      </c>
      <c r="J726" t="s">
        <v>16</v>
      </c>
    </row>
    <row r="727" spans="1:10" x14ac:dyDescent="0.3">
      <c r="A727" t="s">
        <v>771</v>
      </c>
      <c r="B727" t="s">
        <v>31</v>
      </c>
      <c r="C727">
        <v>33</v>
      </c>
      <c r="D727" t="s">
        <v>18</v>
      </c>
      <c r="E727" t="s">
        <v>19</v>
      </c>
      <c r="F727" t="s">
        <v>36</v>
      </c>
      <c r="G727">
        <v>51</v>
      </c>
      <c r="H727" s="1">
        <v>43741</v>
      </c>
      <c r="I727" t="s">
        <v>29</v>
      </c>
      <c r="J727" t="s">
        <v>16</v>
      </c>
    </row>
    <row r="728" spans="1:10" x14ac:dyDescent="0.3">
      <c r="A728" t="s">
        <v>772</v>
      </c>
      <c r="B728" t="s">
        <v>24</v>
      </c>
      <c r="C728">
        <v>33</v>
      </c>
      <c r="D728" t="s">
        <v>18</v>
      </c>
      <c r="E728" t="s">
        <v>19</v>
      </c>
      <c r="F728" t="s">
        <v>14</v>
      </c>
      <c r="G728">
        <v>9</v>
      </c>
      <c r="H728" s="1">
        <v>45019</v>
      </c>
      <c r="I728" t="s">
        <v>34</v>
      </c>
      <c r="J728" t="s">
        <v>22</v>
      </c>
    </row>
    <row r="729" spans="1:10" x14ac:dyDescent="0.3">
      <c r="A729" t="s">
        <v>773</v>
      </c>
      <c r="B729" t="s">
        <v>11</v>
      </c>
      <c r="C729">
        <v>22</v>
      </c>
      <c r="D729" t="s">
        <v>32</v>
      </c>
      <c r="E729" t="s">
        <v>13</v>
      </c>
      <c r="F729" t="s">
        <v>36</v>
      </c>
      <c r="G729">
        <v>48</v>
      </c>
      <c r="H729" s="1">
        <v>43829</v>
      </c>
      <c r="I729" t="s">
        <v>39</v>
      </c>
      <c r="J729" t="s">
        <v>22</v>
      </c>
    </row>
    <row r="730" spans="1:10" x14ac:dyDescent="0.3">
      <c r="A730" t="s">
        <v>774</v>
      </c>
      <c r="B730" t="s">
        <v>24</v>
      </c>
      <c r="C730">
        <v>30</v>
      </c>
      <c r="D730" t="s">
        <v>18</v>
      </c>
      <c r="E730" t="s">
        <v>13</v>
      </c>
      <c r="F730" t="s">
        <v>33</v>
      </c>
      <c r="G730">
        <v>50</v>
      </c>
      <c r="H730" s="1">
        <v>43783</v>
      </c>
      <c r="I730" t="s">
        <v>21</v>
      </c>
      <c r="J730" t="s">
        <v>65</v>
      </c>
    </row>
    <row r="731" spans="1:10" x14ac:dyDescent="0.3">
      <c r="A731" t="s">
        <v>775</v>
      </c>
      <c r="B731" t="s">
        <v>24</v>
      </c>
      <c r="C731">
        <v>36</v>
      </c>
      <c r="D731" t="s">
        <v>12</v>
      </c>
      <c r="E731" t="s">
        <v>19</v>
      </c>
      <c r="F731" t="s">
        <v>54</v>
      </c>
      <c r="G731">
        <v>3</v>
      </c>
      <c r="H731" s="1">
        <v>45177</v>
      </c>
      <c r="I731" t="s">
        <v>15</v>
      </c>
      <c r="J731" t="s">
        <v>27</v>
      </c>
    </row>
    <row r="732" spans="1:10" x14ac:dyDescent="0.3">
      <c r="A732" t="s">
        <v>776</v>
      </c>
      <c r="B732" t="s">
        <v>24</v>
      </c>
      <c r="C732">
        <v>47</v>
      </c>
      <c r="D732" t="s">
        <v>46</v>
      </c>
      <c r="E732" t="s">
        <v>19</v>
      </c>
      <c r="F732" t="s">
        <v>88</v>
      </c>
      <c r="G732">
        <v>52</v>
      </c>
      <c r="H732" s="1">
        <v>43719</v>
      </c>
      <c r="I732" t="s">
        <v>29</v>
      </c>
      <c r="J732" t="s">
        <v>65</v>
      </c>
    </row>
    <row r="733" spans="1:10" x14ac:dyDescent="0.3">
      <c r="A733" t="s">
        <v>777</v>
      </c>
      <c r="B733" t="s">
        <v>11</v>
      </c>
      <c r="C733">
        <v>29</v>
      </c>
      <c r="D733" t="s">
        <v>18</v>
      </c>
      <c r="E733" t="s">
        <v>13</v>
      </c>
      <c r="F733" t="s">
        <v>36</v>
      </c>
      <c r="G733">
        <v>57</v>
      </c>
      <c r="H733" s="1">
        <v>43558</v>
      </c>
      <c r="I733" t="s">
        <v>47</v>
      </c>
      <c r="J733" t="s">
        <v>27</v>
      </c>
    </row>
    <row r="734" spans="1:10" x14ac:dyDescent="0.3">
      <c r="A734" t="s">
        <v>778</v>
      </c>
      <c r="B734" t="s">
        <v>42</v>
      </c>
      <c r="C734">
        <v>32</v>
      </c>
      <c r="D734" t="s">
        <v>18</v>
      </c>
      <c r="E734" t="s">
        <v>13</v>
      </c>
      <c r="F734" t="s">
        <v>64</v>
      </c>
      <c r="G734">
        <v>34</v>
      </c>
      <c r="H734" s="1">
        <v>44252</v>
      </c>
      <c r="I734" t="s">
        <v>21</v>
      </c>
      <c r="J734" t="s">
        <v>16</v>
      </c>
    </row>
    <row r="735" spans="1:10" x14ac:dyDescent="0.3">
      <c r="A735" t="s">
        <v>779</v>
      </c>
      <c r="B735" t="s">
        <v>31</v>
      </c>
      <c r="C735">
        <v>21</v>
      </c>
      <c r="D735" t="s">
        <v>32</v>
      </c>
      <c r="E735" t="s">
        <v>19</v>
      </c>
      <c r="F735" t="s">
        <v>33</v>
      </c>
      <c r="G735">
        <v>46</v>
      </c>
      <c r="H735" s="1">
        <v>43886</v>
      </c>
      <c r="I735" t="s">
        <v>29</v>
      </c>
      <c r="J735" t="s">
        <v>22</v>
      </c>
    </row>
    <row r="736" spans="1:10" x14ac:dyDescent="0.3">
      <c r="A736" t="s">
        <v>780</v>
      </c>
      <c r="B736" t="s">
        <v>11</v>
      </c>
      <c r="C736">
        <v>38</v>
      </c>
      <c r="D736" t="s">
        <v>12</v>
      </c>
      <c r="E736" t="s">
        <v>19</v>
      </c>
      <c r="F736" t="s">
        <v>25</v>
      </c>
      <c r="G736">
        <v>17</v>
      </c>
      <c r="H736" s="1">
        <v>44759</v>
      </c>
      <c r="I736" t="s">
        <v>39</v>
      </c>
      <c r="J736" t="s">
        <v>27</v>
      </c>
    </row>
    <row r="737" spans="1:10" x14ac:dyDescent="0.3">
      <c r="A737" t="s">
        <v>781</v>
      </c>
      <c r="B737" t="s">
        <v>42</v>
      </c>
      <c r="C737">
        <v>31</v>
      </c>
      <c r="D737" t="s">
        <v>18</v>
      </c>
      <c r="E737" t="s">
        <v>19</v>
      </c>
      <c r="F737" t="s">
        <v>20</v>
      </c>
      <c r="G737">
        <v>1</v>
      </c>
      <c r="H737" s="1">
        <v>45256</v>
      </c>
      <c r="I737" t="s">
        <v>49</v>
      </c>
      <c r="J737" t="s">
        <v>16</v>
      </c>
    </row>
    <row r="738" spans="1:10" x14ac:dyDescent="0.3">
      <c r="A738" t="s">
        <v>782</v>
      </c>
      <c r="B738" t="s">
        <v>11</v>
      </c>
      <c r="C738">
        <v>23</v>
      </c>
      <c r="D738" t="s">
        <v>32</v>
      </c>
      <c r="E738" t="s">
        <v>19</v>
      </c>
      <c r="F738" t="s">
        <v>14</v>
      </c>
      <c r="G738">
        <v>58</v>
      </c>
      <c r="H738" s="1">
        <v>43541</v>
      </c>
      <c r="I738" t="s">
        <v>15</v>
      </c>
      <c r="J738" t="s">
        <v>22</v>
      </c>
    </row>
    <row r="739" spans="1:10" x14ac:dyDescent="0.3">
      <c r="A739" t="s">
        <v>783</v>
      </c>
      <c r="B739" t="s">
        <v>42</v>
      </c>
      <c r="C739">
        <v>35</v>
      </c>
      <c r="D739" t="s">
        <v>12</v>
      </c>
      <c r="E739" t="s">
        <v>13</v>
      </c>
      <c r="F739" t="s">
        <v>36</v>
      </c>
      <c r="G739">
        <v>23</v>
      </c>
      <c r="H739" s="1">
        <v>44596</v>
      </c>
      <c r="I739" t="s">
        <v>15</v>
      </c>
      <c r="J739" t="s">
        <v>22</v>
      </c>
    </row>
    <row r="740" spans="1:10" x14ac:dyDescent="0.3">
      <c r="A740" t="s">
        <v>784</v>
      </c>
      <c r="B740" t="s">
        <v>24</v>
      </c>
      <c r="C740">
        <v>37</v>
      </c>
      <c r="D740" t="s">
        <v>12</v>
      </c>
      <c r="E740" t="s">
        <v>13</v>
      </c>
      <c r="F740" t="s">
        <v>20</v>
      </c>
      <c r="G740">
        <v>2</v>
      </c>
      <c r="H740" s="1">
        <v>45203</v>
      </c>
      <c r="I740" t="s">
        <v>21</v>
      </c>
      <c r="J740" t="s">
        <v>16</v>
      </c>
    </row>
    <row r="741" spans="1:10" x14ac:dyDescent="0.3">
      <c r="A741" t="s">
        <v>785</v>
      </c>
      <c r="B741" t="s">
        <v>31</v>
      </c>
      <c r="C741">
        <v>26</v>
      </c>
      <c r="D741" t="s">
        <v>18</v>
      </c>
      <c r="E741" t="s">
        <v>13</v>
      </c>
      <c r="F741" t="s">
        <v>36</v>
      </c>
      <c r="G741">
        <v>50</v>
      </c>
      <c r="H741" s="1">
        <v>43771</v>
      </c>
      <c r="I741" t="s">
        <v>15</v>
      </c>
      <c r="J741" t="s">
        <v>27</v>
      </c>
    </row>
    <row r="742" spans="1:10" x14ac:dyDescent="0.3">
      <c r="A742" t="s">
        <v>786</v>
      </c>
      <c r="B742" t="s">
        <v>11</v>
      </c>
      <c r="C742">
        <v>44</v>
      </c>
      <c r="D742" t="s">
        <v>12</v>
      </c>
      <c r="E742" t="s">
        <v>13</v>
      </c>
      <c r="F742" t="s">
        <v>33</v>
      </c>
      <c r="G742">
        <v>2</v>
      </c>
      <c r="H742" s="1">
        <v>45222</v>
      </c>
      <c r="I742" t="s">
        <v>47</v>
      </c>
      <c r="J742" t="s">
        <v>22</v>
      </c>
    </row>
    <row r="743" spans="1:10" x14ac:dyDescent="0.3">
      <c r="A743" t="s">
        <v>787</v>
      </c>
      <c r="B743" t="s">
        <v>31</v>
      </c>
      <c r="C743">
        <v>25</v>
      </c>
      <c r="D743" t="s">
        <v>18</v>
      </c>
      <c r="E743" t="s">
        <v>19</v>
      </c>
      <c r="F743" t="s">
        <v>20</v>
      </c>
      <c r="G743">
        <v>20</v>
      </c>
      <c r="H743" s="1">
        <v>44668</v>
      </c>
      <c r="I743" t="s">
        <v>39</v>
      </c>
      <c r="J743" t="s">
        <v>65</v>
      </c>
    </row>
    <row r="744" spans="1:10" x14ac:dyDescent="0.3">
      <c r="A744" t="s">
        <v>788</v>
      </c>
      <c r="B744" t="s">
        <v>42</v>
      </c>
      <c r="C744">
        <v>32</v>
      </c>
      <c r="D744" t="s">
        <v>18</v>
      </c>
      <c r="E744" t="s">
        <v>13</v>
      </c>
      <c r="F744" t="s">
        <v>14</v>
      </c>
      <c r="G744">
        <v>21</v>
      </c>
      <c r="H744" s="1">
        <v>44645</v>
      </c>
      <c r="I744" t="s">
        <v>47</v>
      </c>
      <c r="J744" t="s">
        <v>16</v>
      </c>
    </row>
    <row r="745" spans="1:10" x14ac:dyDescent="0.3">
      <c r="A745" t="s">
        <v>789</v>
      </c>
      <c r="B745" t="s">
        <v>31</v>
      </c>
      <c r="C745">
        <v>18</v>
      </c>
      <c r="D745" t="s">
        <v>32</v>
      </c>
      <c r="E745" t="s">
        <v>13</v>
      </c>
      <c r="F745" t="s">
        <v>64</v>
      </c>
      <c r="G745">
        <v>2</v>
      </c>
      <c r="H745" s="1">
        <v>45221</v>
      </c>
      <c r="I745" t="s">
        <v>47</v>
      </c>
      <c r="J745" t="s">
        <v>22</v>
      </c>
    </row>
    <row r="746" spans="1:10" x14ac:dyDescent="0.3">
      <c r="A746" t="s">
        <v>790</v>
      </c>
      <c r="B746" t="s">
        <v>11</v>
      </c>
      <c r="C746">
        <v>45</v>
      </c>
      <c r="D746" t="s">
        <v>46</v>
      </c>
      <c r="E746" t="s">
        <v>13</v>
      </c>
      <c r="F746" t="s">
        <v>36</v>
      </c>
      <c r="G746">
        <v>14</v>
      </c>
      <c r="H746" s="1">
        <v>44847</v>
      </c>
      <c r="I746" t="s">
        <v>29</v>
      </c>
      <c r="J746" t="s">
        <v>16</v>
      </c>
    </row>
    <row r="747" spans="1:10" x14ac:dyDescent="0.3">
      <c r="A747" t="s">
        <v>791</v>
      </c>
      <c r="B747" t="s">
        <v>24</v>
      </c>
      <c r="C747">
        <v>33</v>
      </c>
      <c r="D747" t="s">
        <v>18</v>
      </c>
      <c r="E747" t="s">
        <v>13</v>
      </c>
      <c r="F747" t="s">
        <v>36</v>
      </c>
      <c r="G747">
        <v>50</v>
      </c>
      <c r="H747" s="1">
        <v>43772</v>
      </c>
      <c r="I747" t="s">
        <v>49</v>
      </c>
      <c r="J747" t="s">
        <v>65</v>
      </c>
    </row>
    <row r="748" spans="1:10" x14ac:dyDescent="0.3">
      <c r="A748" t="s">
        <v>792</v>
      </c>
      <c r="B748" t="s">
        <v>24</v>
      </c>
      <c r="C748">
        <v>44</v>
      </c>
      <c r="D748" t="s">
        <v>12</v>
      </c>
      <c r="E748" t="s">
        <v>13</v>
      </c>
      <c r="F748" t="s">
        <v>38</v>
      </c>
      <c r="G748">
        <v>7</v>
      </c>
      <c r="H748" s="1">
        <v>45067</v>
      </c>
      <c r="I748" t="s">
        <v>62</v>
      </c>
      <c r="J748" t="s">
        <v>16</v>
      </c>
    </row>
    <row r="749" spans="1:10" x14ac:dyDescent="0.3">
      <c r="A749" t="s">
        <v>793</v>
      </c>
      <c r="B749" t="s">
        <v>31</v>
      </c>
      <c r="C749">
        <v>28</v>
      </c>
      <c r="D749" t="s">
        <v>18</v>
      </c>
      <c r="E749" t="s">
        <v>13</v>
      </c>
      <c r="F749" t="s">
        <v>64</v>
      </c>
      <c r="G749">
        <v>22</v>
      </c>
      <c r="H749" s="1">
        <v>44625</v>
      </c>
      <c r="I749" t="s">
        <v>34</v>
      </c>
      <c r="J749" t="s">
        <v>22</v>
      </c>
    </row>
    <row r="750" spans="1:10" x14ac:dyDescent="0.3">
      <c r="A750" t="s">
        <v>794</v>
      </c>
      <c r="B750" t="s">
        <v>24</v>
      </c>
      <c r="C750">
        <v>39</v>
      </c>
      <c r="D750" t="s">
        <v>12</v>
      </c>
      <c r="E750" t="s">
        <v>19</v>
      </c>
      <c r="F750" t="s">
        <v>56</v>
      </c>
      <c r="G750">
        <v>32</v>
      </c>
      <c r="H750" s="1">
        <v>44318</v>
      </c>
      <c r="I750" t="s">
        <v>26</v>
      </c>
      <c r="J750" t="s">
        <v>27</v>
      </c>
    </row>
    <row r="751" spans="1:10" x14ac:dyDescent="0.3">
      <c r="A751" t="s">
        <v>795</v>
      </c>
      <c r="B751" t="s">
        <v>31</v>
      </c>
      <c r="C751">
        <v>39</v>
      </c>
      <c r="D751" t="s">
        <v>12</v>
      </c>
      <c r="E751" t="s">
        <v>13</v>
      </c>
      <c r="F751" t="s">
        <v>38</v>
      </c>
      <c r="G751">
        <v>3</v>
      </c>
      <c r="H751" s="1">
        <v>45183</v>
      </c>
      <c r="I751" t="s">
        <v>49</v>
      </c>
      <c r="J751" t="s">
        <v>27</v>
      </c>
    </row>
    <row r="752" spans="1:10" x14ac:dyDescent="0.3">
      <c r="A752" t="s">
        <v>796</v>
      </c>
      <c r="B752" t="s">
        <v>61</v>
      </c>
      <c r="C752">
        <v>33</v>
      </c>
      <c r="D752" t="s">
        <v>18</v>
      </c>
      <c r="E752" t="s">
        <v>19</v>
      </c>
      <c r="F752" t="s">
        <v>33</v>
      </c>
      <c r="G752">
        <v>23</v>
      </c>
      <c r="H752" s="1">
        <v>44602</v>
      </c>
      <c r="I752" t="s">
        <v>34</v>
      </c>
      <c r="J752" t="s">
        <v>27</v>
      </c>
    </row>
    <row r="753" spans="1:10" x14ac:dyDescent="0.3">
      <c r="A753" t="s">
        <v>797</v>
      </c>
      <c r="B753" t="s">
        <v>61</v>
      </c>
      <c r="C753">
        <v>18</v>
      </c>
      <c r="D753" t="s">
        <v>32</v>
      </c>
      <c r="E753" t="s">
        <v>19</v>
      </c>
      <c r="F753" t="s">
        <v>54</v>
      </c>
      <c r="G753">
        <v>12</v>
      </c>
      <c r="H753" s="1">
        <v>44926</v>
      </c>
      <c r="I753" t="s">
        <v>62</v>
      </c>
      <c r="J753" t="s">
        <v>22</v>
      </c>
    </row>
    <row r="754" spans="1:10" x14ac:dyDescent="0.3">
      <c r="A754" t="s">
        <v>798</v>
      </c>
      <c r="B754" t="s">
        <v>11</v>
      </c>
      <c r="C754">
        <v>18</v>
      </c>
      <c r="D754" t="s">
        <v>32</v>
      </c>
      <c r="E754" t="s">
        <v>13</v>
      </c>
      <c r="F754" t="s">
        <v>25</v>
      </c>
      <c r="G754">
        <v>43</v>
      </c>
      <c r="H754" s="1">
        <v>43983</v>
      </c>
      <c r="I754" t="s">
        <v>26</v>
      </c>
      <c r="J754" t="s">
        <v>27</v>
      </c>
    </row>
    <row r="755" spans="1:10" x14ac:dyDescent="0.3">
      <c r="A755" t="s">
        <v>799</v>
      </c>
      <c r="B755" t="s">
        <v>11</v>
      </c>
      <c r="C755">
        <v>32</v>
      </c>
      <c r="D755" t="s">
        <v>18</v>
      </c>
      <c r="E755" t="s">
        <v>13</v>
      </c>
      <c r="F755" t="s">
        <v>88</v>
      </c>
      <c r="G755">
        <v>53</v>
      </c>
      <c r="H755" s="1">
        <v>43692</v>
      </c>
      <c r="I755" t="s">
        <v>49</v>
      </c>
      <c r="J755" t="s">
        <v>65</v>
      </c>
    </row>
    <row r="756" spans="1:10" x14ac:dyDescent="0.3">
      <c r="A756" t="s">
        <v>800</v>
      </c>
      <c r="B756" t="s">
        <v>11</v>
      </c>
      <c r="C756">
        <v>21</v>
      </c>
      <c r="D756" t="s">
        <v>32</v>
      </c>
      <c r="E756" t="s">
        <v>19</v>
      </c>
      <c r="F756" t="s">
        <v>56</v>
      </c>
      <c r="G756">
        <v>40</v>
      </c>
      <c r="H756" s="1">
        <v>44084</v>
      </c>
      <c r="I756" t="s">
        <v>21</v>
      </c>
      <c r="J756" t="s">
        <v>65</v>
      </c>
    </row>
    <row r="757" spans="1:10" x14ac:dyDescent="0.3">
      <c r="A757" t="s">
        <v>801</v>
      </c>
      <c r="B757" t="s">
        <v>31</v>
      </c>
      <c r="C757">
        <v>37</v>
      </c>
      <c r="D757" t="s">
        <v>12</v>
      </c>
      <c r="E757" t="s">
        <v>13</v>
      </c>
      <c r="F757" t="s">
        <v>25</v>
      </c>
      <c r="G757">
        <v>23</v>
      </c>
      <c r="H757" s="1">
        <v>44600</v>
      </c>
      <c r="I757" t="s">
        <v>29</v>
      </c>
      <c r="J757" t="s">
        <v>22</v>
      </c>
    </row>
    <row r="758" spans="1:10" x14ac:dyDescent="0.3">
      <c r="A758" t="s">
        <v>802</v>
      </c>
      <c r="B758" t="s">
        <v>42</v>
      </c>
      <c r="C758">
        <v>37</v>
      </c>
      <c r="D758" t="s">
        <v>12</v>
      </c>
      <c r="E758" t="s">
        <v>19</v>
      </c>
      <c r="F758" t="s">
        <v>56</v>
      </c>
      <c r="G758">
        <v>22</v>
      </c>
      <c r="H758" s="1">
        <v>44624</v>
      </c>
      <c r="I758" t="s">
        <v>62</v>
      </c>
      <c r="J758" t="s">
        <v>27</v>
      </c>
    </row>
    <row r="759" spans="1:10" x14ac:dyDescent="0.3">
      <c r="A759" t="s">
        <v>803</v>
      </c>
      <c r="B759" t="s">
        <v>24</v>
      </c>
      <c r="C759">
        <v>27</v>
      </c>
      <c r="D759" t="s">
        <v>18</v>
      </c>
      <c r="E759" t="s">
        <v>19</v>
      </c>
      <c r="F759" t="s">
        <v>38</v>
      </c>
      <c r="G759">
        <v>39</v>
      </c>
      <c r="H759" s="1">
        <v>44120</v>
      </c>
      <c r="I759" t="s">
        <v>49</v>
      </c>
      <c r="J759" t="s">
        <v>22</v>
      </c>
    </row>
    <row r="760" spans="1:10" x14ac:dyDescent="0.3">
      <c r="A760" t="s">
        <v>804</v>
      </c>
      <c r="B760" t="s">
        <v>61</v>
      </c>
      <c r="C760">
        <v>43</v>
      </c>
      <c r="D760" t="s">
        <v>12</v>
      </c>
      <c r="E760" t="s">
        <v>13</v>
      </c>
      <c r="F760" t="s">
        <v>54</v>
      </c>
      <c r="G760">
        <v>52</v>
      </c>
      <c r="H760" s="1">
        <v>43731</v>
      </c>
      <c r="I760" t="s">
        <v>47</v>
      </c>
      <c r="J760" t="s">
        <v>16</v>
      </c>
    </row>
    <row r="761" spans="1:10" x14ac:dyDescent="0.3">
      <c r="A761" t="s">
        <v>805</v>
      </c>
      <c r="B761" t="s">
        <v>11</v>
      </c>
      <c r="C761">
        <v>38</v>
      </c>
      <c r="D761" t="s">
        <v>12</v>
      </c>
      <c r="E761" t="s">
        <v>19</v>
      </c>
      <c r="F761" t="s">
        <v>64</v>
      </c>
      <c r="G761">
        <v>3</v>
      </c>
      <c r="H761" s="1">
        <v>45173</v>
      </c>
      <c r="I761" t="s">
        <v>21</v>
      </c>
      <c r="J761" t="s">
        <v>16</v>
      </c>
    </row>
    <row r="762" spans="1:10" x14ac:dyDescent="0.3">
      <c r="A762" t="s">
        <v>806</v>
      </c>
      <c r="B762" t="s">
        <v>42</v>
      </c>
      <c r="C762">
        <v>45</v>
      </c>
      <c r="D762" t="s">
        <v>46</v>
      </c>
      <c r="E762" t="s">
        <v>19</v>
      </c>
      <c r="F762" t="s">
        <v>38</v>
      </c>
      <c r="G762">
        <v>3</v>
      </c>
      <c r="H762" s="1">
        <v>45184</v>
      </c>
      <c r="I762" t="s">
        <v>34</v>
      </c>
      <c r="J762" t="s">
        <v>16</v>
      </c>
    </row>
    <row r="763" spans="1:10" x14ac:dyDescent="0.3">
      <c r="A763" t="s">
        <v>807</v>
      </c>
      <c r="B763" t="s">
        <v>11</v>
      </c>
      <c r="C763">
        <v>36</v>
      </c>
      <c r="D763" t="s">
        <v>12</v>
      </c>
      <c r="E763" t="s">
        <v>13</v>
      </c>
      <c r="F763" t="s">
        <v>33</v>
      </c>
      <c r="G763">
        <v>19</v>
      </c>
      <c r="H763" s="1">
        <v>44694</v>
      </c>
      <c r="I763" t="s">
        <v>15</v>
      </c>
      <c r="J763" t="s">
        <v>22</v>
      </c>
    </row>
    <row r="764" spans="1:10" x14ac:dyDescent="0.3">
      <c r="A764" t="s">
        <v>808</v>
      </c>
      <c r="B764" t="s">
        <v>24</v>
      </c>
      <c r="C764">
        <v>35</v>
      </c>
      <c r="D764" t="s">
        <v>12</v>
      </c>
      <c r="E764" t="s">
        <v>19</v>
      </c>
      <c r="F764" t="s">
        <v>64</v>
      </c>
      <c r="G764">
        <v>29</v>
      </c>
      <c r="H764" s="1">
        <v>44410</v>
      </c>
      <c r="I764" t="s">
        <v>47</v>
      </c>
      <c r="J764" t="s">
        <v>16</v>
      </c>
    </row>
    <row r="765" spans="1:10" x14ac:dyDescent="0.3">
      <c r="A765" t="s">
        <v>809</v>
      </c>
      <c r="B765" t="s">
        <v>11</v>
      </c>
      <c r="C765">
        <v>18</v>
      </c>
      <c r="D765" t="s">
        <v>32</v>
      </c>
      <c r="E765" t="s">
        <v>19</v>
      </c>
      <c r="F765" t="s">
        <v>25</v>
      </c>
      <c r="G765">
        <v>22</v>
      </c>
      <c r="H765" s="1">
        <v>44625</v>
      </c>
      <c r="I765" t="s">
        <v>21</v>
      </c>
      <c r="J765" t="s">
        <v>27</v>
      </c>
    </row>
    <row r="766" spans="1:10" x14ac:dyDescent="0.3">
      <c r="A766" t="s">
        <v>810</v>
      </c>
      <c r="B766" t="s">
        <v>31</v>
      </c>
      <c r="C766">
        <v>30</v>
      </c>
      <c r="D766" t="s">
        <v>18</v>
      </c>
      <c r="E766" t="s">
        <v>19</v>
      </c>
      <c r="F766" t="s">
        <v>25</v>
      </c>
      <c r="G766">
        <v>53</v>
      </c>
      <c r="H766" s="1">
        <v>43692</v>
      </c>
      <c r="I766" t="s">
        <v>39</v>
      </c>
      <c r="J766" t="s">
        <v>22</v>
      </c>
    </row>
    <row r="767" spans="1:10" x14ac:dyDescent="0.3">
      <c r="A767" t="s">
        <v>811</v>
      </c>
      <c r="B767" t="s">
        <v>24</v>
      </c>
      <c r="C767">
        <v>20</v>
      </c>
      <c r="D767" t="s">
        <v>32</v>
      </c>
      <c r="E767" t="s">
        <v>13</v>
      </c>
      <c r="F767" t="s">
        <v>14</v>
      </c>
      <c r="G767">
        <v>10</v>
      </c>
      <c r="H767" s="1">
        <v>44975</v>
      </c>
      <c r="I767" t="s">
        <v>34</v>
      </c>
      <c r="J767" t="s">
        <v>27</v>
      </c>
    </row>
    <row r="768" spans="1:10" x14ac:dyDescent="0.3">
      <c r="A768" t="s">
        <v>812</v>
      </c>
      <c r="B768" t="s">
        <v>24</v>
      </c>
      <c r="C768">
        <v>35</v>
      </c>
      <c r="D768" t="s">
        <v>12</v>
      </c>
      <c r="E768" t="s">
        <v>19</v>
      </c>
      <c r="F768" t="s">
        <v>36</v>
      </c>
      <c r="G768">
        <v>57</v>
      </c>
      <c r="H768" s="1">
        <v>43564</v>
      </c>
      <c r="I768" t="s">
        <v>39</v>
      </c>
      <c r="J768" t="s">
        <v>16</v>
      </c>
    </row>
    <row r="769" spans="1:10" x14ac:dyDescent="0.3">
      <c r="A769" t="s">
        <v>813</v>
      </c>
      <c r="B769" t="s">
        <v>24</v>
      </c>
      <c r="C769">
        <v>25</v>
      </c>
      <c r="D769" t="s">
        <v>18</v>
      </c>
      <c r="E769" t="s">
        <v>19</v>
      </c>
      <c r="F769" t="s">
        <v>33</v>
      </c>
      <c r="G769">
        <v>57</v>
      </c>
      <c r="H769" s="1">
        <v>43563</v>
      </c>
      <c r="I769" t="s">
        <v>21</v>
      </c>
      <c r="J769" t="s">
        <v>16</v>
      </c>
    </row>
    <row r="770" spans="1:10" x14ac:dyDescent="0.3">
      <c r="A770" t="s">
        <v>814</v>
      </c>
      <c r="B770" t="s">
        <v>11</v>
      </c>
      <c r="C770">
        <v>18</v>
      </c>
      <c r="D770" t="s">
        <v>32</v>
      </c>
      <c r="E770" t="s">
        <v>19</v>
      </c>
      <c r="F770" t="s">
        <v>25</v>
      </c>
      <c r="G770">
        <v>23</v>
      </c>
      <c r="H770" s="1">
        <v>44602</v>
      </c>
      <c r="I770" t="s">
        <v>29</v>
      </c>
      <c r="J770" t="s">
        <v>27</v>
      </c>
    </row>
    <row r="771" spans="1:10" x14ac:dyDescent="0.3">
      <c r="A771" t="s">
        <v>815</v>
      </c>
      <c r="B771" t="s">
        <v>42</v>
      </c>
      <c r="C771">
        <v>34</v>
      </c>
      <c r="D771" t="s">
        <v>18</v>
      </c>
      <c r="E771" t="s">
        <v>13</v>
      </c>
      <c r="F771" t="s">
        <v>88</v>
      </c>
      <c r="G771">
        <v>32</v>
      </c>
      <c r="H771" s="1">
        <v>44328</v>
      </c>
      <c r="I771" t="s">
        <v>49</v>
      </c>
      <c r="J771" t="s">
        <v>22</v>
      </c>
    </row>
    <row r="772" spans="1:10" x14ac:dyDescent="0.3">
      <c r="A772" t="s">
        <v>816</v>
      </c>
      <c r="B772" t="s">
        <v>42</v>
      </c>
      <c r="C772">
        <v>36</v>
      </c>
      <c r="D772" t="s">
        <v>12</v>
      </c>
      <c r="E772" t="s">
        <v>19</v>
      </c>
      <c r="F772" t="s">
        <v>33</v>
      </c>
      <c r="G772">
        <v>8</v>
      </c>
      <c r="H772" s="1">
        <v>45042</v>
      </c>
      <c r="I772" t="s">
        <v>49</v>
      </c>
      <c r="J772" t="s">
        <v>27</v>
      </c>
    </row>
    <row r="773" spans="1:10" x14ac:dyDescent="0.3">
      <c r="A773" t="s">
        <v>817</v>
      </c>
      <c r="B773" t="s">
        <v>31</v>
      </c>
      <c r="C773">
        <v>39</v>
      </c>
      <c r="D773" t="s">
        <v>12</v>
      </c>
      <c r="E773" t="s">
        <v>105</v>
      </c>
      <c r="F773" t="s">
        <v>54</v>
      </c>
      <c r="G773">
        <v>9</v>
      </c>
      <c r="H773" s="1">
        <v>44996</v>
      </c>
      <c r="I773" t="s">
        <v>34</v>
      </c>
      <c r="J773" t="s">
        <v>22</v>
      </c>
    </row>
    <row r="774" spans="1:10" x14ac:dyDescent="0.3">
      <c r="A774" t="s">
        <v>818</v>
      </c>
      <c r="B774" t="s">
        <v>24</v>
      </c>
      <c r="C774">
        <v>26</v>
      </c>
      <c r="D774" t="s">
        <v>18</v>
      </c>
      <c r="E774" t="s">
        <v>13</v>
      </c>
      <c r="F774" t="s">
        <v>20</v>
      </c>
      <c r="G774">
        <v>59</v>
      </c>
      <c r="H774" s="1">
        <v>43506</v>
      </c>
      <c r="I774" t="s">
        <v>15</v>
      </c>
      <c r="J774" t="s">
        <v>27</v>
      </c>
    </row>
    <row r="775" spans="1:10" x14ac:dyDescent="0.3">
      <c r="A775" t="s">
        <v>819</v>
      </c>
      <c r="B775" t="s">
        <v>11</v>
      </c>
      <c r="C775">
        <v>19</v>
      </c>
      <c r="D775" t="s">
        <v>32</v>
      </c>
      <c r="E775" t="s">
        <v>19</v>
      </c>
      <c r="F775" t="s">
        <v>64</v>
      </c>
      <c r="G775">
        <v>57</v>
      </c>
      <c r="H775" s="1">
        <v>43560</v>
      </c>
      <c r="I775" t="s">
        <v>26</v>
      </c>
      <c r="J775" t="s">
        <v>22</v>
      </c>
    </row>
    <row r="776" spans="1:10" x14ac:dyDescent="0.3">
      <c r="A776" t="s">
        <v>820</v>
      </c>
      <c r="B776" t="s">
        <v>24</v>
      </c>
      <c r="C776">
        <v>23</v>
      </c>
      <c r="D776" t="s">
        <v>32</v>
      </c>
      <c r="E776" t="s">
        <v>13</v>
      </c>
      <c r="F776" t="s">
        <v>38</v>
      </c>
      <c r="G776">
        <v>24</v>
      </c>
      <c r="H776" s="1">
        <v>44552</v>
      </c>
      <c r="I776" t="s">
        <v>26</v>
      </c>
      <c r="J776" t="s">
        <v>22</v>
      </c>
    </row>
    <row r="777" spans="1:10" x14ac:dyDescent="0.3">
      <c r="A777" t="s">
        <v>821</v>
      </c>
      <c r="B777" t="s">
        <v>42</v>
      </c>
      <c r="C777">
        <v>29</v>
      </c>
      <c r="D777" t="s">
        <v>18</v>
      </c>
      <c r="E777" t="s">
        <v>19</v>
      </c>
      <c r="F777" t="s">
        <v>20</v>
      </c>
      <c r="G777">
        <v>10</v>
      </c>
      <c r="H777" s="1">
        <v>44980</v>
      </c>
      <c r="I777" t="s">
        <v>26</v>
      </c>
      <c r="J777" t="s">
        <v>16</v>
      </c>
    </row>
    <row r="778" spans="1:10" x14ac:dyDescent="0.3">
      <c r="A778" t="s">
        <v>822</v>
      </c>
      <c r="B778" t="s">
        <v>31</v>
      </c>
      <c r="C778">
        <v>21</v>
      </c>
      <c r="D778" t="s">
        <v>32</v>
      </c>
      <c r="E778" t="s">
        <v>19</v>
      </c>
      <c r="F778" t="s">
        <v>54</v>
      </c>
      <c r="G778">
        <v>12</v>
      </c>
      <c r="H778" s="1">
        <v>44928</v>
      </c>
      <c r="I778" t="s">
        <v>49</v>
      </c>
      <c r="J778" t="s">
        <v>22</v>
      </c>
    </row>
    <row r="779" spans="1:10" x14ac:dyDescent="0.3">
      <c r="A779" t="s">
        <v>823</v>
      </c>
      <c r="B779" t="s">
        <v>11</v>
      </c>
      <c r="C779">
        <v>36</v>
      </c>
      <c r="D779" t="s">
        <v>12</v>
      </c>
      <c r="E779" t="s">
        <v>13</v>
      </c>
      <c r="F779" t="s">
        <v>36</v>
      </c>
      <c r="G779">
        <v>1</v>
      </c>
      <c r="H779" s="1">
        <v>45239</v>
      </c>
      <c r="I779" t="s">
        <v>26</v>
      </c>
      <c r="J779" t="s">
        <v>22</v>
      </c>
    </row>
    <row r="780" spans="1:10" x14ac:dyDescent="0.3">
      <c r="A780" t="s">
        <v>824</v>
      </c>
      <c r="B780" t="s">
        <v>24</v>
      </c>
      <c r="C780">
        <v>19</v>
      </c>
      <c r="D780" t="s">
        <v>32</v>
      </c>
      <c r="E780" t="s">
        <v>13</v>
      </c>
      <c r="F780" t="s">
        <v>56</v>
      </c>
      <c r="G780">
        <v>58</v>
      </c>
      <c r="H780" s="1">
        <v>43534</v>
      </c>
      <c r="I780" t="s">
        <v>62</v>
      </c>
      <c r="J780" t="s">
        <v>65</v>
      </c>
    </row>
    <row r="781" spans="1:10" x14ac:dyDescent="0.3">
      <c r="A781" t="s">
        <v>825</v>
      </c>
      <c r="B781" t="s">
        <v>11</v>
      </c>
      <c r="C781">
        <v>37</v>
      </c>
      <c r="D781" t="s">
        <v>12</v>
      </c>
      <c r="E781" t="s">
        <v>13</v>
      </c>
      <c r="F781" t="s">
        <v>88</v>
      </c>
      <c r="G781">
        <v>50</v>
      </c>
      <c r="H781" s="1">
        <v>43772</v>
      </c>
      <c r="I781" t="s">
        <v>26</v>
      </c>
      <c r="J781" t="s">
        <v>27</v>
      </c>
    </row>
    <row r="782" spans="1:10" x14ac:dyDescent="0.3">
      <c r="A782" t="s">
        <v>826</v>
      </c>
      <c r="B782" t="s">
        <v>42</v>
      </c>
      <c r="C782">
        <v>42</v>
      </c>
      <c r="D782" t="s">
        <v>12</v>
      </c>
      <c r="E782" t="s">
        <v>19</v>
      </c>
      <c r="F782" t="s">
        <v>54</v>
      </c>
      <c r="G782">
        <v>21</v>
      </c>
      <c r="H782" s="1">
        <v>44662</v>
      </c>
      <c r="I782" t="s">
        <v>34</v>
      </c>
      <c r="J782" t="s">
        <v>27</v>
      </c>
    </row>
    <row r="783" spans="1:10" x14ac:dyDescent="0.3">
      <c r="A783" t="s">
        <v>827</v>
      </c>
      <c r="B783" t="s">
        <v>11</v>
      </c>
      <c r="C783">
        <v>19</v>
      </c>
      <c r="D783" t="s">
        <v>32</v>
      </c>
      <c r="E783" t="s">
        <v>19</v>
      </c>
      <c r="F783" t="s">
        <v>64</v>
      </c>
      <c r="G783">
        <v>19</v>
      </c>
      <c r="H783" s="1">
        <v>44700</v>
      </c>
      <c r="I783" t="s">
        <v>34</v>
      </c>
      <c r="J783" t="s">
        <v>65</v>
      </c>
    </row>
    <row r="784" spans="1:10" x14ac:dyDescent="0.3">
      <c r="A784" t="s">
        <v>828</v>
      </c>
      <c r="B784" t="s">
        <v>11</v>
      </c>
      <c r="C784">
        <v>46</v>
      </c>
      <c r="D784" t="s">
        <v>46</v>
      </c>
      <c r="E784" t="s">
        <v>19</v>
      </c>
      <c r="F784" t="s">
        <v>38</v>
      </c>
      <c r="G784">
        <v>27</v>
      </c>
      <c r="H784" s="1">
        <v>44480</v>
      </c>
      <c r="I784" t="s">
        <v>62</v>
      </c>
      <c r="J784" t="s">
        <v>65</v>
      </c>
    </row>
    <row r="785" spans="1:10" x14ac:dyDescent="0.3">
      <c r="A785" t="s">
        <v>829</v>
      </c>
      <c r="B785" t="s">
        <v>61</v>
      </c>
      <c r="C785">
        <v>32</v>
      </c>
      <c r="D785" t="s">
        <v>18</v>
      </c>
      <c r="E785" t="s">
        <v>19</v>
      </c>
      <c r="F785" t="s">
        <v>88</v>
      </c>
      <c r="G785">
        <v>18</v>
      </c>
      <c r="H785" s="1">
        <v>44728</v>
      </c>
      <c r="I785" t="s">
        <v>21</v>
      </c>
      <c r="J785" t="s">
        <v>27</v>
      </c>
    </row>
    <row r="786" spans="1:10" x14ac:dyDescent="0.3">
      <c r="A786" t="s">
        <v>830</v>
      </c>
      <c r="B786" t="s">
        <v>42</v>
      </c>
      <c r="C786">
        <v>33</v>
      </c>
      <c r="D786" t="s">
        <v>18</v>
      </c>
      <c r="E786" t="s">
        <v>13</v>
      </c>
      <c r="F786" t="s">
        <v>25</v>
      </c>
      <c r="G786">
        <v>42</v>
      </c>
      <c r="H786" s="1">
        <v>44024</v>
      </c>
      <c r="I786" t="s">
        <v>49</v>
      </c>
      <c r="J786" t="s">
        <v>65</v>
      </c>
    </row>
    <row r="787" spans="1:10" x14ac:dyDescent="0.3">
      <c r="A787" t="s">
        <v>831</v>
      </c>
      <c r="B787" t="s">
        <v>11</v>
      </c>
      <c r="C787">
        <v>48</v>
      </c>
      <c r="D787" t="s">
        <v>46</v>
      </c>
      <c r="E787" t="s">
        <v>13</v>
      </c>
      <c r="F787" t="s">
        <v>20</v>
      </c>
      <c r="G787">
        <v>2</v>
      </c>
      <c r="H787" s="1">
        <v>45225</v>
      </c>
      <c r="I787" t="s">
        <v>34</v>
      </c>
      <c r="J787" t="s">
        <v>16</v>
      </c>
    </row>
    <row r="788" spans="1:10" x14ac:dyDescent="0.3">
      <c r="A788" t="s">
        <v>832</v>
      </c>
      <c r="B788" t="s">
        <v>31</v>
      </c>
      <c r="C788">
        <v>21</v>
      </c>
      <c r="D788" t="s">
        <v>32</v>
      </c>
      <c r="E788" t="s">
        <v>13</v>
      </c>
      <c r="F788" t="s">
        <v>56</v>
      </c>
      <c r="G788">
        <v>57</v>
      </c>
      <c r="H788" s="1">
        <v>43578</v>
      </c>
      <c r="I788" t="s">
        <v>26</v>
      </c>
      <c r="J788" t="s">
        <v>16</v>
      </c>
    </row>
    <row r="789" spans="1:10" x14ac:dyDescent="0.3">
      <c r="A789" t="s">
        <v>833</v>
      </c>
      <c r="B789" t="s">
        <v>11</v>
      </c>
      <c r="C789">
        <v>30</v>
      </c>
      <c r="D789" t="s">
        <v>18</v>
      </c>
      <c r="E789" t="s">
        <v>19</v>
      </c>
      <c r="F789" t="s">
        <v>56</v>
      </c>
      <c r="G789">
        <v>6</v>
      </c>
      <c r="H789" s="1">
        <v>45092</v>
      </c>
      <c r="I789" t="s">
        <v>15</v>
      </c>
      <c r="J789" t="s">
        <v>22</v>
      </c>
    </row>
    <row r="790" spans="1:10" x14ac:dyDescent="0.3">
      <c r="A790" t="s">
        <v>834</v>
      </c>
      <c r="B790" t="s">
        <v>24</v>
      </c>
      <c r="C790">
        <v>30</v>
      </c>
      <c r="D790" t="s">
        <v>18</v>
      </c>
      <c r="E790" t="s">
        <v>105</v>
      </c>
      <c r="F790" t="s">
        <v>25</v>
      </c>
      <c r="G790">
        <v>52</v>
      </c>
      <c r="H790" s="1">
        <v>43724</v>
      </c>
      <c r="I790" t="s">
        <v>21</v>
      </c>
      <c r="J790" t="s">
        <v>27</v>
      </c>
    </row>
    <row r="791" spans="1:10" x14ac:dyDescent="0.3">
      <c r="A791" t="s">
        <v>835</v>
      </c>
      <c r="B791" t="s">
        <v>11</v>
      </c>
      <c r="C791">
        <v>36</v>
      </c>
      <c r="D791" t="s">
        <v>12</v>
      </c>
      <c r="E791" t="s">
        <v>13</v>
      </c>
      <c r="F791" t="s">
        <v>54</v>
      </c>
      <c r="G791">
        <v>53</v>
      </c>
      <c r="H791" s="1">
        <v>43692</v>
      </c>
      <c r="I791" t="s">
        <v>49</v>
      </c>
      <c r="J791" t="s">
        <v>27</v>
      </c>
    </row>
    <row r="792" spans="1:10" x14ac:dyDescent="0.3">
      <c r="A792" t="s">
        <v>836</v>
      </c>
      <c r="B792" t="s">
        <v>11</v>
      </c>
      <c r="C792">
        <v>21</v>
      </c>
      <c r="D792" t="s">
        <v>32</v>
      </c>
      <c r="E792" t="s">
        <v>19</v>
      </c>
      <c r="F792" t="s">
        <v>33</v>
      </c>
      <c r="G792">
        <v>27</v>
      </c>
      <c r="H792" s="1">
        <v>44459</v>
      </c>
      <c r="I792" t="s">
        <v>15</v>
      </c>
      <c r="J792" t="s">
        <v>22</v>
      </c>
    </row>
    <row r="793" spans="1:10" x14ac:dyDescent="0.3">
      <c r="A793" t="s">
        <v>837</v>
      </c>
      <c r="B793" t="s">
        <v>42</v>
      </c>
      <c r="C793">
        <v>19</v>
      </c>
      <c r="D793" t="s">
        <v>32</v>
      </c>
      <c r="E793" t="s">
        <v>19</v>
      </c>
      <c r="F793" t="s">
        <v>38</v>
      </c>
      <c r="G793">
        <v>27</v>
      </c>
      <c r="H793" s="1">
        <v>44477</v>
      </c>
      <c r="I793" t="s">
        <v>49</v>
      </c>
      <c r="J793" t="s">
        <v>65</v>
      </c>
    </row>
    <row r="794" spans="1:10" x14ac:dyDescent="0.3">
      <c r="A794" t="s">
        <v>838</v>
      </c>
      <c r="B794" t="s">
        <v>24</v>
      </c>
      <c r="C794">
        <v>37</v>
      </c>
      <c r="D794" t="s">
        <v>12</v>
      </c>
      <c r="E794" t="s">
        <v>13</v>
      </c>
      <c r="F794" t="s">
        <v>88</v>
      </c>
      <c r="G794">
        <v>43</v>
      </c>
      <c r="H794" s="1">
        <v>43981</v>
      </c>
      <c r="I794" t="s">
        <v>26</v>
      </c>
      <c r="J794" t="s">
        <v>22</v>
      </c>
    </row>
    <row r="795" spans="1:10" x14ac:dyDescent="0.3">
      <c r="A795" t="s">
        <v>839</v>
      </c>
      <c r="B795" t="s">
        <v>24</v>
      </c>
      <c r="C795">
        <v>20</v>
      </c>
      <c r="D795" t="s">
        <v>32</v>
      </c>
      <c r="E795" t="s">
        <v>19</v>
      </c>
      <c r="F795" t="s">
        <v>54</v>
      </c>
      <c r="G795">
        <v>33</v>
      </c>
      <c r="H795" s="1">
        <v>44295</v>
      </c>
      <c r="I795" t="s">
        <v>15</v>
      </c>
      <c r="J795" t="s">
        <v>27</v>
      </c>
    </row>
    <row r="796" spans="1:10" x14ac:dyDescent="0.3">
      <c r="A796" t="s">
        <v>840</v>
      </c>
      <c r="B796" t="s">
        <v>24</v>
      </c>
      <c r="C796">
        <v>30</v>
      </c>
      <c r="D796" t="s">
        <v>18</v>
      </c>
      <c r="E796" t="s">
        <v>19</v>
      </c>
      <c r="F796" t="s">
        <v>88</v>
      </c>
      <c r="G796">
        <v>58</v>
      </c>
      <c r="H796" s="1">
        <v>43547</v>
      </c>
      <c r="I796" t="s">
        <v>34</v>
      </c>
      <c r="J796" t="s">
        <v>22</v>
      </c>
    </row>
    <row r="797" spans="1:10" x14ac:dyDescent="0.3">
      <c r="A797" t="s">
        <v>841</v>
      </c>
      <c r="B797" t="s">
        <v>31</v>
      </c>
      <c r="C797">
        <v>40</v>
      </c>
      <c r="D797" t="s">
        <v>12</v>
      </c>
      <c r="E797" t="s">
        <v>13</v>
      </c>
      <c r="F797" t="s">
        <v>14</v>
      </c>
      <c r="G797">
        <v>49</v>
      </c>
      <c r="H797" s="1">
        <v>43796</v>
      </c>
      <c r="I797" t="s">
        <v>62</v>
      </c>
      <c r="J797" t="s">
        <v>16</v>
      </c>
    </row>
    <row r="798" spans="1:10" x14ac:dyDescent="0.3">
      <c r="A798" t="s">
        <v>842</v>
      </c>
      <c r="B798" t="s">
        <v>42</v>
      </c>
      <c r="C798">
        <v>26</v>
      </c>
      <c r="D798" t="s">
        <v>18</v>
      </c>
      <c r="E798" t="s">
        <v>13</v>
      </c>
      <c r="F798" t="s">
        <v>33</v>
      </c>
      <c r="G798">
        <v>43</v>
      </c>
      <c r="H798" s="1">
        <v>43974</v>
      </c>
      <c r="I798" t="s">
        <v>26</v>
      </c>
      <c r="J798" t="s">
        <v>27</v>
      </c>
    </row>
    <row r="799" spans="1:10" x14ac:dyDescent="0.3">
      <c r="A799" t="s">
        <v>843</v>
      </c>
      <c r="B799" t="s">
        <v>31</v>
      </c>
      <c r="C799">
        <v>31</v>
      </c>
      <c r="D799" t="s">
        <v>18</v>
      </c>
      <c r="E799" t="s">
        <v>13</v>
      </c>
      <c r="F799" t="s">
        <v>36</v>
      </c>
      <c r="G799">
        <v>15</v>
      </c>
      <c r="H799" s="1">
        <v>44832</v>
      </c>
      <c r="I799" t="s">
        <v>21</v>
      </c>
      <c r="J799" t="s">
        <v>16</v>
      </c>
    </row>
    <row r="800" spans="1:10" x14ac:dyDescent="0.3">
      <c r="A800" t="s">
        <v>844</v>
      </c>
      <c r="B800" t="s">
        <v>31</v>
      </c>
      <c r="C800">
        <v>38</v>
      </c>
      <c r="D800" t="s">
        <v>12</v>
      </c>
      <c r="E800" t="s">
        <v>13</v>
      </c>
      <c r="F800" t="s">
        <v>25</v>
      </c>
      <c r="G800">
        <v>52</v>
      </c>
      <c r="H800" s="1">
        <v>43703</v>
      </c>
      <c r="I800" t="s">
        <v>39</v>
      </c>
      <c r="J800" t="s">
        <v>16</v>
      </c>
    </row>
    <row r="801" spans="1:10" x14ac:dyDescent="0.3">
      <c r="A801" t="s">
        <v>845</v>
      </c>
      <c r="B801" t="s">
        <v>11</v>
      </c>
      <c r="C801">
        <v>45</v>
      </c>
      <c r="D801" t="s">
        <v>46</v>
      </c>
      <c r="E801" t="s">
        <v>13</v>
      </c>
      <c r="F801" t="s">
        <v>54</v>
      </c>
      <c r="G801">
        <v>11</v>
      </c>
      <c r="H801" s="1">
        <v>44962</v>
      </c>
      <c r="I801" t="s">
        <v>21</v>
      </c>
      <c r="J801" t="s">
        <v>22</v>
      </c>
    </row>
    <row r="802" spans="1:10" x14ac:dyDescent="0.3">
      <c r="A802" t="s">
        <v>846</v>
      </c>
      <c r="B802" t="s">
        <v>61</v>
      </c>
      <c r="C802">
        <v>25</v>
      </c>
      <c r="D802" t="s">
        <v>18</v>
      </c>
      <c r="E802" t="s">
        <v>13</v>
      </c>
      <c r="F802" t="s">
        <v>88</v>
      </c>
      <c r="G802">
        <v>12</v>
      </c>
      <c r="H802" s="1">
        <v>44914</v>
      </c>
      <c r="I802" t="s">
        <v>34</v>
      </c>
      <c r="J802" t="s">
        <v>27</v>
      </c>
    </row>
    <row r="803" spans="1:10" x14ac:dyDescent="0.3">
      <c r="A803" t="s">
        <v>847</v>
      </c>
      <c r="B803" t="s">
        <v>24</v>
      </c>
      <c r="C803">
        <v>39</v>
      </c>
      <c r="D803" t="s">
        <v>12</v>
      </c>
      <c r="E803" t="s">
        <v>19</v>
      </c>
      <c r="F803" t="s">
        <v>38</v>
      </c>
      <c r="G803">
        <v>24</v>
      </c>
      <c r="H803" s="1">
        <v>44561</v>
      </c>
      <c r="I803" t="s">
        <v>15</v>
      </c>
      <c r="J803" t="s">
        <v>27</v>
      </c>
    </row>
    <row r="804" spans="1:10" x14ac:dyDescent="0.3">
      <c r="A804" t="s">
        <v>848</v>
      </c>
      <c r="B804" t="s">
        <v>31</v>
      </c>
      <c r="C804">
        <v>37</v>
      </c>
      <c r="D804" t="s">
        <v>12</v>
      </c>
      <c r="E804" t="s">
        <v>19</v>
      </c>
      <c r="F804" t="s">
        <v>33</v>
      </c>
      <c r="G804">
        <v>16</v>
      </c>
      <c r="H804" s="1">
        <v>44795</v>
      </c>
      <c r="I804" t="s">
        <v>15</v>
      </c>
      <c r="J804" t="s">
        <v>27</v>
      </c>
    </row>
    <row r="805" spans="1:10" x14ac:dyDescent="0.3">
      <c r="A805" t="s">
        <v>849</v>
      </c>
      <c r="B805" t="s">
        <v>24</v>
      </c>
      <c r="C805">
        <v>25</v>
      </c>
      <c r="D805" t="s">
        <v>18</v>
      </c>
      <c r="E805" t="s">
        <v>19</v>
      </c>
      <c r="F805" t="s">
        <v>20</v>
      </c>
      <c r="G805">
        <v>18</v>
      </c>
      <c r="H805" s="1">
        <v>44738</v>
      </c>
      <c r="I805" t="s">
        <v>39</v>
      </c>
      <c r="J805" t="s">
        <v>22</v>
      </c>
    </row>
    <row r="806" spans="1:10" x14ac:dyDescent="0.3">
      <c r="A806" t="s">
        <v>850</v>
      </c>
      <c r="B806" t="s">
        <v>11</v>
      </c>
      <c r="C806">
        <v>29</v>
      </c>
      <c r="D806" t="s">
        <v>18</v>
      </c>
      <c r="E806" t="s">
        <v>19</v>
      </c>
      <c r="F806" t="s">
        <v>54</v>
      </c>
      <c r="G806">
        <v>36</v>
      </c>
      <c r="H806" s="1">
        <v>44192</v>
      </c>
      <c r="I806" t="s">
        <v>21</v>
      </c>
      <c r="J806" t="s">
        <v>16</v>
      </c>
    </row>
    <row r="807" spans="1:10" x14ac:dyDescent="0.3">
      <c r="A807" t="s">
        <v>851</v>
      </c>
      <c r="B807" t="s">
        <v>31</v>
      </c>
      <c r="C807">
        <v>36</v>
      </c>
      <c r="D807" t="s">
        <v>12</v>
      </c>
      <c r="E807" t="s">
        <v>13</v>
      </c>
      <c r="F807" t="s">
        <v>33</v>
      </c>
      <c r="G807">
        <v>41</v>
      </c>
      <c r="H807" s="1">
        <v>44055</v>
      </c>
      <c r="I807" t="s">
        <v>15</v>
      </c>
      <c r="J807" t="s">
        <v>27</v>
      </c>
    </row>
    <row r="808" spans="1:10" x14ac:dyDescent="0.3">
      <c r="A808" t="s">
        <v>852</v>
      </c>
      <c r="B808" t="s">
        <v>11</v>
      </c>
      <c r="C808">
        <v>26</v>
      </c>
      <c r="D808" t="s">
        <v>18</v>
      </c>
      <c r="E808" t="s">
        <v>13</v>
      </c>
      <c r="F808" t="s">
        <v>25</v>
      </c>
      <c r="G808">
        <v>18</v>
      </c>
      <c r="H808" s="1">
        <v>44747</v>
      </c>
      <c r="I808" t="s">
        <v>49</v>
      </c>
      <c r="J808" t="s">
        <v>27</v>
      </c>
    </row>
    <row r="809" spans="1:10" x14ac:dyDescent="0.3">
      <c r="A809" t="s">
        <v>853</v>
      </c>
      <c r="B809" t="s">
        <v>11</v>
      </c>
      <c r="C809">
        <v>35</v>
      </c>
      <c r="D809" t="s">
        <v>12</v>
      </c>
      <c r="E809" t="s">
        <v>19</v>
      </c>
      <c r="F809" t="s">
        <v>36</v>
      </c>
      <c r="G809">
        <v>8</v>
      </c>
      <c r="H809" s="1">
        <v>45034</v>
      </c>
      <c r="I809" t="s">
        <v>39</v>
      </c>
      <c r="J809" t="s">
        <v>27</v>
      </c>
    </row>
    <row r="810" spans="1:10" x14ac:dyDescent="0.3">
      <c r="A810" t="s">
        <v>854</v>
      </c>
      <c r="B810" t="s">
        <v>24</v>
      </c>
      <c r="C810">
        <v>26</v>
      </c>
      <c r="D810" t="s">
        <v>18</v>
      </c>
      <c r="E810" t="s">
        <v>19</v>
      </c>
      <c r="F810" t="s">
        <v>54</v>
      </c>
      <c r="G810">
        <v>14</v>
      </c>
      <c r="H810" s="1">
        <v>44866</v>
      </c>
      <c r="I810" t="s">
        <v>29</v>
      </c>
      <c r="J810" t="s">
        <v>22</v>
      </c>
    </row>
    <row r="811" spans="1:10" x14ac:dyDescent="0.3">
      <c r="A811" t="s">
        <v>855</v>
      </c>
      <c r="B811" t="s">
        <v>24</v>
      </c>
      <c r="C811">
        <v>36</v>
      </c>
      <c r="D811" t="s">
        <v>12</v>
      </c>
      <c r="E811" t="s">
        <v>13</v>
      </c>
      <c r="F811" t="s">
        <v>64</v>
      </c>
      <c r="G811">
        <v>54</v>
      </c>
      <c r="H811" s="1">
        <v>43653</v>
      </c>
      <c r="I811" t="s">
        <v>39</v>
      </c>
      <c r="J811" t="s">
        <v>22</v>
      </c>
    </row>
    <row r="812" spans="1:10" x14ac:dyDescent="0.3">
      <c r="A812" t="s">
        <v>856</v>
      </c>
      <c r="B812" t="s">
        <v>24</v>
      </c>
      <c r="C812">
        <v>20</v>
      </c>
      <c r="D812" t="s">
        <v>32</v>
      </c>
      <c r="E812" t="s">
        <v>19</v>
      </c>
      <c r="F812" t="s">
        <v>14</v>
      </c>
      <c r="G812">
        <v>26</v>
      </c>
      <c r="H812" s="1">
        <v>44503</v>
      </c>
      <c r="I812" t="s">
        <v>39</v>
      </c>
      <c r="J812" t="s">
        <v>27</v>
      </c>
    </row>
    <row r="813" spans="1:10" x14ac:dyDescent="0.3">
      <c r="A813" t="s">
        <v>857</v>
      </c>
      <c r="B813" t="s">
        <v>24</v>
      </c>
      <c r="C813">
        <v>41</v>
      </c>
      <c r="D813" t="s">
        <v>12</v>
      </c>
      <c r="E813" t="s">
        <v>19</v>
      </c>
      <c r="F813" t="s">
        <v>54</v>
      </c>
      <c r="G813">
        <v>32</v>
      </c>
      <c r="H813" s="1">
        <v>44327</v>
      </c>
      <c r="I813" t="s">
        <v>21</v>
      </c>
      <c r="J813" t="s">
        <v>16</v>
      </c>
    </row>
    <row r="814" spans="1:10" x14ac:dyDescent="0.3">
      <c r="A814" t="s">
        <v>858</v>
      </c>
      <c r="B814" t="s">
        <v>11</v>
      </c>
      <c r="C814">
        <v>44</v>
      </c>
      <c r="D814" t="s">
        <v>12</v>
      </c>
      <c r="E814" t="s">
        <v>19</v>
      </c>
      <c r="F814" t="s">
        <v>88</v>
      </c>
      <c r="G814">
        <v>35</v>
      </c>
      <c r="H814" s="1">
        <v>44232</v>
      </c>
      <c r="I814" t="s">
        <v>26</v>
      </c>
      <c r="J814" t="s">
        <v>22</v>
      </c>
    </row>
    <row r="815" spans="1:10" x14ac:dyDescent="0.3">
      <c r="A815" t="s">
        <v>859</v>
      </c>
      <c r="B815" t="s">
        <v>24</v>
      </c>
      <c r="C815">
        <v>30</v>
      </c>
      <c r="D815" t="s">
        <v>18</v>
      </c>
      <c r="E815" t="s">
        <v>19</v>
      </c>
      <c r="F815" t="s">
        <v>36</v>
      </c>
      <c r="G815">
        <v>18</v>
      </c>
      <c r="H815" s="1">
        <v>44751</v>
      </c>
      <c r="I815" t="s">
        <v>21</v>
      </c>
      <c r="J815" t="s">
        <v>65</v>
      </c>
    </row>
    <row r="816" spans="1:10" x14ac:dyDescent="0.3">
      <c r="A816" t="s">
        <v>860</v>
      </c>
      <c r="B816" t="s">
        <v>11</v>
      </c>
      <c r="C816">
        <v>18</v>
      </c>
      <c r="D816" t="s">
        <v>32</v>
      </c>
      <c r="E816" t="s">
        <v>13</v>
      </c>
      <c r="F816" t="s">
        <v>64</v>
      </c>
      <c r="G816">
        <v>57</v>
      </c>
      <c r="H816" s="1">
        <v>43574</v>
      </c>
      <c r="I816" t="s">
        <v>39</v>
      </c>
      <c r="J816" t="s">
        <v>22</v>
      </c>
    </row>
    <row r="817" spans="1:10" x14ac:dyDescent="0.3">
      <c r="A817" t="s">
        <v>861</v>
      </c>
      <c r="B817" t="s">
        <v>24</v>
      </c>
      <c r="C817">
        <v>36</v>
      </c>
      <c r="D817" t="s">
        <v>12</v>
      </c>
      <c r="E817" t="s">
        <v>13</v>
      </c>
      <c r="F817" t="s">
        <v>38</v>
      </c>
      <c r="G817">
        <v>60</v>
      </c>
      <c r="H817" s="1">
        <v>43479</v>
      </c>
      <c r="I817" t="s">
        <v>34</v>
      </c>
      <c r="J817" t="s">
        <v>65</v>
      </c>
    </row>
    <row r="818" spans="1:10" x14ac:dyDescent="0.3">
      <c r="A818" t="s">
        <v>862</v>
      </c>
      <c r="B818" t="s">
        <v>11</v>
      </c>
      <c r="C818">
        <v>41</v>
      </c>
      <c r="D818" t="s">
        <v>12</v>
      </c>
      <c r="E818" t="s">
        <v>13</v>
      </c>
      <c r="F818" t="s">
        <v>25</v>
      </c>
      <c r="G818">
        <v>10</v>
      </c>
      <c r="H818" s="1">
        <v>44975</v>
      </c>
      <c r="I818" t="s">
        <v>29</v>
      </c>
      <c r="J818" t="s">
        <v>27</v>
      </c>
    </row>
    <row r="819" spans="1:10" x14ac:dyDescent="0.3">
      <c r="A819" t="s">
        <v>863</v>
      </c>
      <c r="B819" t="s">
        <v>61</v>
      </c>
      <c r="C819">
        <v>27</v>
      </c>
      <c r="D819" t="s">
        <v>18</v>
      </c>
      <c r="E819" t="s">
        <v>19</v>
      </c>
      <c r="F819" t="s">
        <v>56</v>
      </c>
      <c r="G819">
        <v>54</v>
      </c>
      <c r="H819" s="1">
        <v>43644</v>
      </c>
      <c r="I819" t="s">
        <v>62</v>
      </c>
      <c r="J819" t="s">
        <v>27</v>
      </c>
    </row>
    <row r="820" spans="1:10" x14ac:dyDescent="0.3">
      <c r="A820" t="s">
        <v>864</v>
      </c>
      <c r="B820" t="s">
        <v>31</v>
      </c>
      <c r="C820">
        <v>22</v>
      </c>
      <c r="D820" t="s">
        <v>32</v>
      </c>
      <c r="E820" t="s">
        <v>19</v>
      </c>
      <c r="F820" t="s">
        <v>88</v>
      </c>
      <c r="G820">
        <v>45</v>
      </c>
      <c r="H820" s="1">
        <v>43931</v>
      </c>
      <c r="I820" t="s">
        <v>15</v>
      </c>
      <c r="J820" t="s">
        <v>22</v>
      </c>
    </row>
    <row r="821" spans="1:10" x14ac:dyDescent="0.3">
      <c r="A821" t="s">
        <v>865</v>
      </c>
      <c r="B821" t="s">
        <v>24</v>
      </c>
      <c r="C821">
        <v>28</v>
      </c>
      <c r="D821" t="s">
        <v>18</v>
      </c>
      <c r="E821" t="s">
        <v>19</v>
      </c>
      <c r="F821" t="s">
        <v>64</v>
      </c>
      <c r="G821">
        <v>2</v>
      </c>
      <c r="H821" s="1">
        <v>45219</v>
      </c>
      <c r="I821" t="s">
        <v>49</v>
      </c>
      <c r="J821" t="s">
        <v>27</v>
      </c>
    </row>
    <row r="822" spans="1:10" x14ac:dyDescent="0.3">
      <c r="A822" t="s">
        <v>866</v>
      </c>
      <c r="B822" t="s">
        <v>11</v>
      </c>
      <c r="C822">
        <v>18</v>
      </c>
      <c r="D822" t="s">
        <v>32</v>
      </c>
      <c r="E822" t="s">
        <v>19</v>
      </c>
      <c r="F822" t="s">
        <v>20</v>
      </c>
      <c r="G822">
        <v>53</v>
      </c>
      <c r="H822" s="1">
        <v>43686</v>
      </c>
      <c r="I822" t="s">
        <v>34</v>
      </c>
      <c r="J822" t="s">
        <v>22</v>
      </c>
    </row>
    <row r="823" spans="1:10" x14ac:dyDescent="0.3">
      <c r="A823" t="s">
        <v>867</v>
      </c>
      <c r="B823" t="s">
        <v>42</v>
      </c>
      <c r="C823">
        <v>41</v>
      </c>
      <c r="D823" t="s">
        <v>12</v>
      </c>
      <c r="E823" t="s">
        <v>19</v>
      </c>
      <c r="F823" t="s">
        <v>38</v>
      </c>
      <c r="G823">
        <v>23</v>
      </c>
      <c r="H823" s="1">
        <v>44592</v>
      </c>
      <c r="I823" t="s">
        <v>34</v>
      </c>
      <c r="J823" t="s">
        <v>65</v>
      </c>
    </row>
    <row r="824" spans="1:10" x14ac:dyDescent="0.3">
      <c r="A824" t="s">
        <v>868</v>
      </c>
      <c r="B824" t="s">
        <v>61</v>
      </c>
      <c r="C824">
        <v>26</v>
      </c>
      <c r="D824" t="s">
        <v>18</v>
      </c>
      <c r="E824" t="s">
        <v>13</v>
      </c>
      <c r="F824" t="s">
        <v>64</v>
      </c>
      <c r="G824">
        <v>2</v>
      </c>
      <c r="H824" s="1">
        <v>45210</v>
      </c>
      <c r="I824" t="s">
        <v>26</v>
      </c>
      <c r="J824" t="s">
        <v>22</v>
      </c>
    </row>
    <row r="825" spans="1:10" x14ac:dyDescent="0.3">
      <c r="A825" t="s">
        <v>869</v>
      </c>
      <c r="B825" t="s">
        <v>24</v>
      </c>
      <c r="C825">
        <v>43</v>
      </c>
      <c r="D825" t="s">
        <v>12</v>
      </c>
      <c r="E825" t="s">
        <v>19</v>
      </c>
      <c r="F825" t="s">
        <v>33</v>
      </c>
      <c r="G825">
        <v>9</v>
      </c>
      <c r="H825" s="1">
        <v>45013</v>
      </c>
      <c r="I825" t="s">
        <v>39</v>
      </c>
      <c r="J825" t="s">
        <v>22</v>
      </c>
    </row>
    <row r="826" spans="1:10" x14ac:dyDescent="0.3">
      <c r="A826" t="s">
        <v>870</v>
      </c>
      <c r="B826" t="s">
        <v>24</v>
      </c>
      <c r="C826">
        <v>32</v>
      </c>
      <c r="D826" t="s">
        <v>18</v>
      </c>
      <c r="E826" t="s">
        <v>19</v>
      </c>
      <c r="F826" t="s">
        <v>36</v>
      </c>
      <c r="G826">
        <v>2</v>
      </c>
      <c r="H826" s="1">
        <v>45229</v>
      </c>
      <c r="I826" t="s">
        <v>47</v>
      </c>
      <c r="J826" t="s">
        <v>27</v>
      </c>
    </row>
    <row r="827" spans="1:10" x14ac:dyDescent="0.3">
      <c r="A827" t="s">
        <v>871</v>
      </c>
      <c r="B827" t="s">
        <v>61</v>
      </c>
      <c r="C827">
        <v>38</v>
      </c>
      <c r="D827" t="s">
        <v>12</v>
      </c>
      <c r="E827" t="s">
        <v>13</v>
      </c>
      <c r="F827" t="s">
        <v>64</v>
      </c>
      <c r="G827">
        <v>60</v>
      </c>
      <c r="H827" s="1">
        <v>43469</v>
      </c>
      <c r="I827" t="s">
        <v>26</v>
      </c>
      <c r="J827" t="s">
        <v>16</v>
      </c>
    </row>
    <row r="828" spans="1:10" x14ac:dyDescent="0.3">
      <c r="A828" t="s">
        <v>872</v>
      </c>
      <c r="B828" t="s">
        <v>42</v>
      </c>
      <c r="C828">
        <v>45</v>
      </c>
      <c r="D828" t="s">
        <v>46</v>
      </c>
      <c r="E828" t="s">
        <v>13</v>
      </c>
      <c r="F828" t="s">
        <v>20</v>
      </c>
      <c r="G828">
        <v>60</v>
      </c>
      <c r="H828" s="1">
        <v>43488</v>
      </c>
      <c r="I828" t="s">
        <v>21</v>
      </c>
      <c r="J828" t="s">
        <v>27</v>
      </c>
    </row>
    <row r="829" spans="1:10" x14ac:dyDescent="0.3">
      <c r="A829" t="s">
        <v>873</v>
      </c>
      <c r="B829" t="s">
        <v>31</v>
      </c>
      <c r="C829">
        <v>27</v>
      </c>
      <c r="D829" t="s">
        <v>18</v>
      </c>
      <c r="E829" t="s">
        <v>13</v>
      </c>
      <c r="F829" t="s">
        <v>64</v>
      </c>
      <c r="G829">
        <v>43</v>
      </c>
      <c r="H829" s="1">
        <v>43982</v>
      </c>
      <c r="I829" t="s">
        <v>34</v>
      </c>
      <c r="J829" t="s">
        <v>65</v>
      </c>
    </row>
    <row r="830" spans="1:10" x14ac:dyDescent="0.3">
      <c r="A830" t="s">
        <v>874</v>
      </c>
      <c r="B830" t="s">
        <v>11</v>
      </c>
      <c r="C830">
        <v>25</v>
      </c>
      <c r="D830" t="s">
        <v>18</v>
      </c>
      <c r="E830" t="s">
        <v>19</v>
      </c>
      <c r="F830" t="s">
        <v>33</v>
      </c>
      <c r="G830">
        <v>12</v>
      </c>
      <c r="H830" s="1">
        <v>44915</v>
      </c>
      <c r="I830" t="s">
        <v>39</v>
      </c>
      <c r="J830" t="s">
        <v>16</v>
      </c>
    </row>
    <row r="831" spans="1:10" x14ac:dyDescent="0.3">
      <c r="A831" t="s">
        <v>875</v>
      </c>
      <c r="B831" t="s">
        <v>31</v>
      </c>
      <c r="C831">
        <v>35</v>
      </c>
      <c r="D831" t="s">
        <v>12</v>
      </c>
      <c r="E831" t="s">
        <v>19</v>
      </c>
      <c r="F831" t="s">
        <v>25</v>
      </c>
      <c r="G831">
        <v>22</v>
      </c>
      <c r="H831" s="1">
        <v>44625</v>
      </c>
      <c r="I831" t="s">
        <v>26</v>
      </c>
      <c r="J831" t="s">
        <v>27</v>
      </c>
    </row>
    <row r="832" spans="1:10" x14ac:dyDescent="0.3">
      <c r="A832" t="s">
        <v>876</v>
      </c>
      <c r="B832" t="s">
        <v>31</v>
      </c>
      <c r="C832">
        <v>18</v>
      </c>
      <c r="D832" t="s">
        <v>32</v>
      </c>
      <c r="E832" t="s">
        <v>13</v>
      </c>
      <c r="F832" t="s">
        <v>54</v>
      </c>
      <c r="G832">
        <v>55</v>
      </c>
      <c r="H832" s="1">
        <v>43613</v>
      </c>
      <c r="I832" t="s">
        <v>39</v>
      </c>
      <c r="J832" t="s">
        <v>16</v>
      </c>
    </row>
    <row r="833" spans="1:10" x14ac:dyDescent="0.3">
      <c r="A833" t="s">
        <v>877</v>
      </c>
      <c r="B833" t="s">
        <v>11</v>
      </c>
      <c r="C833">
        <v>45</v>
      </c>
      <c r="D833" t="s">
        <v>46</v>
      </c>
      <c r="E833" t="s">
        <v>13</v>
      </c>
      <c r="F833" t="s">
        <v>88</v>
      </c>
      <c r="G833">
        <v>36</v>
      </c>
      <c r="H833" s="1">
        <v>44198</v>
      </c>
      <c r="I833" t="s">
        <v>62</v>
      </c>
      <c r="J833" t="s">
        <v>27</v>
      </c>
    </row>
    <row r="834" spans="1:10" x14ac:dyDescent="0.3">
      <c r="A834" t="s">
        <v>878</v>
      </c>
      <c r="B834" t="s">
        <v>42</v>
      </c>
      <c r="C834">
        <v>33</v>
      </c>
      <c r="D834" t="s">
        <v>18</v>
      </c>
      <c r="E834" t="s">
        <v>19</v>
      </c>
      <c r="F834" t="s">
        <v>20</v>
      </c>
      <c r="G834">
        <v>13</v>
      </c>
      <c r="H834" s="1">
        <v>44889</v>
      </c>
      <c r="I834" t="s">
        <v>47</v>
      </c>
      <c r="J834" t="s">
        <v>16</v>
      </c>
    </row>
    <row r="835" spans="1:10" x14ac:dyDescent="0.3">
      <c r="A835" t="s">
        <v>879</v>
      </c>
      <c r="B835" t="s">
        <v>61</v>
      </c>
      <c r="C835">
        <v>20</v>
      </c>
      <c r="D835" t="s">
        <v>32</v>
      </c>
      <c r="E835" t="s">
        <v>13</v>
      </c>
      <c r="F835" t="s">
        <v>20</v>
      </c>
      <c r="G835">
        <v>31</v>
      </c>
      <c r="H835" s="1">
        <v>44334</v>
      </c>
      <c r="I835" t="s">
        <v>21</v>
      </c>
      <c r="J835" t="s">
        <v>27</v>
      </c>
    </row>
    <row r="836" spans="1:10" x14ac:dyDescent="0.3">
      <c r="A836" t="s">
        <v>880</v>
      </c>
      <c r="B836" t="s">
        <v>11</v>
      </c>
      <c r="C836">
        <v>27</v>
      </c>
      <c r="D836" t="s">
        <v>18</v>
      </c>
      <c r="E836" t="s">
        <v>19</v>
      </c>
      <c r="F836" t="s">
        <v>56</v>
      </c>
      <c r="G836">
        <v>53</v>
      </c>
      <c r="H836" s="1">
        <v>43699</v>
      </c>
      <c r="I836" t="s">
        <v>62</v>
      </c>
      <c r="J836" t="s">
        <v>16</v>
      </c>
    </row>
    <row r="837" spans="1:10" x14ac:dyDescent="0.3">
      <c r="A837" t="s">
        <v>881</v>
      </c>
      <c r="B837" t="s">
        <v>31</v>
      </c>
      <c r="C837">
        <v>29</v>
      </c>
      <c r="D837" t="s">
        <v>18</v>
      </c>
      <c r="E837" t="s">
        <v>13</v>
      </c>
      <c r="F837" t="s">
        <v>36</v>
      </c>
      <c r="G837">
        <v>30</v>
      </c>
      <c r="H837" s="1">
        <v>44369</v>
      </c>
      <c r="I837" t="s">
        <v>62</v>
      </c>
      <c r="J837" t="s">
        <v>65</v>
      </c>
    </row>
    <row r="838" spans="1:10" x14ac:dyDescent="0.3">
      <c r="A838" t="s">
        <v>882</v>
      </c>
      <c r="B838" t="s">
        <v>31</v>
      </c>
      <c r="C838">
        <v>25</v>
      </c>
      <c r="D838" t="s">
        <v>18</v>
      </c>
      <c r="E838" t="s">
        <v>19</v>
      </c>
      <c r="F838" t="s">
        <v>56</v>
      </c>
      <c r="G838">
        <v>36</v>
      </c>
      <c r="H838" s="1">
        <v>44186</v>
      </c>
      <c r="I838" t="s">
        <v>39</v>
      </c>
      <c r="J838" t="s">
        <v>27</v>
      </c>
    </row>
    <row r="839" spans="1:10" x14ac:dyDescent="0.3">
      <c r="A839" t="s">
        <v>883</v>
      </c>
      <c r="B839" t="s">
        <v>11</v>
      </c>
      <c r="C839">
        <v>27</v>
      </c>
      <c r="D839" t="s">
        <v>18</v>
      </c>
      <c r="E839" t="s">
        <v>19</v>
      </c>
      <c r="F839" t="s">
        <v>20</v>
      </c>
      <c r="G839">
        <v>58</v>
      </c>
      <c r="H839" s="1">
        <v>43536</v>
      </c>
      <c r="I839" t="s">
        <v>39</v>
      </c>
      <c r="J839" t="s">
        <v>27</v>
      </c>
    </row>
    <row r="840" spans="1:10" x14ac:dyDescent="0.3">
      <c r="A840" t="s">
        <v>884</v>
      </c>
      <c r="B840" t="s">
        <v>61</v>
      </c>
      <c r="C840">
        <v>41</v>
      </c>
      <c r="D840" t="s">
        <v>12</v>
      </c>
      <c r="E840" t="s">
        <v>13</v>
      </c>
      <c r="F840" t="s">
        <v>54</v>
      </c>
      <c r="G840">
        <v>50</v>
      </c>
      <c r="H840" s="1">
        <v>43785</v>
      </c>
      <c r="I840" t="s">
        <v>21</v>
      </c>
      <c r="J840" t="s">
        <v>16</v>
      </c>
    </row>
    <row r="841" spans="1:10" x14ac:dyDescent="0.3">
      <c r="A841" t="s">
        <v>885</v>
      </c>
      <c r="B841" t="s">
        <v>42</v>
      </c>
      <c r="C841">
        <v>25</v>
      </c>
      <c r="D841" t="s">
        <v>18</v>
      </c>
      <c r="E841" t="s">
        <v>19</v>
      </c>
      <c r="F841" t="s">
        <v>20</v>
      </c>
      <c r="G841">
        <v>27</v>
      </c>
      <c r="H841" s="1">
        <v>44461</v>
      </c>
      <c r="I841" t="s">
        <v>39</v>
      </c>
      <c r="J841" t="s">
        <v>27</v>
      </c>
    </row>
    <row r="842" spans="1:10" x14ac:dyDescent="0.3">
      <c r="A842" t="s">
        <v>886</v>
      </c>
      <c r="B842" t="s">
        <v>11</v>
      </c>
      <c r="C842">
        <v>20</v>
      </c>
      <c r="D842" t="s">
        <v>32</v>
      </c>
      <c r="E842" t="s">
        <v>19</v>
      </c>
      <c r="F842" t="s">
        <v>20</v>
      </c>
      <c r="G842">
        <v>31</v>
      </c>
      <c r="H842" s="1">
        <v>44354</v>
      </c>
      <c r="I842" t="s">
        <v>39</v>
      </c>
      <c r="J842" t="s">
        <v>22</v>
      </c>
    </row>
    <row r="843" spans="1:10" x14ac:dyDescent="0.3">
      <c r="A843" t="s">
        <v>887</v>
      </c>
      <c r="B843" t="s">
        <v>11</v>
      </c>
      <c r="C843">
        <v>28</v>
      </c>
      <c r="D843" t="s">
        <v>18</v>
      </c>
      <c r="E843" t="s">
        <v>13</v>
      </c>
      <c r="F843" t="s">
        <v>38</v>
      </c>
      <c r="G843">
        <v>52</v>
      </c>
      <c r="H843" s="1">
        <v>43718</v>
      </c>
      <c r="I843" t="s">
        <v>34</v>
      </c>
      <c r="J843" t="s">
        <v>22</v>
      </c>
    </row>
    <row r="844" spans="1:10" x14ac:dyDescent="0.3">
      <c r="A844" t="s">
        <v>888</v>
      </c>
      <c r="B844" t="s">
        <v>42</v>
      </c>
      <c r="C844">
        <v>21</v>
      </c>
      <c r="D844" t="s">
        <v>32</v>
      </c>
      <c r="E844" t="s">
        <v>19</v>
      </c>
      <c r="F844" t="s">
        <v>20</v>
      </c>
      <c r="G844">
        <v>36</v>
      </c>
      <c r="H844" s="1">
        <v>44192</v>
      </c>
      <c r="I844" t="s">
        <v>29</v>
      </c>
      <c r="J844" t="s">
        <v>16</v>
      </c>
    </row>
    <row r="845" spans="1:10" x14ac:dyDescent="0.3">
      <c r="A845" t="s">
        <v>889</v>
      </c>
      <c r="B845" t="s">
        <v>11</v>
      </c>
      <c r="C845">
        <v>28</v>
      </c>
      <c r="D845" t="s">
        <v>18</v>
      </c>
      <c r="E845" t="s">
        <v>19</v>
      </c>
      <c r="F845" t="s">
        <v>14</v>
      </c>
      <c r="G845">
        <v>58</v>
      </c>
      <c r="H845" s="1">
        <v>43537</v>
      </c>
      <c r="I845" t="s">
        <v>21</v>
      </c>
      <c r="J845" t="s">
        <v>65</v>
      </c>
    </row>
    <row r="846" spans="1:10" x14ac:dyDescent="0.3">
      <c r="A846" t="s">
        <v>890</v>
      </c>
      <c r="B846" t="s">
        <v>11</v>
      </c>
      <c r="C846">
        <v>31</v>
      </c>
      <c r="D846" t="s">
        <v>18</v>
      </c>
      <c r="E846" t="s">
        <v>19</v>
      </c>
      <c r="F846" t="s">
        <v>38</v>
      </c>
      <c r="G846">
        <v>54</v>
      </c>
      <c r="H846" s="1">
        <v>43663</v>
      </c>
      <c r="I846" t="s">
        <v>26</v>
      </c>
      <c r="J846" t="s">
        <v>27</v>
      </c>
    </row>
    <row r="847" spans="1:10" x14ac:dyDescent="0.3">
      <c r="A847" t="s">
        <v>891</v>
      </c>
      <c r="B847" t="s">
        <v>31</v>
      </c>
      <c r="C847">
        <v>20</v>
      </c>
      <c r="D847" t="s">
        <v>32</v>
      </c>
      <c r="E847" t="s">
        <v>13</v>
      </c>
      <c r="F847" t="s">
        <v>20</v>
      </c>
      <c r="G847">
        <v>25</v>
      </c>
      <c r="H847" s="1">
        <v>44524</v>
      </c>
      <c r="I847" t="s">
        <v>49</v>
      </c>
      <c r="J847" t="s">
        <v>22</v>
      </c>
    </row>
    <row r="848" spans="1:10" x14ac:dyDescent="0.3">
      <c r="A848" t="s">
        <v>892</v>
      </c>
      <c r="B848" t="s">
        <v>11</v>
      </c>
      <c r="C848">
        <v>23</v>
      </c>
      <c r="D848" t="s">
        <v>32</v>
      </c>
      <c r="E848" t="s">
        <v>13</v>
      </c>
      <c r="F848" t="s">
        <v>25</v>
      </c>
      <c r="G848">
        <v>15</v>
      </c>
      <c r="H848" s="1">
        <v>44820</v>
      </c>
      <c r="I848" t="s">
        <v>39</v>
      </c>
      <c r="J848" t="s">
        <v>16</v>
      </c>
    </row>
    <row r="849" spans="1:10" x14ac:dyDescent="0.3">
      <c r="A849" t="s">
        <v>893</v>
      </c>
      <c r="B849" t="s">
        <v>61</v>
      </c>
      <c r="C849">
        <v>18</v>
      </c>
      <c r="D849" t="s">
        <v>32</v>
      </c>
      <c r="E849" t="s">
        <v>13</v>
      </c>
      <c r="F849" t="s">
        <v>25</v>
      </c>
      <c r="G849">
        <v>23</v>
      </c>
      <c r="H849" s="1">
        <v>44598</v>
      </c>
      <c r="I849" t="s">
        <v>26</v>
      </c>
      <c r="J849" t="s">
        <v>22</v>
      </c>
    </row>
    <row r="850" spans="1:10" x14ac:dyDescent="0.3">
      <c r="A850" t="s">
        <v>894</v>
      </c>
      <c r="B850" t="s">
        <v>31</v>
      </c>
      <c r="C850">
        <v>42</v>
      </c>
      <c r="D850" t="s">
        <v>12</v>
      </c>
      <c r="E850" t="s">
        <v>13</v>
      </c>
      <c r="F850" t="s">
        <v>38</v>
      </c>
      <c r="G850">
        <v>23</v>
      </c>
      <c r="H850" s="1">
        <v>44579</v>
      </c>
      <c r="I850" t="s">
        <v>34</v>
      </c>
      <c r="J850" t="s">
        <v>27</v>
      </c>
    </row>
    <row r="851" spans="1:10" x14ac:dyDescent="0.3">
      <c r="A851" t="s">
        <v>895</v>
      </c>
      <c r="B851" t="s">
        <v>31</v>
      </c>
      <c r="C851">
        <v>36</v>
      </c>
      <c r="D851" t="s">
        <v>12</v>
      </c>
      <c r="E851" t="s">
        <v>13</v>
      </c>
      <c r="F851" t="s">
        <v>14</v>
      </c>
      <c r="G851">
        <v>59</v>
      </c>
      <c r="H851" s="1">
        <v>43509</v>
      </c>
      <c r="I851" t="s">
        <v>26</v>
      </c>
      <c r="J851" t="s">
        <v>27</v>
      </c>
    </row>
    <row r="852" spans="1:10" x14ac:dyDescent="0.3">
      <c r="A852" t="s">
        <v>896</v>
      </c>
      <c r="B852" t="s">
        <v>11</v>
      </c>
      <c r="C852">
        <v>26</v>
      </c>
      <c r="D852" t="s">
        <v>18</v>
      </c>
      <c r="E852" t="s">
        <v>13</v>
      </c>
      <c r="F852" t="s">
        <v>33</v>
      </c>
      <c r="G852">
        <v>37</v>
      </c>
      <c r="H852" s="1">
        <v>44160</v>
      </c>
      <c r="I852" t="s">
        <v>39</v>
      </c>
      <c r="J852" t="s">
        <v>27</v>
      </c>
    </row>
    <row r="853" spans="1:10" x14ac:dyDescent="0.3">
      <c r="A853" t="s">
        <v>897</v>
      </c>
      <c r="B853" t="s">
        <v>24</v>
      </c>
      <c r="C853">
        <v>25</v>
      </c>
      <c r="D853" t="s">
        <v>18</v>
      </c>
      <c r="E853" t="s">
        <v>13</v>
      </c>
      <c r="F853" t="s">
        <v>64</v>
      </c>
      <c r="G853">
        <v>8</v>
      </c>
      <c r="H853" s="1">
        <v>45050</v>
      </c>
      <c r="I853" t="s">
        <v>21</v>
      </c>
      <c r="J853" t="s">
        <v>27</v>
      </c>
    </row>
    <row r="854" spans="1:10" x14ac:dyDescent="0.3">
      <c r="A854" t="s">
        <v>898</v>
      </c>
      <c r="B854" t="s">
        <v>42</v>
      </c>
      <c r="C854">
        <v>39</v>
      </c>
      <c r="D854" t="s">
        <v>12</v>
      </c>
      <c r="E854" t="s">
        <v>105</v>
      </c>
      <c r="F854" t="s">
        <v>20</v>
      </c>
      <c r="G854">
        <v>60</v>
      </c>
      <c r="H854" s="1">
        <v>43470</v>
      </c>
      <c r="I854" t="s">
        <v>15</v>
      </c>
      <c r="J854" t="s">
        <v>27</v>
      </c>
    </row>
    <row r="855" spans="1:10" x14ac:dyDescent="0.3">
      <c r="A855" t="s">
        <v>899</v>
      </c>
      <c r="B855" t="s">
        <v>11</v>
      </c>
      <c r="C855">
        <v>19</v>
      </c>
      <c r="D855" t="s">
        <v>32</v>
      </c>
      <c r="E855" t="s">
        <v>13</v>
      </c>
      <c r="F855" t="s">
        <v>33</v>
      </c>
      <c r="G855">
        <v>40</v>
      </c>
      <c r="H855" s="1">
        <v>44073</v>
      </c>
      <c r="I855" t="s">
        <v>49</v>
      </c>
      <c r="J855" t="s">
        <v>27</v>
      </c>
    </row>
    <row r="856" spans="1:10" x14ac:dyDescent="0.3">
      <c r="A856" t="s">
        <v>900</v>
      </c>
      <c r="B856" t="s">
        <v>31</v>
      </c>
      <c r="C856">
        <v>32</v>
      </c>
      <c r="D856" t="s">
        <v>18</v>
      </c>
      <c r="E856" t="s">
        <v>19</v>
      </c>
      <c r="F856" t="s">
        <v>38</v>
      </c>
      <c r="G856">
        <v>48</v>
      </c>
      <c r="H856" s="1">
        <v>43843</v>
      </c>
      <c r="I856" t="s">
        <v>39</v>
      </c>
      <c r="J856" t="s">
        <v>27</v>
      </c>
    </row>
    <row r="857" spans="1:10" x14ac:dyDescent="0.3">
      <c r="A857" t="s">
        <v>901</v>
      </c>
      <c r="B857" t="s">
        <v>42</v>
      </c>
      <c r="C857">
        <v>23</v>
      </c>
      <c r="D857" t="s">
        <v>32</v>
      </c>
      <c r="E857" t="s">
        <v>13</v>
      </c>
      <c r="F857" t="s">
        <v>56</v>
      </c>
      <c r="G857">
        <v>49</v>
      </c>
      <c r="H857" s="1">
        <v>43793</v>
      </c>
      <c r="I857" t="s">
        <v>62</v>
      </c>
      <c r="J857" t="s">
        <v>22</v>
      </c>
    </row>
    <row r="858" spans="1:10" x14ac:dyDescent="0.3">
      <c r="A858" t="s">
        <v>902</v>
      </c>
      <c r="B858" t="s">
        <v>11</v>
      </c>
      <c r="C858">
        <v>34</v>
      </c>
      <c r="D858" t="s">
        <v>18</v>
      </c>
      <c r="E858" t="s">
        <v>13</v>
      </c>
      <c r="F858" t="s">
        <v>56</v>
      </c>
      <c r="G858">
        <v>33</v>
      </c>
      <c r="H858" s="1">
        <v>44286</v>
      </c>
      <c r="I858" t="s">
        <v>39</v>
      </c>
      <c r="J858" t="s">
        <v>16</v>
      </c>
    </row>
    <row r="859" spans="1:10" x14ac:dyDescent="0.3">
      <c r="A859" t="s">
        <v>903</v>
      </c>
      <c r="B859" t="s">
        <v>61</v>
      </c>
      <c r="C859">
        <v>24</v>
      </c>
      <c r="D859" t="s">
        <v>32</v>
      </c>
      <c r="E859" t="s">
        <v>105</v>
      </c>
      <c r="F859" t="s">
        <v>20</v>
      </c>
      <c r="G859">
        <v>46</v>
      </c>
      <c r="H859" s="1">
        <v>43907</v>
      </c>
      <c r="I859" t="s">
        <v>26</v>
      </c>
      <c r="J859" t="s">
        <v>27</v>
      </c>
    </row>
    <row r="860" spans="1:10" x14ac:dyDescent="0.3">
      <c r="A860" t="s">
        <v>904</v>
      </c>
      <c r="B860" t="s">
        <v>24</v>
      </c>
      <c r="C860">
        <v>29</v>
      </c>
      <c r="D860" t="s">
        <v>18</v>
      </c>
      <c r="E860" t="s">
        <v>13</v>
      </c>
      <c r="F860" t="s">
        <v>88</v>
      </c>
      <c r="G860">
        <v>4</v>
      </c>
      <c r="H860" s="1">
        <v>45154</v>
      </c>
      <c r="I860" t="s">
        <v>34</v>
      </c>
      <c r="J860" t="s">
        <v>27</v>
      </c>
    </row>
    <row r="861" spans="1:10" x14ac:dyDescent="0.3">
      <c r="A861" t="s">
        <v>905</v>
      </c>
      <c r="B861" t="s">
        <v>31</v>
      </c>
      <c r="C861">
        <v>23</v>
      </c>
      <c r="D861" t="s">
        <v>32</v>
      </c>
      <c r="E861" t="s">
        <v>13</v>
      </c>
      <c r="F861" t="s">
        <v>36</v>
      </c>
      <c r="G861">
        <v>50</v>
      </c>
      <c r="H861" s="1">
        <v>43770</v>
      </c>
      <c r="I861" t="s">
        <v>29</v>
      </c>
      <c r="J861" t="s">
        <v>27</v>
      </c>
    </row>
    <row r="862" spans="1:10" x14ac:dyDescent="0.3">
      <c r="A862" t="s">
        <v>906</v>
      </c>
      <c r="B862" t="s">
        <v>31</v>
      </c>
      <c r="C862">
        <v>34</v>
      </c>
      <c r="D862" t="s">
        <v>18</v>
      </c>
      <c r="E862" t="s">
        <v>13</v>
      </c>
      <c r="F862" t="s">
        <v>64</v>
      </c>
      <c r="G862">
        <v>18</v>
      </c>
      <c r="H862" s="1">
        <v>44746</v>
      </c>
      <c r="I862" t="s">
        <v>26</v>
      </c>
      <c r="J862" t="s">
        <v>16</v>
      </c>
    </row>
    <row r="863" spans="1:10" x14ac:dyDescent="0.3">
      <c r="A863" t="s">
        <v>907</v>
      </c>
      <c r="B863" t="s">
        <v>61</v>
      </c>
      <c r="C863">
        <v>33</v>
      </c>
      <c r="D863" t="s">
        <v>18</v>
      </c>
      <c r="E863" t="s">
        <v>13</v>
      </c>
      <c r="F863" t="s">
        <v>56</v>
      </c>
      <c r="G863">
        <v>7</v>
      </c>
      <c r="H863" s="1">
        <v>45067</v>
      </c>
      <c r="I863" t="s">
        <v>39</v>
      </c>
      <c r="J863" t="s">
        <v>16</v>
      </c>
    </row>
    <row r="864" spans="1:10" x14ac:dyDescent="0.3">
      <c r="A864" t="s">
        <v>908</v>
      </c>
      <c r="B864" t="s">
        <v>31</v>
      </c>
      <c r="C864">
        <v>24</v>
      </c>
      <c r="D864" t="s">
        <v>32</v>
      </c>
      <c r="E864" t="s">
        <v>19</v>
      </c>
      <c r="F864" t="s">
        <v>54</v>
      </c>
      <c r="G864">
        <v>37</v>
      </c>
      <c r="H864" s="1">
        <v>44166</v>
      </c>
      <c r="I864" t="s">
        <v>15</v>
      </c>
      <c r="J864" t="s">
        <v>65</v>
      </c>
    </row>
    <row r="865" spans="1:10" x14ac:dyDescent="0.3">
      <c r="A865" t="s">
        <v>909</v>
      </c>
      <c r="B865" t="s">
        <v>31</v>
      </c>
      <c r="C865">
        <v>29</v>
      </c>
      <c r="D865" t="s">
        <v>18</v>
      </c>
      <c r="E865" t="s">
        <v>19</v>
      </c>
      <c r="F865" t="s">
        <v>25</v>
      </c>
      <c r="G865">
        <v>43</v>
      </c>
      <c r="H865" s="1">
        <v>43988</v>
      </c>
      <c r="I865" t="s">
        <v>47</v>
      </c>
      <c r="J865" t="s">
        <v>65</v>
      </c>
    </row>
    <row r="866" spans="1:10" x14ac:dyDescent="0.3">
      <c r="A866" t="s">
        <v>910</v>
      </c>
      <c r="B866" t="s">
        <v>61</v>
      </c>
      <c r="C866">
        <v>31</v>
      </c>
      <c r="D866" t="s">
        <v>18</v>
      </c>
      <c r="E866" t="s">
        <v>13</v>
      </c>
      <c r="F866" t="s">
        <v>88</v>
      </c>
      <c r="G866">
        <v>11</v>
      </c>
      <c r="H866" s="1">
        <v>44945</v>
      </c>
      <c r="I866" t="s">
        <v>34</v>
      </c>
      <c r="J866" t="s">
        <v>65</v>
      </c>
    </row>
    <row r="867" spans="1:10" x14ac:dyDescent="0.3">
      <c r="A867" t="s">
        <v>911</v>
      </c>
      <c r="B867" t="s">
        <v>61</v>
      </c>
      <c r="C867">
        <v>35</v>
      </c>
      <c r="D867" t="s">
        <v>12</v>
      </c>
      <c r="E867" t="s">
        <v>13</v>
      </c>
      <c r="F867" t="s">
        <v>64</v>
      </c>
      <c r="G867">
        <v>3</v>
      </c>
      <c r="H867" s="1">
        <v>45177</v>
      </c>
      <c r="I867" t="s">
        <v>34</v>
      </c>
      <c r="J867" t="s">
        <v>16</v>
      </c>
    </row>
    <row r="868" spans="1:10" x14ac:dyDescent="0.3">
      <c r="A868" t="s">
        <v>912</v>
      </c>
      <c r="B868" t="s">
        <v>24</v>
      </c>
      <c r="C868">
        <v>40</v>
      </c>
      <c r="D868" t="s">
        <v>12</v>
      </c>
      <c r="E868" t="s">
        <v>19</v>
      </c>
      <c r="F868" t="s">
        <v>88</v>
      </c>
      <c r="G868">
        <v>48</v>
      </c>
      <c r="H868" s="1">
        <v>43824</v>
      </c>
      <c r="I868" t="s">
        <v>62</v>
      </c>
      <c r="J868" t="s">
        <v>27</v>
      </c>
    </row>
    <row r="869" spans="1:10" x14ac:dyDescent="0.3">
      <c r="A869" t="s">
        <v>913</v>
      </c>
      <c r="B869" t="s">
        <v>31</v>
      </c>
      <c r="C869">
        <v>51</v>
      </c>
      <c r="D869" t="s">
        <v>46</v>
      </c>
      <c r="E869" t="s">
        <v>13</v>
      </c>
      <c r="F869" t="s">
        <v>38</v>
      </c>
      <c r="G869">
        <v>22</v>
      </c>
      <c r="H869" s="1">
        <v>44604</v>
      </c>
      <c r="I869" t="s">
        <v>62</v>
      </c>
      <c r="J869" t="s">
        <v>27</v>
      </c>
    </row>
    <row r="870" spans="1:10" x14ac:dyDescent="0.3">
      <c r="A870" t="s">
        <v>914</v>
      </c>
      <c r="B870" t="s">
        <v>24</v>
      </c>
      <c r="C870">
        <v>33</v>
      </c>
      <c r="D870" t="s">
        <v>18</v>
      </c>
      <c r="E870" t="s">
        <v>19</v>
      </c>
      <c r="F870" t="s">
        <v>88</v>
      </c>
      <c r="G870">
        <v>38</v>
      </c>
      <c r="H870" s="1">
        <v>44151</v>
      </c>
      <c r="I870" t="s">
        <v>39</v>
      </c>
      <c r="J870" t="s">
        <v>27</v>
      </c>
    </row>
    <row r="871" spans="1:10" x14ac:dyDescent="0.3">
      <c r="A871" t="s">
        <v>915</v>
      </c>
      <c r="B871" t="s">
        <v>11</v>
      </c>
      <c r="C871">
        <v>30</v>
      </c>
      <c r="D871" t="s">
        <v>18</v>
      </c>
      <c r="E871" t="s">
        <v>19</v>
      </c>
      <c r="F871" t="s">
        <v>54</v>
      </c>
      <c r="G871">
        <v>35</v>
      </c>
      <c r="H871" s="1">
        <v>44221</v>
      </c>
      <c r="I871" t="s">
        <v>34</v>
      </c>
      <c r="J871" t="s">
        <v>22</v>
      </c>
    </row>
    <row r="872" spans="1:10" x14ac:dyDescent="0.3">
      <c r="A872" t="s">
        <v>916</v>
      </c>
      <c r="B872" t="s">
        <v>11</v>
      </c>
      <c r="C872">
        <v>37</v>
      </c>
      <c r="D872" t="s">
        <v>12</v>
      </c>
      <c r="E872" t="s">
        <v>13</v>
      </c>
      <c r="F872" t="s">
        <v>64</v>
      </c>
      <c r="G872">
        <v>15</v>
      </c>
      <c r="H872" s="1">
        <v>44841</v>
      </c>
      <c r="I872" t="s">
        <v>29</v>
      </c>
      <c r="J872" t="s">
        <v>65</v>
      </c>
    </row>
    <row r="873" spans="1:10" x14ac:dyDescent="0.3">
      <c r="A873" t="s">
        <v>917</v>
      </c>
      <c r="B873" t="s">
        <v>31</v>
      </c>
      <c r="C873">
        <v>43</v>
      </c>
      <c r="D873" t="s">
        <v>12</v>
      </c>
      <c r="E873" t="s">
        <v>13</v>
      </c>
      <c r="F873" t="s">
        <v>20</v>
      </c>
      <c r="G873">
        <v>43</v>
      </c>
      <c r="H873" s="1">
        <v>43989</v>
      </c>
      <c r="I873" t="s">
        <v>21</v>
      </c>
      <c r="J873" t="s">
        <v>22</v>
      </c>
    </row>
    <row r="874" spans="1:10" x14ac:dyDescent="0.3">
      <c r="A874" t="s">
        <v>918</v>
      </c>
      <c r="B874" t="s">
        <v>24</v>
      </c>
      <c r="C874">
        <v>33</v>
      </c>
      <c r="D874" t="s">
        <v>18</v>
      </c>
      <c r="E874" t="s">
        <v>19</v>
      </c>
      <c r="F874" t="s">
        <v>20</v>
      </c>
      <c r="G874">
        <v>56</v>
      </c>
      <c r="H874" s="1">
        <v>43590</v>
      </c>
      <c r="I874" t="s">
        <v>26</v>
      </c>
      <c r="J874" t="s">
        <v>16</v>
      </c>
    </row>
    <row r="875" spans="1:10" x14ac:dyDescent="0.3">
      <c r="A875" t="s">
        <v>919</v>
      </c>
      <c r="B875" t="s">
        <v>42</v>
      </c>
      <c r="C875">
        <v>37</v>
      </c>
      <c r="D875" t="s">
        <v>12</v>
      </c>
      <c r="E875" t="s">
        <v>13</v>
      </c>
      <c r="F875" t="s">
        <v>33</v>
      </c>
      <c r="G875">
        <v>23</v>
      </c>
      <c r="H875" s="1">
        <v>44592</v>
      </c>
      <c r="I875" t="s">
        <v>39</v>
      </c>
      <c r="J875" t="s">
        <v>65</v>
      </c>
    </row>
    <row r="876" spans="1:10" x14ac:dyDescent="0.3">
      <c r="A876" t="s">
        <v>920</v>
      </c>
      <c r="B876" t="s">
        <v>24</v>
      </c>
      <c r="C876">
        <v>20</v>
      </c>
      <c r="D876" t="s">
        <v>32</v>
      </c>
      <c r="E876" t="s">
        <v>19</v>
      </c>
      <c r="F876" t="s">
        <v>20</v>
      </c>
      <c r="G876">
        <v>6</v>
      </c>
      <c r="H876" s="1">
        <v>45085</v>
      </c>
      <c r="I876" t="s">
        <v>62</v>
      </c>
      <c r="J876" t="s">
        <v>22</v>
      </c>
    </row>
    <row r="877" spans="1:10" x14ac:dyDescent="0.3">
      <c r="A877" t="s">
        <v>921</v>
      </c>
      <c r="B877" t="s">
        <v>42</v>
      </c>
      <c r="C877">
        <v>18</v>
      </c>
      <c r="D877" t="s">
        <v>32</v>
      </c>
      <c r="E877" t="s">
        <v>13</v>
      </c>
      <c r="F877" t="s">
        <v>88</v>
      </c>
      <c r="G877">
        <v>26</v>
      </c>
      <c r="H877" s="1">
        <v>44503</v>
      </c>
      <c r="I877" t="s">
        <v>26</v>
      </c>
      <c r="J877" t="s">
        <v>22</v>
      </c>
    </row>
    <row r="878" spans="1:10" x14ac:dyDescent="0.3">
      <c r="A878" t="s">
        <v>922</v>
      </c>
      <c r="B878" t="s">
        <v>31</v>
      </c>
      <c r="C878">
        <v>27</v>
      </c>
      <c r="D878" t="s">
        <v>18</v>
      </c>
      <c r="E878" t="s">
        <v>19</v>
      </c>
      <c r="F878" t="s">
        <v>14</v>
      </c>
      <c r="G878">
        <v>12</v>
      </c>
      <c r="H878" s="1">
        <v>44903</v>
      </c>
      <c r="I878" t="s">
        <v>34</v>
      </c>
      <c r="J878" t="s">
        <v>27</v>
      </c>
    </row>
    <row r="879" spans="1:10" x14ac:dyDescent="0.3">
      <c r="A879" t="s">
        <v>923</v>
      </c>
      <c r="B879" t="s">
        <v>24</v>
      </c>
      <c r="C879">
        <v>18</v>
      </c>
      <c r="D879" t="s">
        <v>32</v>
      </c>
      <c r="E879" t="s">
        <v>19</v>
      </c>
      <c r="F879" t="s">
        <v>38</v>
      </c>
      <c r="G879">
        <v>58</v>
      </c>
      <c r="H879" s="1">
        <v>43535</v>
      </c>
      <c r="I879" t="s">
        <v>15</v>
      </c>
      <c r="J879" t="s">
        <v>27</v>
      </c>
    </row>
    <row r="880" spans="1:10" x14ac:dyDescent="0.3">
      <c r="A880" t="s">
        <v>924</v>
      </c>
      <c r="B880" t="s">
        <v>31</v>
      </c>
      <c r="C880">
        <v>33</v>
      </c>
      <c r="D880" t="s">
        <v>18</v>
      </c>
      <c r="E880" t="s">
        <v>19</v>
      </c>
      <c r="F880" t="s">
        <v>56</v>
      </c>
      <c r="G880">
        <v>3</v>
      </c>
      <c r="H880" s="1">
        <v>45184</v>
      </c>
      <c r="I880" t="s">
        <v>39</v>
      </c>
      <c r="J880" t="s">
        <v>65</v>
      </c>
    </row>
    <row r="881" spans="1:10" x14ac:dyDescent="0.3">
      <c r="A881" t="s">
        <v>925</v>
      </c>
      <c r="B881" t="s">
        <v>11</v>
      </c>
      <c r="C881">
        <v>37</v>
      </c>
      <c r="D881" t="s">
        <v>12</v>
      </c>
      <c r="E881" t="s">
        <v>13</v>
      </c>
      <c r="F881" t="s">
        <v>36</v>
      </c>
      <c r="G881">
        <v>40</v>
      </c>
      <c r="H881" s="1">
        <v>44092</v>
      </c>
      <c r="I881" t="s">
        <v>49</v>
      </c>
      <c r="J881" t="s">
        <v>16</v>
      </c>
    </row>
    <row r="882" spans="1:10" x14ac:dyDescent="0.3">
      <c r="A882" t="s">
        <v>926</v>
      </c>
      <c r="B882" t="s">
        <v>24</v>
      </c>
      <c r="C882">
        <v>31</v>
      </c>
      <c r="D882" t="s">
        <v>18</v>
      </c>
      <c r="E882" t="s">
        <v>19</v>
      </c>
      <c r="F882" t="s">
        <v>20</v>
      </c>
      <c r="G882">
        <v>10</v>
      </c>
      <c r="H882" s="1">
        <v>44967</v>
      </c>
      <c r="I882" t="s">
        <v>21</v>
      </c>
      <c r="J882" t="s">
        <v>27</v>
      </c>
    </row>
    <row r="883" spans="1:10" x14ac:dyDescent="0.3">
      <c r="A883" t="s">
        <v>927</v>
      </c>
      <c r="B883" t="s">
        <v>42</v>
      </c>
      <c r="C883">
        <v>18</v>
      </c>
      <c r="D883" t="s">
        <v>32</v>
      </c>
      <c r="E883" t="s">
        <v>19</v>
      </c>
      <c r="F883" t="s">
        <v>64</v>
      </c>
      <c r="G883">
        <v>9</v>
      </c>
      <c r="H883" s="1">
        <v>45006</v>
      </c>
      <c r="I883" t="s">
        <v>34</v>
      </c>
      <c r="J883" t="s">
        <v>16</v>
      </c>
    </row>
    <row r="884" spans="1:10" x14ac:dyDescent="0.3">
      <c r="A884" t="s">
        <v>928</v>
      </c>
      <c r="B884" t="s">
        <v>11</v>
      </c>
      <c r="C884">
        <v>36</v>
      </c>
      <c r="D884" t="s">
        <v>12</v>
      </c>
      <c r="E884" t="s">
        <v>13</v>
      </c>
      <c r="F884" t="s">
        <v>20</v>
      </c>
      <c r="G884">
        <v>49</v>
      </c>
      <c r="H884" s="1">
        <v>43803</v>
      </c>
      <c r="I884" t="s">
        <v>15</v>
      </c>
      <c r="J884" t="s">
        <v>27</v>
      </c>
    </row>
    <row r="885" spans="1:10" x14ac:dyDescent="0.3">
      <c r="A885" t="s">
        <v>929</v>
      </c>
      <c r="B885" t="s">
        <v>24</v>
      </c>
      <c r="C885">
        <v>20</v>
      </c>
      <c r="D885" t="s">
        <v>32</v>
      </c>
      <c r="E885" t="s">
        <v>19</v>
      </c>
      <c r="F885" t="s">
        <v>36</v>
      </c>
      <c r="G885">
        <v>21</v>
      </c>
      <c r="H885" s="1">
        <v>44647</v>
      </c>
      <c r="I885" t="s">
        <v>49</v>
      </c>
      <c r="J885" t="s">
        <v>16</v>
      </c>
    </row>
    <row r="886" spans="1:10" x14ac:dyDescent="0.3">
      <c r="A886" t="s">
        <v>930</v>
      </c>
      <c r="B886" t="s">
        <v>11</v>
      </c>
      <c r="C886">
        <v>34</v>
      </c>
      <c r="D886" t="s">
        <v>18</v>
      </c>
      <c r="E886" t="s">
        <v>13</v>
      </c>
      <c r="F886" t="s">
        <v>88</v>
      </c>
      <c r="G886">
        <v>53</v>
      </c>
      <c r="H886" s="1">
        <v>43687</v>
      </c>
      <c r="I886" t="s">
        <v>39</v>
      </c>
      <c r="J886" t="s">
        <v>27</v>
      </c>
    </row>
    <row r="887" spans="1:10" x14ac:dyDescent="0.3">
      <c r="A887" t="s">
        <v>931</v>
      </c>
      <c r="B887" t="s">
        <v>42</v>
      </c>
      <c r="C887">
        <v>24</v>
      </c>
      <c r="D887" t="s">
        <v>32</v>
      </c>
      <c r="E887" t="s">
        <v>19</v>
      </c>
      <c r="F887" t="s">
        <v>25</v>
      </c>
      <c r="G887">
        <v>47</v>
      </c>
      <c r="H887" s="1">
        <v>43878</v>
      </c>
      <c r="I887" t="s">
        <v>29</v>
      </c>
      <c r="J887" t="s">
        <v>22</v>
      </c>
    </row>
    <row r="888" spans="1:10" x14ac:dyDescent="0.3">
      <c r="A888" t="s">
        <v>932</v>
      </c>
      <c r="B888" t="s">
        <v>61</v>
      </c>
      <c r="C888">
        <v>26</v>
      </c>
      <c r="D888" t="s">
        <v>18</v>
      </c>
      <c r="E888" t="s">
        <v>13</v>
      </c>
      <c r="F888" t="s">
        <v>38</v>
      </c>
      <c r="G888">
        <v>25</v>
      </c>
      <c r="H888" s="1">
        <v>44519</v>
      </c>
      <c r="I888" t="s">
        <v>34</v>
      </c>
      <c r="J888" t="s">
        <v>27</v>
      </c>
    </row>
    <row r="889" spans="1:10" x14ac:dyDescent="0.3">
      <c r="A889" t="s">
        <v>933</v>
      </c>
      <c r="B889" t="s">
        <v>61</v>
      </c>
      <c r="C889">
        <v>38</v>
      </c>
      <c r="D889" t="s">
        <v>12</v>
      </c>
      <c r="E889" t="s">
        <v>13</v>
      </c>
      <c r="F889" t="s">
        <v>33</v>
      </c>
      <c r="G889">
        <v>38</v>
      </c>
      <c r="H889" s="1">
        <v>44131</v>
      </c>
      <c r="I889" t="s">
        <v>26</v>
      </c>
      <c r="J889" t="s">
        <v>22</v>
      </c>
    </row>
    <row r="890" spans="1:10" x14ac:dyDescent="0.3">
      <c r="A890" t="s">
        <v>934</v>
      </c>
      <c r="B890" t="s">
        <v>24</v>
      </c>
      <c r="C890">
        <v>36</v>
      </c>
      <c r="D890" t="s">
        <v>12</v>
      </c>
      <c r="E890" t="s">
        <v>13</v>
      </c>
      <c r="F890" t="s">
        <v>25</v>
      </c>
      <c r="G890">
        <v>41</v>
      </c>
      <c r="H890" s="1">
        <v>44062</v>
      </c>
      <c r="I890" t="s">
        <v>34</v>
      </c>
      <c r="J890" t="s">
        <v>65</v>
      </c>
    </row>
    <row r="891" spans="1:10" x14ac:dyDescent="0.3">
      <c r="A891" t="s">
        <v>935</v>
      </c>
      <c r="B891" t="s">
        <v>31</v>
      </c>
      <c r="C891">
        <v>41</v>
      </c>
      <c r="D891" t="s">
        <v>12</v>
      </c>
      <c r="E891" t="s">
        <v>19</v>
      </c>
      <c r="F891" t="s">
        <v>64</v>
      </c>
      <c r="G891">
        <v>11</v>
      </c>
      <c r="H891" s="1">
        <v>44956</v>
      </c>
      <c r="I891" t="s">
        <v>29</v>
      </c>
      <c r="J891" t="s">
        <v>65</v>
      </c>
    </row>
    <row r="892" spans="1:10" x14ac:dyDescent="0.3">
      <c r="A892" t="s">
        <v>936</v>
      </c>
      <c r="B892" t="s">
        <v>11</v>
      </c>
      <c r="C892">
        <v>29</v>
      </c>
      <c r="D892" t="s">
        <v>18</v>
      </c>
      <c r="E892" t="s">
        <v>19</v>
      </c>
      <c r="F892" t="s">
        <v>54</v>
      </c>
      <c r="G892">
        <v>25</v>
      </c>
      <c r="H892" s="1">
        <v>44515</v>
      </c>
      <c r="I892" t="s">
        <v>21</v>
      </c>
      <c r="J892" t="s">
        <v>16</v>
      </c>
    </row>
    <row r="893" spans="1:10" x14ac:dyDescent="0.3">
      <c r="A893" t="s">
        <v>937</v>
      </c>
      <c r="B893" t="s">
        <v>61</v>
      </c>
      <c r="C893">
        <v>25</v>
      </c>
      <c r="D893" t="s">
        <v>18</v>
      </c>
      <c r="E893" t="s">
        <v>13</v>
      </c>
      <c r="F893" t="s">
        <v>14</v>
      </c>
      <c r="G893">
        <v>52</v>
      </c>
      <c r="H893" s="1">
        <v>43727</v>
      </c>
      <c r="I893" t="s">
        <v>26</v>
      </c>
      <c r="J893" t="s">
        <v>22</v>
      </c>
    </row>
    <row r="894" spans="1:10" x14ac:dyDescent="0.3">
      <c r="A894" t="s">
        <v>938</v>
      </c>
      <c r="B894" t="s">
        <v>24</v>
      </c>
      <c r="C894">
        <v>28</v>
      </c>
      <c r="D894" t="s">
        <v>18</v>
      </c>
      <c r="E894" t="s">
        <v>13</v>
      </c>
      <c r="F894" t="s">
        <v>14</v>
      </c>
      <c r="G894">
        <v>48</v>
      </c>
      <c r="H894" s="1">
        <v>43835</v>
      </c>
      <c r="I894" t="s">
        <v>49</v>
      </c>
      <c r="J894" t="s">
        <v>27</v>
      </c>
    </row>
    <row r="895" spans="1:10" x14ac:dyDescent="0.3">
      <c r="A895" t="s">
        <v>939</v>
      </c>
      <c r="B895" t="s">
        <v>31</v>
      </c>
      <c r="C895">
        <v>34</v>
      </c>
      <c r="D895" t="s">
        <v>18</v>
      </c>
      <c r="E895" t="s">
        <v>19</v>
      </c>
      <c r="F895" t="s">
        <v>38</v>
      </c>
      <c r="G895">
        <v>55</v>
      </c>
      <c r="H895" s="1">
        <v>43613</v>
      </c>
      <c r="I895" t="s">
        <v>34</v>
      </c>
      <c r="J895" t="s">
        <v>22</v>
      </c>
    </row>
    <row r="896" spans="1:10" x14ac:dyDescent="0.3">
      <c r="A896" t="s">
        <v>940</v>
      </c>
      <c r="B896" t="s">
        <v>42</v>
      </c>
      <c r="C896">
        <v>33</v>
      </c>
      <c r="D896" t="s">
        <v>18</v>
      </c>
      <c r="E896" t="s">
        <v>19</v>
      </c>
      <c r="F896" t="s">
        <v>25</v>
      </c>
      <c r="G896">
        <v>50</v>
      </c>
      <c r="H896" s="1">
        <v>43782</v>
      </c>
      <c r="I896" t="s">
        <v>47</v>
      </c>
      <c r="J896" t="s">
        <v>22</v>
      </c>
    </row>
    <row r="897" spans="1:10" x14ac:dyDescent="0.3">
      <c r="A897" t="s">
        <v>941</v>
      </c>
      <c r="B897" t="s">
        <v>11</v>
      </c>
      <c r="C897">
        <v>51</v>
      </c>
      <c r="D897" t="s">
        <v>46</v>
      </c>
      <c r="E897" t="s">
        <v>13</v>
      </c>
      <c r="F897" t="s">
        <v>54</v>
      </c>
      <c r="G897">
        <v>14</v>
      </c>
      <c r="H897" s="1">
        <v>44854</v>
      </c>
      <c r="I897" t="s">
        <v>29</v>
      </c>
      <c r="J897" t="s">
        <v>16</v>
      </c>
    </row>
    <row r="898" spans="1:10" x14ac:dyDescent="0.3">
      <c r="A898" t="s">
        <v>942</v>
      </c>
      <c r="B898" t="s">
        <v>42</v>
      </c>
      <c r="C898">
        <v>37</v>
      </c>
      <c r="D898" t="s">
        <v>12</v>
      </c>
      <c r="E898" t="s">
        <v>19</v>
      </c>
      <c r="F898" t="s">
        <v>36</v>
      </c>
      <c r="G898">
        <v>42</v>
      </c>
      <c r="H898" s="1">
        <v>44023</v>
      </c>
      <c r="I898" t="s">
        <v>39</v>
      </c>
      <c r="J898" t="s">
        <v>27</v>
      </c>
    </row>
    <row r="899" spans="1:10" x14ac:dyDescent="0.3">
      <c r="A899" t="s">
        <v>943</v>
      </c>
      <c r="B899" t="s">
        <v>11</v>
      </c>
      <c r="C899">
        <v>26</v>
      </c>
      <c r="D899" t="s">
        <v>18</v>
      </c>
      <c r="E899" t="s">
        <v>105</v>
      </c>
      <c r="F899" t="s">
        <v>38</v>
      </c>
      <c r="G899">
        <v>48</v>
      </c>
      <c r="H899" s="1">
        <v>43823</v>
      </c>
      <c r="I899" t="s">
        <v>29</v>
      </c>
      <c r="J899" t="s">
        <v>16</v>
      </c>
    </row>
    <row r="900" spans="1:10" x14ac:dyDescent="0.3">
      <c r="A900" t="s">
        <v>944</v>
      </c>
      <c r="B900" t="s">
        <v>24</v>
      </c>
      <c r="C900">
        <v>43</v>
      </c>
      <c r="D900" t="s">
        <v>12</v>
      </c>
      <c r="E900" t="s">
        <v>19</v>
      </c>
      <c r="F900" t="s">
        <v>20</v>
      </c>
      <c r="G900">
        <v>37</v>
      </c>
      <c r="H900" s="1">
        <v>44176</v>
      </c>
      <c r="I900" t="s">
        <v>47</v>
      </c>
      <c r="J900" t="s">
        <v>22</v>
      </c>
    </row>
    <row r="901" spans="1:10" x14ac:dyDescent="0.3">
      <c r="A901" t="s">
        <v>945</v>
      </c>
      <c r="B901" t="s">
        <v>24</v>
      </c>
      <c r="C901">
        <v>19</v>
      </c>
      <c r="D901" t="s">
        <v>32</v>
      </c>
      <c r="E901" t="s">
        <v>19</v>
      </c>
      <c r="F901" t="s">
        <v>36</v>
      </c>
      <c r="G901">
        <v>1</v>
      </c>
      <c r="H901" s="1">
        <v>45238</v>
      </c>
      <c r="I901" t="s">
        <v>29</v>
      </c>
      <c r="J901" t="s">
        <v>27</v>
      </c>
    </row>
    <row r="902" spans="1:10" x14ac:dyDescent="0.3">
      <c r="A902" t="s">
        <v>946</v>
      </c>
      <c r="B902" t="s">
        <v>11</v>
      </c>
      <c r="C902">
        <v>45</v>
      </c>
      <c r="D902" t="s">
        <v>46</v>
      </c>
      <c r="E902" t="s">
        <v>13</v>
      </c>
      <c r="F902" t="s">
        <v>36</v>
      </c>
      <c r="G902">
        <v>21</v>
      </c>
      <c r="H902" s="1">
        <v>44648</v>
      </c>
      <c r="I902" t="s">
        <v>26</v>
      </c>
      <c r="J902" t="s">
        <v>27</v>
      </c>
    </row>
    <row r="903" spans="1:10" x14ac:dyDescent="0.3">
      <c r="A903" t="s">
        <v>947</v>
      </c>
      <c r="B903" t="s">
        <v>61</v>
      </c>
      <c r="C903">
        <v>31</v>
      </c>
      <c r="D903" t="s">
        <v>18</v>
      </c>
      <c r="E903" t="s">
        <v>13</v>
      </c>
      <c r="F903" t="s">
        <v>36</v>
      </c>
      <c r="G903">
        <v>31</v>
      </c>
      <c r="H903" s="1">
        <v>44336</v>
      </c>
      <c r="I903" t="s">
        <v>39</v>
      </c>
      <c r="J903" t="s">
        <v>16</v>
      </c>
    </row>
    <row r="904" spans="1:10" x14ac:dyDescent="0.3">
      <c r="A904" t="s">
        <v>948</v>
      </c>
      <c r="B904" t="s">
        <v>11</v>
      </c>
      <c r="C904">
        <v>18</v>
      </c>
      <c r="D904" t="s">
        <v>32</v>
      </c>
      <c r="E904" t="s">
        <v>13</v>
      </c>
      <c r="F904" t="s">
        <v>88</v>
      </c>
      <c r="G904">
        <v>13</v>
      </c>
      <c r="H904" s="1">
        <v>44886</v>
      </c>
      <c r="I904" t="s">
        <v>15</v>
      </c>
      <c r="J904" t="s">
        <v>16</v>
      </c>
    </row>
    <row r="905" spans="1:10" x14ac:dyDescent="0.3">
      <c r="A905" t="s">
        <v>949</v>
      </c>
      <c r="B905" t="s">
        <v>11</v>
      </c>
      <c r="C905">
        <v>33</v>
      </c>
      <c r="D905" t="s">
        <v>18</v>
      </c>
      <c r="E905" t="s">
        <v>13</v>
      </c>
      <c r="F905" t="s">
        <v>64</v>
      </c>
      <c r="G905">
        <v>59</v>
      </c>
      <c r="H905" s="1">
        <v>43518</v>
      </c>
      <c r="I905" t="s">
        <v>39</v>
      </c>
      <c r="J905" t="s">
        <v>27</v>
      </c>
    </row>
    <row r="906" spans="1:10" x14ac:dyDescent="0.3">
      <c r="A906" t="s">
        <v>950</v>
      </c>
      <c r="B906" t="s">
        <v>42</v>
      </c>
      <c r="C906">
        <v>35</v>
      </c>
      <c r="D906" t="s">
        <v>12</v>
      </c>
      <c r="E906" t="s">
        <v>13</v>
      </c>
      <c r="F906" t="s">
        <v>25</v>
      </c>
      <c r="G906">
        <v>22</v>
      </c>
      <c r="H906" s="1">
        <v>44632</v>
      </c>
      <c r="I906" t="s">
        <v>39</v>
      </c>
      <c r="J906" t="s">
        <v>27</v>
      </c>
    </row>
    <row r="907" spans="1:10" x14ac:dyDescent="0.3">
      <c r="A907" t="s">
        <v>951</v>
      </c>
      <c r="B907" t="s">
        <v>24</v>
      </c>
      <c r="C907">
        <v>40</v>
      </c>
      <c r="D907" t="s">
        <v>12</v>
      </c>
      <c r="E907" t="s">
        <v>105</v>
      </c>
      <c r="F907" t="s">
        <v>38</v>
      </c>
      <c r="G907">
        <v>2</v>
      </c>
      <c r="H907" s="1">
        <v>45226</v>
      </c>
      <c r="I907" t="s">
        <v>26</v>
      </c>
      <c r="J907" t="s">
        <v>27</v>
      </c>
    </row>
    <row r="908" spans="1:10" x14ac:dyDescent="0.3">
      <c r="A908" t="s">
        <v>952</v>
      </c>
      <c r="B908" t="s">
        <v>24</v>
      </c>
      <c r="C908">
        <v>26</v>
      </c>
      <c r="D908" t="s">
        <v>18</v>
      </c>
      <c r="E908" t="s">
        <v>13</v>
      </c>
      <c r="F908" t="s">
        <v>54</v>
      </c>
      <c r="G908">
        <v>22</v>
      </c>
      <c r="H908" s="1">
        <v>44603</v>
      </c>
      <c r="I908" t="s">
        <v>15</v>
      </c>
      <c r="J908" t="s">
        <v>22</v>
      </c>
    </row>
    <row r="909" spans="1:10" x14ac:dyDescent="0.3">
      <c r="A909" t="s">
        <v>953</v>
      </c>
      <c r="B909" t="s">
        <v>11</v>
      </c>
      <c r="C909">
        <v>31</v>
      </c>
      <c r="D909" t="s">
        <v>18</v>
      </c>
      <c r="E909" t="s">
        <v>13</v>
      </c>
      <c r="F909" t="s">
        <v>36</v>
      </c>
      <c r="G909">
        <v>32</v>
      </c>
      <c r="H909" s="1">
        <v>44315</v>
      </c>
      <c r="I909" t="s">
        <v>21</v>
      </c>
      <c r="J909" t="s">
        <v>16</v>
      </c>
    </row>
    <row r="910" spans="1:10" x14ac:dyDescent="0.3">
      <c r="A910" t="s">
        <v>954</v>
      </c>
      <c r="B910" t="s">
        <v>11</v>
      </c>
      <c r="C910">
        <v>33</v>
      </c>
      <c r="D910" t="s">
        <v>18</v>
      </c>
      <c r="E910" t="s">
        <v>19</v>
      </c>
      <c r="F910" t="s">
        <v>14</v>
      </c>
      <c r="G910">
        <v>22</v>
      </c>
      <c r="H910" s="1">
        <v>44607</v>
      </c>
      <c r="I910" t="s">
        <v>26</v>
      </c>
      <c r="J910" t="s">
        <v>65</v>
      </c>
    </row>
    <row r="911" spans="1:10" x14ac:dyDescent="0.3">
      <c r="A911" t="s">
        <v>955</v>
      </c>
      <c r="B911" t="s">
        <v>24</v>
      </c>
      <c r="C911">
        <v>18</v>
      </c>
      <c r="D911" t="s">
        <v>32</v>
      </c>
      <c r="E911" t="s">
        <v>19</v>
      </c>
      <c r="F911" t="s">
        <v>20</v>
      </c>
      <c r="G911">
        <v>54</v>
      </c>
      <c r="H911" s="1">
        <v>43643</v>
      </c>
      <c r="I911" t="s">
        <v>49</v>
      </c>
      <c r="J911" t="s">
        <v>27</v>
      </c>
    </row>
    <row r="912" spans="1:10" x14ac:dyDescent="0.3">
      <c r="A912" t="s">
        <v>956</v>
      </c>
      <c r="B912" t="s">
        <v>31</v>
      </c>
      <c r="C912">
        <v>31</v>
      </c>
      <c r="D912" t="s">
        <v>18</v>
      </c>
      <c r="E912" t="s">
        <v>19</v>
      </c>
      <c r="F912" t="s">
        <v>33</v>
      </c>
      <c r="G912">
        <v>11</v>
      </c>
      <c r="H912" s="1">
        <v>44941</v>
      </c>
      <c r="I912" t="s">
        <v>26</v>
      </c>
      <c r="J912" t="s">
        <v>22</v>
      </c>
    </row>
    <row r="913" spans="1:10" x14ac:dyDescent="0.3">
      <c r="A913" t="s">
        <v>957</v>
      </c>
      <c r="B913" t="s">
        <v>24</v>
      </c>
      <c r="C913">
        <v>30</v>
      </c>
      <c r="D913" t="s">
        <v>18</v>
      </c>
      <c r="E913" t="s">
        <v>13</v>
      </c>
      <c r="F913" t="s">
        <v>54</v>
      </c>
      <c r="G913">
        <v>22</v>
      </c>
      <c r="H913" s="1">
        <v>44617</v>
      </c>
      <c r="I913" t="s">
        <v>49</v>
      </c>
      <c r="J913" t="s">
        <v>27</v>
      </c>
    </row>
    <row r="914" spans="1:10" x14ac:dyDescent="0.3">
      <c r="A914" t="s">
        <v>958</v>
      </c>
      <c r="B914" t="s">
        <v>31</v>
      </c>
      <c r="C914">
        <v>38</v>
      </c>
      <c r="D914" t="s">
        <v>12</v>
      </c>
      <c r="E914" t="s">
        <v>19</v>
      </c>
      <c r="F914" t="s">
        <v>54</v>
      </c>
      <c r="G914">
        <v>34</v>
      </c>
      <c r="H914" s="1">
        <v>44245</v>
      </c>
      <c r="I914" t="s">
        <v>29</v>
      </c>
      <c r="J914" t="s">
        <v>65</v>
      </c>
    </row>
    <row r="915" spans="1:10" x14ac:dyDescent="0.3">
      <c r="A915" t="s">
        <v>959</v>
      </c>
      <c r="B915" t="s">
        <v>42</v>
      </c>
      <c r="C915">
        <v>34</v>
      </c>
      <c r="D915" t="s">
        <v>18</v>
      </c>
      <c r="E915" t="s">
        <v>13</v>
      </c>
      <c r="F915" t="s">
        <v>33</v>
      </c>
      <c r="G915">
        <v>5</v>
      </c>
      <c r="H915" s="1">
        <v>45135</v>
      </c>
      <c r="I915" t="s">
        <v>62</v>
      </c>
      <c r="J915" t="s">
        <v>27</v>
      </c>
    </row>
    <row r="916" spans="1:10" x14ac:dyDescent="0.3">
      <c r="A916" t="s">
        <v>960</v>
      </c>
      <c r="B916" t="s">
        <v>31</v>
      </c>
      <c r="C916">
        <v>36</v>
      </c>
      <c r="D916" t="s">
        <v>12</v>
      </c>
      <c r="E916" t="s">
        <v>19</v>
      </c>
      <c r="F916" t="s">
        <v>33</v>
      </c>
      <c r="G916">
        <v>2</v>
      </c>
      <c r="H916" s="1">
        <v>45213</v>
      </c>
      <c r="I916" t="s">
        <v>47</v>
      </c>
      <c r="J916" t="s">
        <v>27</v>
      </c>
    </row>
    <row r="917" spans="1:10" x14ac:dyDescent="0.3">
      <c r="A917" t="s">
        <v>961</v>
      </c>
      <c r="B917" t="s">
        <v>11</v>
      </c>
      <c r="C917">
        <v>20</v>
      </c>
      <c r="D917" t="s">
        <v>32</v>
      </c>
      <c r="E917" t="s">
        <v>13</v>
      </c>
      <c r="F917" t="s">
        <v>14</v>
      </c>
      <c r="G917">
        <v>34</v>
      </c>
      <c r="H917" s="1">
        <v>44254</v>
      </c>
      <c r="I917" t="s">
        <v>47</v>
      </c>
      <c r="J917" t="s">
        <v>22</v>
      </c>
    </row>
    <row r="918" spans="1:10" x14ac:dyDescent="0.3">
      <c r="A918" t="s">
        <v>962</v>
      </c>
      <c r="B918" t="s">
        <v>24</v>
      </c>
      <c r="C918">
        <v>18</v>
      </c>
      <c r="D918" t="s">
        <v>32</v>
      </c>
      <c r="E918" t="s">
        <v>19</v>
      </c>
      <c r="F918" t="s">
        <v>64</v>
      </c>
      <c r="G918">
        <v>15</v>
      </c>
      <c r="H918" s="1">
        <v>44827</v>
      </c>
      <c r="I918" t="s">
        <v>39</v>
      </c>
      <c r="J918" t="s">
        <v>27</v>
      </c>
    </row>
    <row r="919" spans="1:10" x14ac:dyDescent="0.3">
      <c r="A919" t="s">
        <v>963</v>
      </c>
      <c r="B919" t="s">
        <v>31</v>
      </c>
      <c r="C919">
        <v>47</v>
      </c>
      <c r="D919" t="s">
        <v>46</v>
      </c>
      <c r="E919" t="s">
        <v>19</v>
      </c>
      <c r="F919" t="s">
        <v>64</v>
      </c>
      <c r="G919">
        <v>9</v>
      </c>
      <c r="H919" s="1">
        <v>45018</v>
      </c>
      <c r="I919" t="s">
        <v>21</v>
      </c>
      <c r="J919" t="s">
        <v>27</v>
      </c>
    </row>
    <row r="920" spans="1:10" x14ac:dyDescent="0.3">
      <c r="A920" t="s">
        <v>964</v>
      </c>
      <c r="B920" t="s">
        <v>42</v>
      </c>
      <c r="C920">
        <v>41</v>
      </c>
      <c r="D920" t="s">
        <v>12</v>
      </c>
      <c r="E920" t="s">
        <v>13</v>
      </c>
      <c r="F920" t="s">
        <v>88</v>
      </c>
      <c r="G920">
        <v>51</v>
      </c>
      <c r="H920" s="1">
        <v>43756</v>
      </c>
      <c r="I920" t="s">
        <v>21</v>
      </c>
      <c r="J920" t="s">
        <v>22</v>
      </c>
    </row>
    <row r="921" spans="1:10" x14ac:dyDescent="0.3">
      <c r="A921" t="s">
        <v>965</v>
      </c>
      <c r="B921" t="s">
        <v>24</v>
      </c>
      <c r="C921">
        <v>18</v>
      </c>
      <c r="D921" t="s">
        <v>32</v>
      </c>
      <c r="E921" t="s">
        <v>13</v>
      </c>
      <c r="F921" t="s">
        <v>20</v>
      </c>
      <c r="G921">
        <v>57</v>
      </c>
      <c r="H921" s="1">
        <v>43564</v>
      </c>
      <c r="I921" t="s">
        <v>39</v>
      </c>
      <c r="J921" t="s">
        <v>22</v>
      </c>
    </row>
    <row r="922" spans="1:10" x14ac:dyDescent="0.3">
      <c r="A922" t="s">
        <v>966</v>
      </c>
      <c r="B922" t="s">
        <v>11</v>
      </c>
      <c r="C922">
        <v>27</v>
      </c>
      <c r="D922" t="s">
        <v>18</v>
      </c>
      <c r="E922" t="s">
        <v>19</v>
      </c>
      <c r="F922" t="s">
        <v>20</v>
      </c>
      <c r="G922">
        <v>6</v>
      </c>
      <c r="H922" s="1">
        <v>45103</v>
      </c>
      <c r="I922" t="s">
        <v>29</v>
      </c>
      <c r="J922" t="s">
        <v>22</v>
      </c>
    </row>
    <row r="923" spans="1:10" x14ac:dyDescent="0.3">
      <c r="A923" t="s">
        <v>967</v>
      </c>
      <c r="B923" t="s">
        <v>31</v>
      </c>
      <c r="C923">
        <v>34</v>
      </c>
      <c r="D923" t="s">
        <v>18</v>
      </c>
      <c r="E923" t="s">
        <v>13</v>
      </c>
      <c r="F923" t="s">
        <v>20</v>
      </c>
      <c r="G923">
        <v>29</v>
      </c>
      <c r="H923" s="1">
        <v>44396</v>
      </c>
      <c r="I923" t="s">
        <v>34</v>
      </c>
      <c r="J923" t="s">
        <v>16</v>
      </c>
    </row>
    <row r="924" spans="1:10" x14ac:dyDescent="0.3">
      <c r="A924" t="s">
        <v>968</v>
      </c>
      <c r="B924" t="s">
        <v>61</v>
      </c>
      <c r="C924">
        <v>24</v>
      </c>
      <c r="D924" t="s">
        <v>32</v>
      </c>
      <c r="E924" t="s">
        <v>13</v>
      </c>
      <c r="F924" t="s">
        <v>25</v>
      </c>
      <c r="G924">
        <v>33</v>
      </c>
      <c r="H924" s="1">
        <v>44287</v>
      </c>
      <c r="I924" t="s">
        <v>39</v>
      </c>
      <c r="J924" t="s">
        <v>16</v>
      </c>
    </row>
    <row r="925" spans="1:10" x14ac:dyDescent="0.3">
      <c r="A925" t="s">
        <v>969</v>
      </c>
      <c r="B925" t="s">
        <v>31</v>
      </c>
      <c r="C925">
        <v>33</v>
      </c>
      <c r="D925" t="s">
        <v>18</v>
      </c>
      <c r="E925" t="s">
        <v>13</v>
      </c>
      <c r="F925" t="s">
        <v>64</v>
      </c>
      <c r="G925">
        <v>3</v>
      </c>
      <c r="H925" s="1">
        <v>45201</v>
      </c>
      <c r="I925" t="s">
        <v>47</v>
      </c>
      <c r="J925" t="s">
        <v>27</v>
      </c>
    </row>
    <row r="926" spans="1:10" x14ac:dyDescent="0.3">
      <c r="A926" t="s">
        <v>970</v>
      </c>
      <c r="B926" t="s">
        <v>11</v>
      </c>
      <c r="C926">
        <v>18</v>
      </c>
      <c r="D926" t="s">
        <v>32</v>
      </c>
      <c r="E926" t="s">
        <v>13</v>
      </c>
      <c r="F926" t="s">
        <v>14</v>
      </c>
      <c r="G926">
        <v>2</v>
      </c>
      <c r="H926" s="1">
        <v>45213</v>
      </c>
      <c r="I926" t="s">
        <v>21</v>
      </c>
      <c r="J926" t="s">
        <v>65</v>
      </c>
    </row>
    <row r="927" spans="1:10" x14ac:dyDescent="0.3">
      <c r="A927" t="s">
        <v>971</v>
      </c>
      <c r="B927" t="s">
        <v>24</v>
      </c>
      <c r="C927">
        <v>34</v>
      </c>
      <c r="D927" t="s">
        <v>18</v>
      </c>
      <c r="E927" t="s">
        <v>13</v>
      </c>
      <c r="F927" t="s">
        <v>25</v>
      </c>
      <c r="G927">
        <v>20</v>
      </c>
      <c r="H927" s="1">
        <v>44676</v>
      </c>
      <c r="I927" t="s">
        <v>34</v>
      </c>
      <c r="J927" t="s">
        <v>16</v>
      </c>
    </row>
    <row r="928" spans="1:10" x14ac:dyDescent="0.3">
      <c r="A928" t="s">
        <v>972</v>
      </c>
      <c r="B928" t="s">
        <v>24</v>
      </c>
      <c r="C928">
        <v>33</v>
      </c>
      <c r="D928" t="s">
        <v>18</v>
      </c>
      <c r="E928" t="s">
        <v>19</v>
      </c>
      <c r="F928" t="s">
        <v>56</v>
      </c>
      <c r="G928">
        <v>32</v>
      </c>
      <c r="H928" s="1">
        <v>44305</v>
      </c>
      <c r="I928" t="s">
        <v>34</v>
      </c>
      <c r="J928" t="s">
        <v>22</v>
      </c>
    </row>
    <row r="929" spans="1:10" x14ac:dyDescent="0.3">
      <c r="A929" t="s">
        <v>973</v>
      </c>
      <c r="B929" t="s">
        <v>11</v>
      </c>
      <c r="C929">
        <v>29</v>
      </c>
      <c r="D929" t="s">
        <v>18</v>
      </c>
      <c r="E929" t="s">
        <v>13</v>
      </c>
      <c r="F929" t="s">
        <v>33</v>
      </c>
      <c r="G929">
        <v>59</v>
      </c>
      <c r="H929" s="1">
        <v>43498</v>
      </c>
      <c r="I929" t="s">
        <v>39</v>
      </c>
      <c r="J929" t="s">
        <v>22</v>
      </c>
    </row>
    <row r="930" spans="1:10" x14ac:dyDescent="0.3">
      <c r="A930" t="s">
        <v>974</v>
      </c>
      <c r="B930" t="s">
        <v>42</v>
      </c>
      <c r="C930">
        <v>32</v>
      </c>
      <c r="D930" t="s">
        <v>18</v>
      </c>
      <c r="E930" t="s">
        <v>19</v>
      </c>
      <c r="F930" t="s">
        <v>64</v>
      </c>
      <c r="G930">
        <v>6</v>
      </c>
      <c r="H930" s="1">
        <v>45095</v>
      </c>
      <c r="I930" t="s">
        <v>49</v>
      </c>
      <c r="J930" t="s">
        <v>22</v>
      </c>
    </row>
    <row r="931" spans="1:10" x14ac:dyDescent="0.3">
      <c r="A931" t="s">
        <v>975</v>
      </c>
      <c r="B931" t="s">
        <v>11</v>
      </c>
      <c r="C931">
        <v>51</v>
      </c>
      <c r="D931" t="s">
        <v>46</v>
      </c>
      <c r="E931" t="s">
        <v>13</v>
      </c>
      <c r="F931" t="s">
        <v>38</v>
      </c>
      <c r="G931">
        <v>23</v>
      </c>
      <c r="H931" s="1">
        <v>44596</v>
      </c>
      <c r="I931" t="s">
        <v>34</v>
      </c>
      <c r="J931" t="s">
        <v>27</v>
      </c>
    </row>
    <row r="932" spans="1:10" x14ac:dyDescent="0.3">
      <c r="A932" t="s">
        <v>976</v>
      </c>
      <c r="B932" t="s">
        <v>11</v>
      </c>
      <c r="C932">
        <v>30</v>
      </c>
      <c r="D932" t="s">
        <v>18</v>
      </c>
      <c r="E932" t="s">
        <v>19</v>
      </c>
      <c r="F932" t="s">
        <v>25</v>
      </c>
      <c r="G932">
        <v>55</v>
      </c>
      <c r="H932" s="1">
        <v>43637</v>
      </c>
      <c r="I932" t="s">
        <v>62</v>
      </c>
      <c r="J932" t="s">
        <v>22</v>
      </c>
    </row>
    <row r="933" spans="1:10" x14ac:dyDescent="0.3">
      <c r="A933" t="s">
        <v>977</v>
      </c>
      <c r="B933" t="s">
        <v>42</v>
      </c>
      <c r="C933">
        <v>28</v>
      </c>
      <c r="D933" t="s">
        <v>18</v>
      </c>
      <c r="E933" t="s">
        <v>13</v>
      </c>
      <c r="F933" t="s">
        <v>25</v>
      </c>
      <c r="G933">
        <v>21</v>
      </c>
      <c r="H933" s="1">
        <v>44657</v>
      </c>
      <c r="I933" t="s">
        <v>29</v>
      </c>
      <c r="J933" t="s">
        <v>16</v>
      </c>
    </row>
    <row r="934" spans="1:10" x14ac:dyDescent="0.3">
      <c r="A934" t="s">
        <v>978</v>
      </c>
      <c r="B934" t="s">
        <v>24</v>
      </c>
      <c r="C934">
        <v>30</v>
      </c>
      <c r="D934" t="s">
        <v>18</v>
      </c>
      <c r="E934" t="s">
        <v>13</v>
      </c>
      <c r="F934" t="s">
        <v>14</v>
      </c>
      <c r="G934">
        <v>30</v>
      </c>
      <c r="H934" s="1">
        <v>44385</v>
      </c>
      <c r="I934" t="s">
        <v>26</v>
      </c>
      <c r="J934" t="s">
        <v>27</v>
      </c>
    </row>
    <row r="935" spans="1:10" x14ac:dyDescent="0.3">
      <c r="A935" t="s">
        <v>979</v>
      </c>
      <c r="B935" t="s">
        <v>11</v>
      </c>
      <c r="C935">
        <v>35</v>
      </c>
      <c r="D935" t="s">
        <v>12</v>
      </c>
      <c r="E935" t="s">
        <v>13</v>
      </c>
      <c r="F935" t="s">
        <v>88</v>
      </c>
      <c r="G935">
        <v>43</v>
      </c>
      <c r="H935" s="1">
        <v>43992</v>
      </c>
      <c r="I935" t="s">
        <v>34</v>
      </c>
      <c r="J935" t="s">
        <v>65</v>
      </c>
    </row>
    <row r="936" spans="1:10" x14ac:dyDescent="0.3">
      <c r="A936" t="s">
        <v>980</v>
      </c>
      <c r="B936" t="s">
        <v>11</v>
      </c>
      <c r="C936">
        <v>28</v>
      </c>
      <c r="D936" t="s">
        <v>18</v>
      </c>
      <c r="E936" t="s">
        <v>19</v>
      </c>
      <c r="F936" t="s">
        <v>38</v>
      </c>
      <c r="G936">
        <v>32</v>
      </c>
      <c r="H936" s="1">
        <v>44331</v>
      </c>
      <c r="I936" t="s">
        <v>49</v>
      </c>
      <c r="J936" t="s">
        <v>22</v>
      </c>
    </row>
    <row r="937" spans="1:10" x14ac:dyDescent="0.3">
      <c r="A937" t="s">
        <v>981</v>
      </c>
      <c r="B937" t="s">
        <v>42</v>
      </c>
      <c r="C937">
        <v>18</v>
      </c>
      <c r="D937" t="s">
        <v>32</v>
      </c>
      <c r="E937" t="s">
        <v>19</v>
      </c>
      <c r="F937" t="s">
        <v>33</v>
      </c>
      <c r="G937">
        <v>31</v>
      </c>
      <c r="H937" s="1">
        <v>44352</v>
      </c>
      <c r="I937" t="s">
        <v>29</v>
      </c>
      <c r="J937" t="s">
        <v>27</v>
      </c>
    </row>
    <row r="938" spans="1:10" x14ac:dyDescent="0.3">
      <c r="A938" t="s">
        <v>982</v>
      </c>
      <c r="B938" t="s">
        <v>31</v>
      </c>
      <c r="C938">
        <v>31</v>
      </c>
      <c r="D938" t="s">
        <v>18</v>
      </c>
      <c r="E938" t="s">
        <v>13</v>
      </c>
      <c r="F938" t="s">
        <v>54</v>
      </c>
      <c r="G938">
        <v>3</v>
      </c>
      <c r="H938" s="1">
        <v>45181</v>
      </c>
      <c r="I938" t="s">
        <v>21</v>
      </c>
      <c r="J938" t="s">
        <v>27</v>
      </c>
    </row>
    <row r="939" spans="1:10" x14ac:dyDescent="0.3">
      <c r="A939" t="s">
        <v>983</v>
      </c>
      <c r="B939" t="s">
        <v>61</v>
      </c>
      <c r="C939">
        <v>30</v>
      </c>
      <c r="D939" t="s">
        <v>18</v>
      </c>
      <c r="E939" t="s">
        <v>19</v>
      </c>
      <c r="F939" t="s">
        <v>25</v>
      </c>
      <c r="G939">
        <v>21</v>
      </c>
      <c r="H939" s="1">
        <v>44643</v>
      </c>
      <c r="I939" t="s">
        <v>39</v>
      </c>
      <c r="J939" t="s">
        <v>16</v>
      </c>
    </row>
    <row r="940" spans="1:10" x14ac:dyDescent="0.3">
      <c r="A940" t="s">
        <v>984</v>
      </c>
      <c r="B940" t="s">
        <v>61</v>
      </c>
      <c r="C940">
        <v>24</v>
      </c>
      <c r="D940" t="s">
        <v>32</v>
      </c>
      <c r="E940" t="s">
        <v>19</v>
      </c>
      <c r="F940" t="s">
        <v>36</v>
      </c>
      <c r="G940">
        <v>34</v>
      </c>
      <c r="H940" s="1">
        <v>44246</v>
      </c>
      <c r="I940" t="s">
        <v>34</v>
      </c>
      <c r="J940" t="s">
        <v>22</v>
      </c>
    </row>
    <row r="941" spans="1:10" x14ac:dyDescent="0.3">
      <c r="A941" t="s">
        <v>985</v>
      </c>
      <c r="B941" t="s">
        <v>24</v>
      </c>
      <c r="C941">
        <v>45</v>
      </c>
      <c r="D941" t="s">
        <v>46</v>
      </c>
      <c r="E941" t="s">
        <v>13</v>
      </c>
      <c r="F941" t="s">
        <v>14</v>
      </c>
      <c r="G941">
        <v>46</v>
      </c>
      <c r="H941" s="1">
        <v>43901</v>
      </c>
      <c r="I941" t="s">
        <v>34</v>
      </c>
      <c r="J941" t="s">
        <v>27</v>
      </c>
    </row>
    <row r="942" spans="1:10" x14ac:dyDescent="0.3">
      <c r="A942" t="s">
        <v>986</v>
      </c>
      <c r="B942" t="s">
        <v>61</v>
      </c>
      <c r="C942">
        <v>36</v>
      </c>
      <c r="D942" t="s">
        <v>12</v>
      </c>
      <c r="E942" t="s">
        <v>13</v>
      </c>
      <c r="F942" t="s">
        <v>14</v>
      </c>
      <c r="G942">
        <v>33</v>
      </c>
      <c r="H942" s="1">
        <v>44284</v>
      </c>
      <c r="I942" t="s">
        <v>29</v>
      </c>
      <c r="J942" t="s">
        <v>65</v>
      </c>
    </row>
    <row r="943" spans="1:10" x14ac:dyDescent="0.3">
      <c r="A943" t="s">
        <v>987</v>
      </c>
      <c r="B943" t="s">
        <v>42</v>
      </c>
      <c r="C943">
        <v>35</v>
      </c>
      <c r="D943" t="s">
        <v>12</v>
      </c>
      <c r="E943" t="s">
        <v>13</v>
      </c>
      <c r="F943" t="s">
        <v>14</v>
      </c>
      <c r="G943">
        <v>40</v>
      </c>
      <c r="H943" s="1">
        <v>44063</v>
      </c>
      <c r="I943" t="s">
        <v>62</v>
      </c>
      <c r="J943" t="s">
        <v>16</v>
      </c>
    </row>
    <row r="944" spans="1:10" x14ac:dyDescent="0.3">
      <c r="A944" t="s">
        <v>988</v>
      </c>
      <c r="B944" t="s">
        <v>31</v>
      </c>
      <c r="C944">
        <v>37</v>
      </c>
      <c r="D944" t="s">
        <v>12</v>
      </c>
      <c r="E944" t="s">
        <v>19</v>
      </c>
      <c r="F944" t="s">
        <v>33</v>
      </c>
      <c r="G944">
        <v>59</v>
      </c>
      <c r="H944" s="1">
        <v>43504</v>
      </c>
      <c r="I944" t="s">
        <v>29</v>
      </c>
      <c r="J944" t="s">
        <v>16</v>
      </c>
    </row>
    <row r="945" spans="1:10" x14ac:dyDescent="0.3">
      <c r="A945" t="s">
        <v>989</v>
      </c>
      <c r="B945" t="s">
        <v>42</v>
      </c>
      <c r="C945">
        <v>25</v>
      </c>
      <c r="D945" t="s">
        <v>18</v>
      </c>
      <c r="E945" t="s">
        <v>13</v>
      </c>
      <c r="F945" t="s">
        <v>20</v>
      </c>
      <c r="G945">
        <v>57</v>
      </c>
      <c r="H945" s="1">
        <v>43567</v>
      </c>
      <c r="I945" t="s">
        <v>21</v>
      </c>
      <c r="J945" t="s">
        <v>27</v>
      </c>
    </row>
    <row r="946" spans="1:10" x14ac:dyDescent="0.3">
      <c r="A946" t="s">
        <v>990</v>
      </c>
      <c r="B946" t="s">
        <v>11</v>
      </c>
      <c r="C946">
        <v>20</v>
      </c>
      <c r="D946" t="s">
        <v>32</v>
      </c>
      <c r="E946" t="s">
        <v>13</v>
      </c>
      <c r="F946" t="s">
        <v>88</v>
      </c>
      <c r="G946">
        <v>54</v>
      </c>
      <c r="H946" s="1">
        <v>43644</v>
      </c>
      <c r="I946" t="s">
        <v>62</v>
      </c>
      <c r="J946" t="s">
        <v>22</v>
      </c>
    </row>
    <row r="947" spans="1:10" x14ac:dyDescent="0.3">
      <c r="A947" t="s">
        <v>991</v>
      </c>
      <c r="B947" t="s">
        <v>31</v>
      </c>
      <c r="C947">
        <v>18</v>
      </c>
      <c r="D947" t="s">
        <v>32</v>
      </c>
      <c r="E947" t="s">
        <v>19</v>
      </c>
      <c r="F947" t="s">
        <v>54</v>
      </c>
      <c r="G947">
        <v>53</v>
      </c>
      <c r="H947" s="1">
        <v>43680</v>
      </c>
      <c r="I947" t="s">
        <v>47</v>
      </c>
      <c r="J947" t="s">
        <v>27</v>
      </c>
    </row>
    <row r="948" spans="1:10" x14ac:dyDescent="0.3">
      <c r="A948" t="s">
        <v>992</v>
      </c>
      <c r="B948" t="s">
        <v>24</v>
      </c>
      <c r="C948">
        <v>18</v>
      </c>
      <c r="D948" t="s">
        <v>32</v>
      </c>
      <c r="E948" t="s">
        <v>13</v>
      </c>
      <c r="F948" t="s">
        <v>88</v>
      </c>
      <c r="G948">
        <v>48</v>
      </c>
      <c r="H948" s="1">
        <v>43839</v>
      </c>
      <c r="I948" t="s">
        <v>62</v>
      </c>
      <c r="J948" t="s">
        <v>65</v>
      </c>
    </row>
    <row r="949" spans="1:10" x14ac:dyDescent="0.3">
      <c r="A949" t="s">
        <v>993</v>
      </c>
      <c r="B949" t="s">
        <v>31</v>
      </c>
      <c r="C949">
        <v>41</v>
      </c>
      <c r="D949" t="s">
        <v>12</v>
      </c>
      <c r="E949" t="s">
        <v>19</v>
      </c>
      <c r="F949" t="s">
        <v>14</v>
      </c>
      <c r="G949">
        <v>60</v>
      </c>
      <c r="H949" s="1">
        <v>43471</v>
      </c>
      <c r="I949" t="s">
        <v>21</v>
      </c>
      <c r="J949" t="s">
        <v>27</v>
      </c>
    </row>
    <row r="950" spans="1:10" x14ac:dyDescent="0.3">
      <c r="A950" t="s">
        <v>994</v>
      </c>
      <c r="B950" t="s">
        <v>31</v>
      </c>
      <c r="C950">
        <v>45</v>
      </c>
      <c r="D950" t="s">
        <v>46</v>
      </c>
      <c r="E950" t="s">
        <v>19</v>
      </c>
      <c r="F950" t="s">
        <v>20</v>
      </c>
      <c r="G950">
        <v>53</v>
      </c>
      <c r="H950" s="1">
        <v>43689</v>
      </c>
      <c r="I950" t="s">
        <v>39</v>
      </c>
      <c r="J950" t="s">
        <v>22</v>
      </c>
    </row>
    <row r="951" spans="1:10" x14ac:dyDescent="0.3">
      <c r="A951" t="s">
        <v>995</v>
      </c>
      <c r="B951" t="s">
        <v>11</v>
      </c>
      <c r="C951">
        <v>39</v>
      </c>
      <c r="D951" t="s">
        <v>12</v>
      </c>
      <c r="E951" t="s">
        <v>19</v>
      </c>
      <c r="F951" t="s">
        <v>20</v>
      </c>
      <c r="G951">
        <v>15</v>
      </c>
      <c r="H951" s="1">
        <v>44841</v>
      </c>
      <c r="I951" t="s">
        <v>34</v>
      </c>
      <c r="J951" t="s">
        <v>16</v>
      </c>
    </row>
    <row r="952" spans="1:10" x14ac:dyDescent="0.3">
      <c r="A952" t="s">
        <v>996</v>
      </c>
      <c r="B952" t="s">
        <v>31</v>
      </c>
      <c r="C952">
        <v>28</v>
      </c>
      <c r="D952" t="s">
        <v>18</v>
      </c>
      <c r="E952" t="s">
        <v>13</v>
      </c>
      <c r="F952" t="s">
        <v>64</v>
      </c>
      <c r="G952">
        <v>56</v>
      </c>
      <c r="H952" s="1">
        <v>43597</v>
      </c>
      <c r="I952" t="s">
        <v>62</v>
      </c>
      <c r="J952" t="s">
        <v>65</v>
      </c>
    </row>
    <row r="953" spans="1:10" x14ac:dyDescent="0.3">
      <c r="A953" t="s">
        <v>997</v>
      </c>
      <c r="B953" t="s">
        <v>31</v>
      </c>
      <c r="C953">
        <v>24</v>
      </c>
      <c r="D953" t="s">
        <v>32</v>
      </c>
      <c r="E953" t="s">
        <v>13</v>
      </c>
      <c r="F953" t="s">
        <v>64</v>
      </c>
      <c r="G953">
        <v>43</v>
      </c>
      <c r="H953" s="1">
        <v>43976</v>
      </c>
      <c r="I953" t="s">
        <v>26</v>
      </c>
      <c r="J953" t="s">
        <v>27</v>
      </c>
    </row>
    <row r="954" spans="1:10" x14ac:dyDescent="0.3">
      <c r="A954" t="s">
        <v>998</v>
      </c>
      <c r="B954" t="s">
        <v>31</v>
      </c>
      <c r="C954">
        <v>36</v>
      </c>
      <c r="D954" t="s">
        <v>12</v>
      </c>
      <c r="E954" t="s">
        <v>13</v>
      </c>
      <c r="F954" t="s">
        <v>64</v>
      </c>
      <c r="G954">
        <v>14</v>
      </c>
      <c r="H954" s="1">
        <v>44843</v>
      </c>
      <c r="I954" t="s">
        <v>47</v>
      </c>
      <c r="J954" t="s">
        <v>22</v>
      </c>
    </row>
    <row r="955" spans="1:10" x14ac:dyDescent="0.3">
      <c r="A955" t="s">
        <v>999</v>
      </c>
      <c r="B955" t="s">
        <v>42</v>
      </c>
      <c r="C955">
        <v>37</v>
      </c>
      <c r="D955" t="s">
        <v>12</v>
      </c>
      <c r="E955" t="s">
        <v>19</v>
      </c>
      <c r="F955" t="s">
        <v>56</v>
      </c>
      <c r="G955">
        <v>58</v>
      </c>
      <c r="H955" s="1">
        <v>43541</v>
      </c>
      <c r="I955" t="s">
        <v>15</v>
      </c>
      <c r="J955" t="s">
        <v>16</v>
      </c>
    </row>
    <row r="956" spans="1:10" x14ac:dyDescent="0.3">
      <c r="A956" t="s">
        <v>1000</v>
      </c>
      <c r="B956" t="s">
        <v>11</v>
      </c>
      <c r="C956">
        <v>33</v>
      </c>
      <c r="D956" t="s">
        <v>18</v>
      </c>
      <c r="E956" t="s">
        <v>19</v>
      </c>
      <c r="F956" t="s">
        <v>14</v>
      </c>
      <c r="G956">
        <v>56</v>
      </c>
      <c r="H956" s="1">
        <v>43605</v>
      </c>
      <c r="I956" t="s">
        <v>26</v>
      </c>
      <c r="J956" t="s">
        <v>16</v>
      </c>
    </row>
    <row r="957" spans="1:10" x14ac:dyDescent="0.3">
      <c r="A957" t="s">
        <v>1001</v>
      </c>
      <c r="B957" t="s">
        <v>24</v>
      </c>
      <c r="C957">
        <v>18</v>
      </c>
      <c r="D957" t="s">
        <v>32</v>
      </c>
      <c r="E957" t="s">
        <v>19</v>
      </c>
      <c r="F957" t="s">
        <v>64</v>
      </c>
      <c r="G957">
        <v>31</v>
      </c>
      <c r="H957" s="1">
        <v>44349</v>
      </c>
      <c r="I957" t="s">
        <v>15</v>
      </c>
      <c r="J957" t="s">
        <v>16</v>
      </c>
    </row>
    <row r="958" spans="1:10" x14ac:dyDescent="0.3">
      <c r="A958" t="s">
        <v>1002</v>
      </c>
      <c r="B958" t="s">
        <v>31</v>
      </c>
      <c r="C958">
        <v>28</v>
      </c>
      <c r="D958" t="s">
        <v>18</v>
      </c>
      <c r="E958" t="s">
        <v>19</v>
      </c>
      <c r="F958" t="s">
        <v>64</v>
      </c>
      <c r="G958">
        <v>54</v>
      </c>
      <c r="H958" s="1">
        <v>43645</v>
      </c>
      <c r="I958" t="s">
        <v>62</v>
      </c>
      <c r="J958" t="s">
        <v>27</v>
      </c>
    </row>
    <row r="959" spans="1:10" x14ac:dyDescent="0.3">
      <c r="A959" t="s">
        <v>1003</v>
      </c>
      <c r="B959" t="s">
        <v>24</v>
      </c>
      <c r="C959">
        <v>18</v>
      </c>
      <c r="D959" t="s">
        <v>32</v>
      </c>
      <c r="E959" t="s">
        <v>19</v>
      </c>
      <c r="F959" t="s">
        <v>20</v>
      </c>
      <c r="G959">
        <v>15</v>
      </c>
      <c r="H959" s="1">
        <v>44816</v>
      </c>
      <c r="I959" t="s">
        <v>34</v>
      </c>
      <c r="J959" t="s">
        <v>27</v>
      </c>
    </row>
    <row r="960" spans="1:10" x14ac:dyDescent="0.3">
      <c r="A960" t="s">
        <v>1004</v>
      </c>
      <c r="B960" t="s">
        <v>31</v>
      </c>
      <c r="C960">
        <v>29</v>
      </c>
      <c r="D960" t="s">
        <v>18</v>
      </c>
      <c r="E960" t="s">
        <v>19</v>
      </c>
      <c r="F960" t="s">
        <v>25</v>
      </c>
      <c r="G960">
        <v>27</v>
      </c>
      <c r="H960" s="1">
        <v>44466</v>
      </c>
      <c r="I960" t="s">
        <v>34</v>
      </c>
      <c r="J960" t="s">
        <v>27</v>
      </c>
    </row>
    <row r="961" spans="1:10" x14ac:dyDescent="0.3">
      <c r="A961" t="s">
        <v>1005</v>
      </c>
      <c r="B961" t="s">
        <v>24</v>
      </c>
      <c r="C961">
        <v>30</v>
      </c>
      <c r="D961" t="s">
        <v>18</v>
      </c>
      <c r="E961" t="s">
        <v>13</v>
      </c>
      <c r="F961" t="s">
        <v>88</v>
      </c>
      <c r="G961">
        <v>45</v>
      </c>
      <c r="H961" s="1">
        <v>43942</v>
      </c>
      <c r="I961" t="s">
        <v>62</v>
      </c>
      <c r="J961" t="s">
        <v>27</v>
      </c>
    </row>
    <row r="962" spans="1:10" x14ac:dyDescent="0.3">
      <c r="A962" t="s">
        <v>1006</v>
      </c>
      <c r="B962" t="s">
        <v>11</v>
      </c>
      <c r="C962">
        <v>53</v>
      </c>
      <c r="D962" t="s">
        <v>46</v>
      </c>
      <c r="E962" t="s">
        <v>13</v>
      </c>
      <c r="F962" t="s">
        <v>33</v>
      </c>
      <c r="G962">
        <v>18</v>
      </c>
      <c r="H962" s="1">
        <v>44740</v>
      </c>
      <c r="I962" t="s">
        <v>26</v>
      </c>
      <c r="J962" t="s">
        <v>16</v>
      </c>
    </row>
    <row r="963" spans="1:10" x14ac:dyDescent="0.3">
      <c r="A963" t="s">
        <v>1007</v>
      </c>
      <c r="B963" t="s">
        <v>11</v>
      </c>
      <c r="C963">
        <v>22</v>
      </c>
      <c r="D963" t="s">
        <v>32</v>
      </c>
      <c r="E963" t="s">
        <v>19</v>
      </c>
      <c r="F963" t="s">
        <v>54</v>
      </c>
      <c r="G963">
        <v>20</v>
      </c>
      <c r="H963" s="1">
        <v>44672</v>
      </c>
      <c r="I963" t="s">
        <v>62</v>
      </c>
      <c r="J963" t="s">
        <v>27</v>
      </c>
    </row>
    <row r="964" spans="1:10" x14ac:dyDescent="0.3">
      <c r="A964" t="s">
        <v>1008</v>
      </c>
      <c r="B964" t="s">
        <v>31</v>
      </c>
      <c r="C964">
        <v>21</v>
      </c>
      <c r="D964" t="s">
        <v>32</v>
      </c>
      <c r="E964" t="s">
        <v>13</v>
      </c>
      <c r="F964" t="s">
        <v>36</v>
      </c>
      <c r="G964">
        <v>38</v>
      </c>
      <c r="H964" s="1">
        <v>44129</v>
      </c>
      <c r="I964" t="s">
        <v>34</v>
      </c>
      <c r="J964" t="s">
        <v>22</v>
      </c>
    </row>
    <row r="965" spans="1:10" x14ac:dyDescent="0.3">
      <c r="A965" t="s">
        <v>1009</v>
      </c>
      <c r="B965" t="s">
        <v>31</v>
      </c>
      <c r="C965">
        <v>34</v>
      </c>
      <c r="D965" t="s">
        <v>18</v>
      </c>
      <c r="E965" t="s">
        <v>13</v>
      </c>
      <c r="F965" t="s">
        <v>25</v>
      </c>
      <c r="G965">
        <v>33</v>
      </c>
      <c r="H965" s="1">
        <v>44302</v>
      </c>
      <c r="I965" t="s">
        <v>39</v>
      </c>
      <c r="J965" t="s">
        <v>22</v>
      </c>
    </row>
    <row r="966" spans="1:10" x14ac:dyDescent="0.3">
      <c r="A966" t="s">
        <v>1010</v>
      </c>
      <c r="B966" t="s">
        <v>42</v>
      </c>
      <c r="C966">
        <v>25</v>
      </c>
      <c r="D966" t="s">
        <v>18</v>
      </c>
      <c r="E966" t="s">
        <v>13</v>
      </c>
      <c r="F966" t="s">
        <v>64</v>
      </c>
      <c r="G966">
        <v>10</v>
      </c>
      <c r="H966" s="1">
        <v>44984</v>
      </c>
      <c r="I966" t="s">
        <v>47</v>
      </c>
      <c r="J966" t="s">
        <v>16</v>
      </c>
    </row>
    <row r="967" spans="1:10" x14ac:dyDescent="0.3">
      <c r="A967" t="s">
        <v>1011</v>
      </c>
      <c r="B967" t="s">
        <v>42</v>
      </c>
      <c r="C967">
        <v>24</v>
      </c>
      <c r="D967" t="s">
        <v>32</v>
      </c>
      <c r="E967" t="s">
        <v>19</v>
      </c>
      <c r="F967" t="s">
        <v>64</v>
      </c>
      <c r="G967">
        <v>52</v>
      </c>
      <c r="H967" s="1">
        <v>43723</v>
      </c>
      <c r="I967" t="s">
        <v>21</v>
      </c>
      <c r="J967" t="s">
        <v>27</v>
      </c>
    </row>
    <row r="968" spans="1:10" x14ac:dyDescent="0.3">
      <c r="A968" t="s">
        <v>1012</v>
      </c>
      <c r="B968" t="s">
        <v>61</v>
      </c>
      <c r="C968">
        <v>39</v>
      </c>
      <c r="D968" t="s">
        <v>12</v>
      </c>
      <c r="E968" t="s">
        <v>13</v>
      </c>
      <c r="F968" t="s">
        <v>14</v>
      </c>
      <c r="G968">
        <v>26</v>
      </c>
      <c r="H968" s="1">
        <v>44497</v>
      </c>
      <c r="I968" t="s">
        <v>47</v>
      </c>
      <c r="J968" t="s">
        <v>27</v>
      </c>
    </row>
    <row r="969" spans="1:10" x14ac:dyDescent="0.3">
      <c r="A969" t="s">
        <v>1013</v>
      </c>
      <c r="B969" t="s">
        <v>24</v>
      </c>
      <c r="C969">
        <v>28</v>
      </c>
      <c r="D969" t="s">
        <v>18</v>
      </c>
      <c r="E969" t="s">
        <v>13</v>
      </c>
      <c r="F969" t="s">
        <v>25</v>
      </c>
      <c r="G969">
        <v>16</v>
      </c>
      <c r="H969" s="1">
        <v>44797</v>
      </c>
      <c r="I969" t="s">
        <v>26</v>
      </c>
      <c r="J969" t="s">
        <v>16</v>
      </c>
    </row>
    <row r="970" spans="1:10" x14ac:dyDescent="0.3">
      <c r="A970" t="s">
        <v>1014</v>
      </c>
      <c r="B970" t="s">
        <v>31</v>
      </c>
      <c r="C970">
        <v>35</v>
      </c>
      <c r="D970" t="s">
        <v>12</v>
      </c>
      <c r="E970" t="s">
        <v>13</v>
      </c>
      <c r="F970" t="s">
        <v>56</v>
      </c>
      <c r="G970">
        <v>32</v>
      </c>
      <c r="H970" s="1">
        <v>44310</v>
      </c>
      <c r="I970" t="s">
        <v>49</v>
      </c>
      <c r="J970" t="s">
        <v>22</v>
      </c>
    </row>
    <row r="971" spans="1:10" x14ac:dyDescent="0.3">
      <c r="A971" t="s">
        <v>1015</v>
      </c>
      <c r="B971" t="s">
        <v>24</v>
      </c>
      <c r="C971">
        <v>22</v>
      </c>
      <c r="D971" t="s">
        <v>32</v>
      </c>
      <c r="E971" t="s">
        <v>13</v>
      </c>
      <c r="F971" t="s">
        <v>33</v>
      </c>
      <c r="G971">
        <v>12</v>
      </c>
      <c r="H971" s="1">
        <v>44923</v>
      </c>
      <c r="I971" t="s">
        <v>47</v>
      </c>
      <c r="J971" t="s">
        <v>65</v>
      </c>
    </row>
    <row r="972" spans="1:10" x14ac:dyDescent="0.3">
      <c r="A972" t="s">
        <v>1016</v>
      </c>
      <c r="B972" t="s">
        <v>11</v>
      </c>
      <c r="C972">
        <v>51</v>
      </c>
      <c r="D972" t="s">
        <v>46</v>
      </c>
      <c r="E972" t="s">
        <v>13</v>
      </c>
      <c r="F972" t="s">
        <v>56</v>
      </c>
      <c r="G972">
        <v>20</v>
      </c>
      <c r="H972" s="1">
        <v>44679</v>
      </c>
      <c r="I972" t="s">
        <v>34</v>
      </c>
      <c r="J972" t="s">
        <v>16</v>
      </c>
    </row>
    <row r="973" spans="1:10" x14ac:dyDescent="0.3">
      <c r="A973" t="s">
        <v>1017</v>
      </c>
      <c r="B973" t="s">
        <v>24</v>
      </c>
      <c r="C973">
        <v>50</v>
      </c>
      <c r="D973" t="s">
        <v>46</v>
      </c>
      <c r="E973" t="s">
        <v>105</v>
      </c>
      <c r="F973" t="s">
        <v>54</v>
      </c>
      <c r="G973">
        <v>57</v>
      </c>
      <c r="H973" s="1">
        <v>43573</v>
      </c>
      <c r="I973" t="s">
        <v>49</v>
      </c>
      <c r="J973" t="s">
        <v>27</v>
      </c>
    </row>
    <row r="974" spans="1:10" x14ac:dyDescent="0.3">
      <c r="A974" t="s">
        <v>1018</v>
      </c>
      <c r="B974" t="s">
        <v>31</v>
      </c>
      <c r="C974">
        <v>31</v>
      </c>
      <c r="D974" t="s">
        <v>18</v>
      </c>
      <c r="E974" t="s">
        <v>13</v>
      </c>
      <c r="F974" t="s">
        <v>54</v>
      </c>
      <c r="G974">
        <v>14</v>
      </c>
      <c r="H974" s="1">
        <v>44864</v>
      </c>
      <c r="I974" t="s">
        <v>49</v>
      </c>
      <c r="J974" t="s">
        <v>27</v>
      </c>
    </row>
    <row r="975" spans="1:10" x14ac:dyDescent="0.3">
      <c r="A975" t="s">
        <v>1019</v>
      </c>
      <c r="B975" t="s">
        <v>31</v>
      </c>
      <c r="C975">
        <v>32</v>
      </c>
      <c r="D975" t="s">
        <v>18</v>
      </c>
      <c r="E975" t="s">
        <v>13</v>
      </c>
      <c r="F975" t="s">
        <v>38</v>
      </c>
      <c r="G975">
        <v>15</v>
      </c>
      <c r="H975" s="1">
        <v>44814</v>
      </c>
      <c r="I975" t="s">
        <v>26</v>
      </c>
      <c r="J975" t="s">
        <v>65</v>
      </c>
    </row>
    <row r="976" spans="1:10" x14ac:dyDescent="0.3">
      <c r="A976" t="s">
        <v>1020</v>
      </c>
      <c r="B976" t="s">
        <v>61</v>
      </c>
      <c r="C976">
        <v>29</v>
      </c>
      <c r="D976" t="s">
        <v>18</v>
      </c>
      <c r="E976" t="s">
        <v>13</v>
      </c>
      <c r="F976" t="s">
        <v>33</v>
      </c>
      <c r="G976">
        <v>38</v>
      </c>
      <c r="H976" s="1">
        <v>44140</v>
      </c>
      <c r="I976" t="s">
        <v>34</v>
      </c>
      <c r="J976" t="s">
        <v>27</v>
      </c>
    </row>
    <row r="977" spans="1:10" x14ac:dyDescent="0.3">
      <c r="A977" t="s">
        <v>1021</v>
      </c>
      <c r="B977" t="s">
        <v>42</v>
      </c>
      <c r="C977">
        <v>35</v>
      </c>
      <c r="D977" t="s">
        <v>12</v>
      </c>
      <c r="E977" t="s">
        <v>13</v>
      </c>
      <c r="F977" t="s">
        <v>14</v>
      </c>
      <c r="G977">
        <v>23</v>
      </c>
      <c r="H977" s="1">
        <v>44590</v>
      </c>
      <c r="I977" t="s">
        <v>62</v>
      </c>
      <c r="J977" t="s">
        <v>27</v>
      </c>
    </row>
    <row r="978" spans="1:10" x14ac:dyDescent="0.3">
      <c r="A978" t="s">
        <v>1022</v>
      </c>
      <c r="B978" t="s">
        <v>61</v>
      </c>
      <c r="C978">
        <v>29</v>
      </c>
      <c r="D978" t="s">
        <v>18</v>
      </c>
      <c r="E978" t="s">
        <v>13</v>
      </c>
      <c r="F978" t="s">
        <v>54</v>
      </c>
      <c r="G978">
        <v>7</v>
      </c>
      <c r="H978" s="1">
        <v>45061</v>
      </c>
      <c r="I978" t="s">
        <v>62</v>
      </c>
      <c r="J978" t="s">
        <v>27</v>
      </c>
    </row>
    <row r="979" spans="1:10" x14ac:dyDescent="0.3">
      <c r="A979" t="s">
        <v>1023</v>
      </c>
      <c r="B979" t="s">
        <v>24</v>
      </c>
      <c r="C979">
        <v>42</v>
      </c>
      <c r="D979" t="s">
        <v>12</v>
      </c>
      <c r="E979" t="s">
        <v>19</v>
      </c>
      <c r="F979" t="s">
        <v>64</v>
      </c>
      <c r="G979">
        <v>28</v>
      </c>
      <c r="H979" s="1">
        <v>44431</v>
      </c>
      <c r="I979" t="s">
        <v>49</v>
      </c>
      <c r="J979" t="s">
        <v>16</v>
      </c>
    </row>
    <row r="980" spans="1:10" x14ac:dyDescent="0.3">
      <c r="A980" t="s">
        <v>1024</v>
      </c>
      <c r="B980" t="s">
        <v>24</v>
      </c>
      <c r="C980">
        <v>18</v>
      </c>
      <c r="D980" t="s">
        <v>32</v>
      </c>
      <c r="E980" t="s">
        <v>13</v>
      </c>
      <c r="F980" t="s">
        <v>20</v>
      </c>
      <c r="G980">
        <v>42</v>
      </c>
      <c r="H980" s="1">
        <v>44012</v>
      </c>
      <c r="I980" t="s">
        <v>39</v>
      </c>
      <c r="J980" t="s">
        <v>27</v>
      </c>
    </row>
    <row r="981" spans="1:10" x14ac:dyDescent="0.3">
      <c r="A981" t="s">
        <v>1025</v>
      </c>
      <c r="B981" t="s">
        <v>61</v>
      </c>
      <c r="C981">
        <v>18</v>
      </c>
      <c r="D981" t="s">
        <v>32</v>
      </c>
      <c r="E981" t="s">
        <v>19</v>
      </c>
      <c r="F981" t="s">
        <v>54</v>
      </c>
      <c r="G981">
        <v>4</v>
      </c>
      <c r="H981" s="1">
        <v>45157</v>
      </c>
      <c r="I981" t="s">
        <v>47</v>
      </c>
      <c r="J981" t="s">
        <v>27</v>
      </c>
    </row>
    <row r="982" spans="1:10" x14ac:dyDescent="0.3">
      <c r="A982" t="s">
        <v>1026</v>
      </c>
      <c r="B982" t="s">
        <v>24</v>
      </c>
      <c r="C982">
        <v>35</v>
      </c>
      <c r="D982" t="s">
        <v>12</v>
      </c>
      <c r="E982" t="s">
        <v>13</v>
      </c>
      <c r="F982" t="s">
        <v>88</v>
      </c>
      <c r="G982">
        <v>6</v>
      </c>
      <c r="H982" s="1">
        <v>45094</v>
      </c>
      <c r="I982" t="s">
        <v>47</v>
      </c>
      <c r="J982" t="s">
        <v>27</v>
      </c>
    </row>
    <row r="983" spans="1:10" x14ac:dyDescent="0.3">
      <c r="A983" t="s">
        <v>1027</v>
      </c>
      <c r="B983" t="s">
        <v>31</v>
      </c>
      <c r="C983">
        <v>39</v>
      </c>
      <c r="D983" t="s">
        <v>12</v>
      </c>
      <c r="E983" t="s">
        <v>19</v>
      </c>
      <c r="F983" t="s">
        <v>54</v>
      </c>
      <c r="G983">
        <v>5</v>
      </c>
      <c r="H983" s="1">
        <v>45129</v>
      </c>
      <c r="I983" t="s">
        <v>26</v>
      </c>
      <c r="J983" t="s">
        <v>27</v>
      </c>
    </row>
    <row r="984" spans="1:10" x14ac:dyDescent="0.3">
      <c r="A984" t="s">
        <v>1028</v>
      </c>
      <c r="B984" t="s">
        <v>11</v>
      </c>
      <c r="C984">
        <v>24</v>
      </c>
      <c r="D984" t="s">
        <v>32</v>
      </c>
      <c r="E984" t="s">
        <v>19</v>
      </c>
      <c r="F984" t="s">
        <v>56</v>
      </c>
      <c r="G984">
        <v>35</v>
      </c>
      <c r="H984" s="1">
        <v>44220</v>
      </c>
      <c r="I984" t="s">
        <v>21</v>
      </c>
      <c r="J984" t="s">
        <v>16</v>
      </c>
    </row>
    <row r="985" spans="1:10" x14ac:dyDescent="0.3">
      <c r="A985" t="s">
        <v>1029</v>
      </c>
      <c r="B985" t="s">
        <v>11</v>
      </c>
      <c r="C985">
        <v>24</v>
      </c>
      <c r="D985" t="s">
        <v>32</v>
      </c>
      <c r="E985" t="s">
        <v>13</v>
      </c>
      <c r="F985" t="s">
        <v>25</v>
      </c>
      <c r="G985">
        <v>41</v>
      </c>
      <c r="H985" s="1">
        <v>44059</v>
      </c>
      <c r="I985" t="s">
        <v>29</v>
      </c>
      <c r="J985" t="s">
        <v>16</v>
      </c>
    </row>
    <row r="986" spans="1:10" x14ac:dyDescent="0.3">
      <c r="A986" t="s">
        <v>1030</v>
      </c>
      <c r="B986" t="s">
        <v>31</v>
      </c>
      <c r="C986">
        <v>34</v>
      </c>
      <c r="D986" t="s">
        <v>18</v>
      </c>
      <c r="E986" t="s">
        <v>19</v>
      </c>
      <c r="F986" t="s">
        <v>33</v>
      </c>
      <c r="G986">
        <v>50</v>
      </c>
      <c r="H986" s="1">
        <v>43769</v>
      </c>
      <c r="I986" t="s">
        <v>21</v>
      </c>
      <c r="J986" t="s">
        <v>65</v>
      </c>
    </row>
    <row r="987" spans="1:10" x14ac:dyDescent="0.3">
      <c r="A987" t="s">
        <v>1031</v>
      </c>
      <c r="B987" t="s">
        <v>24</v>
      </c>
      <c r="C987">
        <v>39</v>
      </c>
      <c r="D987" t="s">
        <v>12</v>
      </c>
      <c r="E987" t="s">
        <v>19</v>
      </c>
      <c r="F987" t="s">
        <v>36</v>
      </c>
      <c r="G987">
        <v>45</v>
      </c>
      <c r="H987" s="1">
        <v>43914</v>
      </c>
      <c r="I987" t="s">
        <v>49</v>
      </c>
      <c r="J987" t="s">
        <v>22</v>
      </c>
    </row>
    <row r="988" spans="1:10" x14ac:dyDescent="0.3">
      <c r="A988" t="s">
        <v>1032</v>
      </c>
      <c r="B988" t="s">
        <v>31</v>
      </c>
      <c r="C988">
        <v>31</v>
      </c>
      <c r="D988" t="s">
        <v>18</v>
      </c>
      <c r="E988" t="s">
        <v>19</v>
      </c>
      <c r="F988" t="s">
        <v>54</v>
      </c>
      <c r="G988">
        <v>18</v>
      </c>
      <c r="H988" s="1">
        <v>44749</v>
      </c>
      <c r="I988" t="s">
        <v>49</v>
      </c>
      <c r="J988" t="s">
        <v>16</v>
      </c>
    </row>
    <row r="989" spans="1:10" x14ac:dyDescent="0.3">
      <c r="A989" t="s">
        <v>1033</v>
      </c>
      <c r="B989" t="s">
        <v>24</v>
      </c>
      <c r="C989">
        <v>23</v>
      </c>
      <c r="D989" t="s">
        <v>32</v>
      </c>
      <c r="E989" t="s">
        <v>19</v>
      </c>
      <c r="F989" t="s">
        <v>56</v>
      </c>
      <c r="G989">
        <v>49</v>
      </c>
      <c r="H989" s="1">
        <v>43806</v>
      </c>
      <c r="I989" t="s">
        <v>34</v>
      </c>
      <c r="J989" t="s">
        <v>22</v>
      </c>
    </row>
    <row r="990" spans="1:10" x14ac:dyDescent="0.3">
      <c r="A990" t="s">
        <v>1034</v>
      </c>
      <c r="B990" t="s">
        <v>11</v>
      </c>
      <c r="C990">
        <v>18</v>
      </c>
      <c r="D990" t="s">
        <v>32</v>
      </c>
      <c r="E990" t="s">
        <v>13</v>
      </c>
      <c r="F990" t="s">
        <v>64</v>
      </c>
      <c r="G990">
        <v>37</v>
      </c>
      <c r="H990" s="1">
        <v>44180</v>
      </c>
      <c r="I990" t="s">
        <v>15</v>
      </c>
      <c r="J990" t="s">
        <v>27</v>
      </c>
    </row>
    <row r="991" spans="1:10" x14ac:dyDescent="0.3">
      <c r="A991" t="s">
        <v>1035</v>
      </c>
      <c r="B991" t="s">
        <v>31</v>
      </c>
      <c r="C991">
        <v>36</v>
      </c>
      <c r="D991" t="s">
        <v>12</v>
      </c>
      <c r="E991" t="s">
        <v>19</v>
      </c>
      <c r="F991" t="s">
        <v>38</v>
      </c>
      <c r="G991">
        <v>33</v>
      </c>
      <c r="H991" s="1">
        <v>44291</v>
      </c>
      <c r="I991" t="s">
        <v>49</v>
      </c>
      <c r="J991" t="s">
        <v>65</v>
      </c>
    </row>
    <row r="992" spans="1:10" x14ac:dyDescent="0.3">
      <c r="A992" t="s">
        <v>1036</v>
      </c>
      <c r="B992" t="s">
        <v>42</v>
      </c>
      <c r="C992">
        <v>18</v>
      </c>
      <c r="D992" t="s">
        <v>32</v>
      </c>
      <c r="E992" t="s">
        <v>19</v>
      </c>
      <c r="F992" t="s">
        <v>88</v>
      </c>
      <c r="G992">
        <v>18</v>
      </c>
      <c r="H992" s="1">
        <v>44742</v>
      </c>
      <c r="I992" t="s">
        <v>49</v>
      </c>
      <c r="J992" t="s">
        <v>16</v>
      </c>
    </row>
    <row r="993" spans="1:10" x14ac:dyDescent="0.3">
      <c r="A993" t="s">
        <v>1037</v>
      </c>
      <c r="B993" t="s">
        <v>11</v>
      </c>
      <c r="C993">
        <v>27</v>
      </c>
      <c r="D993" t="s">
        <v>18</v>
      </c>
      <c r="E993" t="s">
        <v>19</v>
      </c>
      <c r="F993" t="s">
        <v>64</v>
      </c>
      <c r="G993">
        <v>2</v>
      </c>
      <c r="H993" s="1">
        <v>45229</v>
      </c>
      <c r="I993" t="s">
        <v>62</v>
      </c>
      <c r="J993" t="s">
        <v>22</v>
      </c>
    </row>
    <row r="994" spans="1:10" x14ac:dyDescent="0.3">
      <c r="A994" t="s">
        <v>1038</v>
      </c>
      <c r="B994" t="s">
        <v>24</v>
      </c>
      <c r="C994">
        <v>18</v>
      </c>
      <c r="D994" t="s">
        <v>32</v>
      </c>
      <c r="E994" t="s">
        <v>13</v>
      </c>
      <c r="F994" t="s">
        <v>20</v>
      </c>
      <c r="G994">
        <v>27</v>
      </c>
      <c r="H994" s="1">
        <v>44466</v>
      </c>
      <c r="I994" t="s">
        <v>62</v>
      </c>
      <c r="J994" t="s">
        <v>22</v>
      </c>
    </row>
    <row r="995" spans="1:10" x14ac:dyDescent="0.3">
      <c r="A995" t="s">
        <v>1039</v>
      </c>
      <c r="B995" t="s">
        <v>11</v>
      </c>
      <c r="C995">
        <v>38</v>
      </c>
      <c r="D995" t="s">
        <v>12</v>
      </c>
      <c r="E995" t="s">
        <v>13</v>
      </c>
      <c r="F995" t="s">
        <v>14</v>
      </c>
      <c r="G995">
        <v>46</v>
      </c>
      <c r="H995" s="1">
        <v>43887</v>
      </c>
      <c r="I995" t="s">
        <v>21</v>
      </c>
      <c r="J995" t="s">
        <v>27</v>
      </c>
    </row>
    <row r="996" spans="1:10" x14ac:dyDescent="0.3">
      <c r="A996" t="s">
        <v>1040</v>
      </c>
      <c r="B996" t="s">
        <v>31</v>
      </c>
      <c r="C996">
        <v>44</v>
      </c>
      <c r="D996" t="s">
        <v>12</v>
      </c>
      <c r="E996" t="s">
        <v>13</v>
      </c>
      <c r="F996" t="s">
        <v>38</v>
      </c>
      <c r="G996">
        <v>59</v>
      </c>
      <c r="H996" s="1">
        <v>43515</v>
      </c>
      <c r="I996" t="s">
        <v>47</v>
      </c>
      <c r="J996" t="s">
        <v>65</v>
      </c>
    </row>
    <row r="997" spans="1:10" x14ac:dyDescent="0.3">
      <c r="A997" t="s">
        <v>1041</v>
      </c>
      <c r="B997" t="s">
        <v>11</v>
      </c>
      <c r="C997">
        <v>29</v>
      </c>
      <c r="D997" t="s">
        <v>18</v>
      </c>
      <c r="E997" t="s">
        <v>19</v>
      </c>
      <c r="F997" t="s">
        <v>36</v>
      </c>
      <c r="G997">
        <v>46</v>
      </c>
      <c r="H997" s="1">
        <v>43894</v>
      </c>
      <c r="I997" t="s">
        <v>21</v>
      </c>
      <c r="J997" t="s">
        <v>22</v>
      </c>
    </row>
    <row r="998" spans="1:10" x14ac:dyDescent="0.3">
      <c r="A998" t="s">
        <v>1042</v>
      </c>
      <c r="B998" t="s">
        <v>61</v>
      </c>
      <c r="C998">
        <v>26</v>
      </c>
      <c r="D998" t="s">
        <v>18</v>
      </c>
      <c r="E998" t="s">
        <v>19</v>
      </c>
      <c r="F998" t="s">
        <v>38</v>
      </c>
      <c r="G998">
        <v>12</v>
      </c>
      <c r="H998" s="1">
        <v>44930</v>
      </c>
      <c r="I998" t="s">
        <v>39</v>
      </c>
      <c r="J998" t="s">
        <v>27</v>
      </c>
    </row>
    <row r="999" spans="1:10" x14ac:dyDescent="0.3">
      <c r="A999" t="s">
        <v>1043</v>
      </c>
      <c r="B999" t="s">
        <v>24</v>
      </c>
      <c r="C999">
        <v>25</v>
      </c>
      <c r="D999" t="s">
        <v>18</v>
      </c>
      <c r="E999" t="s">
        <v>19</v>
      </c>
      <c r="F999" t="s">
        <v>64</v>
      </c>
      <c r="G999">
        <v>15</v>
      </c>
      <c r="H999" s="1">
        <v>44828</v>
      </c>
      <c r="I999" t="s">
        <v>39</v>
      </c>
      <c r="J999" t="s">
        <v>16</v>
      </c>
    </row>
    <row r="1000" spans="1:10" x14ac:dyDescent="0.3">
      <c r="A1000" t="s">
        <v>1044</v>
      </c>
      <c r="B1000" t="s">
        <v>11</v>
      </c>
      <c r="C1000">
        <v>27</v>
      </c>
      <c r="D1000" t="s">
        <v>18</v>
      </c>
      <c r="E1000" t="s">
        <v>13</v>
      </c>
      <c r="F1000" t="s">
        <v>56</v>
      </c>
      <c r="G1000">
        <v>44</v>
      </c>
      <c r="H1000" s="1">
        <v>43947</v>
      </c>
      <c r="I1000" t="s">
        <v>34</v>
      </c>
      <c r="J1000" t="s">
        <v>16</v>
      </c>
    </row>
    <row r="1001" spans="1:10" x14ac:dyDescent="0.3">
      <c r="A1001" t="s">
        <v>1045</v>
      </c>
      <c r="B1001" t="s">
        <v>61</v>
      </c>
      <c r="C1001">
        <v>18</v>
      </c>
      <c r="D1001" t="s">
        <v>32</v>
      </c>
      <c r="E1001" t="s">
        <v>19</v>
      </c>
      <c r="F1001" t="s">
        <v>38</v>
      </c>
      <c r="G1001">
        <v>10</v>
      </c>
      <c r="H1001" s="1">
        <v>44988</v>
      </c>
      <c r="I1001" t="s">
        <v>29</v>
      </c>
      <c r="J100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D0B9A-D61E-4AB8-8F38-576CB194CF81}">
  <dimension ref="A1:P1001"/>
  <sheetViews>
    <sheetView topLeftCell="A41" workbookViewId="0">
      <selection activeCell="F4" sqref="F4"/>
    </sheetView>
  </sheetViews>
  <sheetFormatPr defaultRowHeight="14.4" x14ac:dyDescent="0.3"/>
  <cols>
    <col min="1" max="1" width="12.77734375" style="2" customWidth="1"/>
    <col min="2" max="2" width="12.6640625" style="2" bestFit="1" customWidth="1"/>
    <col min="3" max="3" width="6.21875" style="3" bestFit="1" customWidth="1"/>
    <col min="4" max="4" width="11.33203125" customWidth="1"/>
    <col min="5" max="6" width="10.21875" style="2" bestFit="1" customWidth="1"/>
    <col min="7" max="7" width="20.6640625" customWidth="1"/>
    <col min="8" max="8" width="16.77734375" style="4" bestFit="1" customWidth="1"/>
    <col min="9" max="9" width="18.88671875" style="2" customWidth="1"/>
    <col min="10" max="10" width="17.44140625" style="2" customWidth="1"/>
    <col min="14" max="14" width="10.6640625" bestFit="1" customWidth="1"/>
    <col min="15" max="15" width="16.44140625" bestFit="1" customWidth="1"/>
    <col min="16" max="16" width="14.88671875" bestFit="1" customWidth="1"/>
  </cols>
  <sheetData>
    <row r="1" spans="1:16" x14ac:dyDescent="0.3">
      <c r="A1" s="2" t="s">
        <v>0</v>
      </c>
      <c r="B1" s="2" t="s">
        <v>1</v>
      </c>
      <c r="C1" s="3" t="s">
        <v>2</v>
      </c>
      <c r="D1" t="s">
        <v>3</v>
      </c>
      <c r="E1" s="2" t="s">
        <v>4</v>
      </c>
      <c r="F1" s="2" t="s">
        <v>5</v>
      </c>
      <c r="G1" t="s">
        <v>6</v>
      </c>
      <c r="H1" s="4" t="s">
        <v>7</v>
      </c>
      <c r="I1" s="2" t="s">
        <v>8</v>
      </c>
      <c r="J1" s="2" t="s">
        <v>9</v>
      </c>
      <c r="M1" s="2" t="s">
        <v>4</v>
      </c>
      <c r="N1" s="2" t="s">
        <v>5</v>
      </c>
      <c r="O1" s="2" t="s">
        <v>8</v>
      </c>
      <c r="P1" s="2" t="s">
        <v>9</v>
      </c>
    </row>
    <row r="2" spans="1:16" x14ac:dyDescent="0.3">
      <c r="A2" s="2" t="s">
        <v>10</v>
      </c>
      <c r="B2" s="2" t="s">
        <v>11</v>
      </c>
      <c r="C2" s="3">
        <v>36</v>
      </c>
      <c r="D2" t="s">
        <v>12</v>
      </c>
      <c r="E2" s="2" t="s">
        <v>13</v>
      </c>
      <c r="F2" s="2" t="s">
        <v>14</v>
      </c>
      <c r="G2">
        <v>17</v>
      </c>
      <c r="H2" s="4">
        <v>44761</v>
      </c>
      <c r="I2" s="2" t="s">
        <v>15</v>
      </c>
      <c r="J2" s="2" t="s">
        <v>16</v>
      </c>
      <c r="M2" t="str">
        <f>TRIM(E2)</f>
        <v>Male</v>
      </c>
      <c r="N2" t="str">
        <f>TRIM(F2)</f>
        <v>Kolkata</v>
      </c>
      <c r="O2" t="str">
        <f>TRIM(I2)</f>
        <v>Telugu</v>
      </c>
      <c r="P2" t="str">
        <f>TRIM(J2)</f>
        <v>Basic</v>
      </c>
    </row>
    <row r="3" spans="1:16" x14ac:dyDescent="0.3">
      <c r="A3" s="2" t="s">
        <v>17</v>
      </c>
      <c r="B3" s="2" t="s">
        <v>11</v>
      </c>
      <c r="C3" s="3">
        <v>26</v>
      </c>
      <c r="D3" t="s">
        <v>18</v>
      </c>
      <c r="E3" s="2" t="s">
        <v>19</v>
      </c>
      <c r="F3" s="2" t="s">
        <v>20</v>
      </c>
      <c r="G3">
        <v>31</v>
      </c>
      <c r="H3" s="4">
        <v>44343</v>
      </c>
      <c r="I3" s="2" t="s">
        <v>21</v>
      </c>
      <c r="J3" s="2" t="s">
        <v>22</v>
      </c>
      <c r="M3" t="str">
        <f t="shared" ref="M3:M66" si="0">TRIM(E3)</f>
        <v>Female</v>
      </c>
      <c r="N3" t="str">
        <f t="shared" ref="N3:N66" si="1">TRIM(F3)</f>
        <v>Chennai</v>
      </c>
      <c r="O3" t="str">
        <f t="shared" ref="O3:O66" si="2">TRIM(I3)</f>
        <v>Bengali</v>
      </c>
      <c r="P3" t="str">
        <f t="shared" ref="P3:P66" si="3">TRIM(J3)</f>
        <v>Premium</v>
      </c>
    </row>
    <row r="4" spans="1:16" x14ac:dyDescent="0.3">
      <c r="A4" s="2" t="s">
        <v>23</v>
      </c>
      <c r="B4" s="2" t="s">
        <v>24</v>
      </c>
      <c r="C4" s="3">
        <v>27</v>
      </c>
      <c r="D4" t="s">
        <v>18</v>
      </c>
      <c r="E4" s="2" t="s">
        <v>13</v>
      </c>
      <c r="F4" s="2" t="s">
        <v>25</v>
      </c>
      <c r="G4">
        <v>50</v>
      </c>
      <c r="H4" s="4">
        <v>43768</v>
      </c>
      <c r="I4" s="2" t="s">
        <v>26</v>
      </c>
      <c r="J4" s="2" t="s">
        <v>27</v>
      </c>
      <c r="M4" t="str">
        <f t="shared" si="0"/>
        <v>Male</v>
      </c>
      <c r="N4" t="str">
        <f t="shared" si="1"/>
        <v>Mumbai</v>
      </c>
      <c r="O4" t="str">
        <f t="shared" si="2"/>
        <v>Malayalam</v>
      </c>
      <c r="P4" t="str">
        <f t="shared" si="3"/>
        <v>Standard</v>
      </c>
    </row>
    <row r="5" spans="1:16" x14ac:dyDescent="0.3">
      <c r="A5" s="2" t="s">
        <v>28</v>
      </c>
      <c r="B5" s="2" t="s">
        <v>24</v>
      </c>
      <c r="C5" s="3">
        <v>26</v>
      </c>
      <c r="D5" t="s">
        <v>18</v>
      </c>
      <c r="E5" s="2" t="s">
        <v>13</v>
      </c>
      <c r="F5" s="2" t="s">
        <v>20</v>
      </c>
      <c r="G5">
        <v>60</v>
      </c>
      <c r="H5" s="4">
        <v>43488</v>
      </c>
      <c r="I5" s="2" t="s">
        <v>29</v>
      </c>
      <c r="J5" s="2" t="s">
        <v>27</v>
      </c>
      <c r="M5" t="str">
        <f t="shared" si="0"/>
        <v>Male</v>
      </c>
      <c r="N5" t="str">
        <f t="shared" si="1"/>
        <v>Chennai</v>
      </c>
      <c r="O5" t="str">
        <f t="shared" si="2"/>
        <v>English</v>
      </c>
      <c r="P5" t="str">
        <f t="shared" si="3"/>
        <v>Standard</v>
      </c>
    </row>
    <row r="6" spans="1:16" x14ac:dyDescent="0.3">
      <c r="A6" s="2" t="s">
        <v>30</v>
      </c>
      <c r="B6" s="2" t="s">
        <v>31</v>
      </c>
      <c r="C6" s="3">
        <v>20</v>
      </c>
      <c r="D6" t="s">
        <v>32</v>
      </c>
      <c r="E6" s="2" t="s">
        <v>13</v>
      </c>
      <c r="F6" s="2" t="s">
        <v>33</v>
      </c>
      <c r="G6">
        <v>15</v>
      </c>
      <c r="H6" s="4">
        <v>44813</v>
      </c>
      <c r="I6" s="2" t="s">
        <v>34</v>
      </c>
      <c r="J6" s="2" t="s">
        <v>22</v>
      </c>
      <c r="M6" t="str">
        <f t="shared" si="0"/>
        <v>Male</v>
      </c>
      <c r="N6" t="str">
        <f t="shared" si="1"/>
        <v>Jaipur</v>
      </c>
      <c r="O6" t="str">
        <f t="shared" si="2"/>
        <v>Marathi</v>
      </c>
      <c r="P6" t="str">
        <f t="shared" si="3"/>
        <v>Premium</v>
      </c>
    </row>
    <row r="7" spans="1:16" x14ac:dyDescent="0.3">
      <c r="A7" s="2" t="s">
        <v>35</v>
      </c>
      <c r="B7" s="2" t="s">
        <v>31</v>
      </c>
      <c r="C7" s="3">
        <v>28</v>
      </c>
      <c r="D7" t="s">
        <v>18</v>
      </c>
      <c r="E7" s="2" t="s">
        <v>13</v>
      </c>
      <c r="F7" s="2" t="s">
        <v>36</v>
      </c>
      <c r="G7">
        <v>10</v>
      </c>
      <c r="H7" s="4">
        <v>44970</v>
      </c>
      <c r="I7" s="2" t="s">
        <v>21</v>
      </c>
      <c r="J7" s="2" t="s">
        <v>16</v>
      </c>
      <c r="M7" t="str">
        <f t="shared" si="0"/>
        <v>Male</v>
      </c>
      <c r="N7" t="str">
        <f t="shared" si="1"/>
        <v>Ahmedabad</v>
      </c>
      <c r="O7" t="str">
        <f t="shared" si="2"/>
        <v>Bengali</v>
      </c>
      <c r="P7" t="str">
        <f t="shared" si="3"/>
        <v>Basic</v>
      </c>
    </row>
    <row r="8" spans="1:16" x14ac:dyDescent="0.3">
      <c r="A8" s="2" t="s">
        <v>37</v>
      </c>
      <c r="B8" s="2" t="s">
        <v>31</v>
      </c>
      <c r="C8" s="3">
        <v>32</v>
      </c>
      <c r="D8" t="s">
        <v>18</v>
      </c>
      <c r="E8" s="2" t="s">
        <v>13</v>
      </c>
      <c r="F8" s="2" t="s">
        <v>38</v>
      </c>
      <c r="G8">
        <v>11</v>
      </c>
      <c r="H8" s="4">
        <v>44949</v>
      </c>
      <c r="I8" s="2" t="s">
        <v>39</v>
      </c>
      <c r="J8" s="2" t="s">
        <v>22</v>
      </c>
      <c r="M8" t="str">
        <f t="shared" si="0"/>
        <v>Male</v>
      </c>
      <c r="N8" t="str">
        <f t="shared" si="1"/>
        <v>Delhi</v>
      </c>
      <c r="O8" t="str">
        <f t="shared" si="2"/>
        <v>Tamil</v>
      </c>
      <c r="P8" t="str">
        <f t="shared" si="3"/>
        <v>Premium</v>
      </c>
    </row>
    <row r="9" spans="1:16" x14ac:dyDescent="0.3">
      <c r="A9" s="2" t="s">
        <v>40</v>
      </c>
      <c r="B9" s="2" t="s">
        <v>11</v>
      </c>
      <c r="C9" s="3">
        <v>18</v>
      </c>
      <c r="D9" t="s">
        <v>32</v>
      </c>
      <c r="E9" s="2" t="s">
        <v>19</v>
      </c>
      <c r="F9" s="2" t="s">
        <v>14</v>
      </c>
      <c r="G9">
        <v>53</v>
      </c>
      <c r="H9" s="4">
        <v>43688</v>
      </c>
      <c r="I9" s="2" t="s">
        <v>34</v>
      </c>
      <c r="J9" s="2" t="s">
        <v>16</v>
      </c>
      <c r="M9" t="str">
        <f t="shared" si="0"/>
        <v>Female</v>
      </c>
      <c r="N9" t="str">
        <f t="shared" si="1"/>
        <v>Kolkata</v>
      </c>
      <c r="O9" t="str">
        <f t="shared" si="2"/>
        <v>Marathi</v>
      </c>
      <c r="P9" t="str">
        <f t="shared" si="3"/>
        <v>Basic</v>
      </c>
    </row>
    <row r="10" spans="1:16" x14ac:dyDescent="0.3">
      <c r="A10" s="2" t="s">
        <v>41</v>
      </c>
      <c r="B10" s="2" t="s">
        <v>42</v>
      </c>
      <c r="C10" s="3">
        <v>27</v>
      </c>
      <c r="D10" t="s">
        <v>18</v>
      </c>
      <c r="E10" s="2" t="s">
        <v>19</v>
      </c>
      <c r="F10" s="2" t="s">
        <v>20</v>
      </c>
      <c r="G10">
        <v>11</v>
      </c>
      <c r="H10" s="4">
        <v>44949</v>
      </c>
      <c r="I10" s="2" t="s">
        <v>34</v>
      </c>
      <c r="J10" s="2" t="s">
        <v>22</v>
      </c>
      <c r="M10" t="str">
        <f t="shared" si="0"/>
        <v>Female</v>
      </c>
      <c r="N10" t="str">
        <f t="shared" si="1"/>
        <v>Chennai</v>
      </c>
      <c r="O10" t="str">
        <f t="shared" si="2"/>
        <v>Marathi</v>
      </c>
      <c r="P10" t="str">
        <f t="shared" si="3"/>
        <v>Premium</v>
      </c>
    </row>
    <row r="11" spans="1:16" x14ac:dyDescent="0.3">
      <c r="A11" s="2" t="s">
        <v>43</v>
      </c>
      <c r="B11" s="2" t="s">
        <v>42</v>
      </c>
      <c r="C11" s="3">
        <v>36</v>
      </c>
      <c r="D11" t="s">
        <v>12</v>
      </c>
      <c r="E11" s="2" t="s">
        <v>13</v>
      </c>
      <c r="F11" s="2" t="s">
        <v>20</v>
      </c>
      <c r="G11">
        <v>39</v>
      </c>
      <c r="H11" s="4">
        <v>44101</v>
      </c>
      <c r="I11" s="2" t="s">
        <v>29</v>
      </c>
      <c r="J11" s="2" t="s">
        <v>16</v>
      </c>
      <c r="M11" t="str">
        <f t="shared" si="0"/>
        <v>Male</v>
      </c>
      <c r="N11" t="str">
        <f t="shared" si="1"/>
        <v>Chennai</v>
      </c>
      <c r="O11" t="str">
        <f t="shared" si="2"/>
        <v>English</v>
      </c>
      <c r="P11" t="str">
        <f t="shared" si="3"/>
        <v>Basic</v>
      </c>
    </row>
    <row r="12" spans="1:16" x14ac:dyDescent="0.3">
      <c r="A12" s="2" t="s">
        <v>44</v>
      </c>
      <c r="B12" s="2" t="s">
        <v>11</v>
      </c>
      <c r="C12" s="3">
        <v>23</v>
      </c>
      <c r="D12" t="s">
        <v>32</v>
      </c>
      <c r="E12" s="2" t="s">
        <v>19</v>
      </c>
      <c r="F12" s="2" t="s">
        <v>33</v>
      </c>
      <c r="G12">
        <v>52</v>
      </c>
      <c r="H12" s="4">
        <v>43716</v>
      </c>
      <c r="I12" s="2" t="s">
        <v>15</v>
      </c>
      <c r="J12" s="2" t="s">
        <v>22</v>
      </c>
      <c r="M12" t="str">
        <f t="shared" si="0"/>
        <v>Female</v>
      </c>
      <c r="N12" t="str">
        <f t="shared" si="1"/>
        <v>Jaipur</v>
      </c>
      <c r="O12" t="str">
        <f t="shared" si="2"/>
        <v>Telugu</v>
      </c>
      <c r="P12" t="str">
        <f t="shared" si="3"/>
        <v>Premium</v>
      </c>
    </row>
    <row r="13" spans="1:16" x14ac:dyDescent="0.3">
      <c r="A13" s="2" t="s">
        <v>45</v>
      </c>
      <c r="B13" s="2" t="s">
        <v>31</v>
      </c>
      <c r="C13" s="3">
        <v>46</v>
      </c>
      <c r="D13" t="s">
        <v>46</v>
      </c>
      <c r="E13" s="2" t="s">
        <v>13</v>
      </c>
      <c r="F13" s="2" t="s">
        <v>38</v>
      </c>
      <c r="G13">
        <v>49</v>
      </c>
      <c r="H13" s="4">
        <v>43813</v>
      </c>
      <c r="I13" s="2" t="s">
        <v>47</v>
      </c>
      <c r="J13" s="2" t="s">
        <v>16</v>
      </c>
      <c r="M13" t="str">
        <f t="shared" si="0"/>
        <v>Male</v>
      </c>
      <c r="N13" t="str">
        <f t="shared" si="1"/>
        <v>Delhi</v>
      </c>
      <c r="O13" t="str">
        <f t="shared" si="2"/>
        <v>Hindi</v>
      </c>
      <c r="P13" t="str">
        <f t="shared" si="3"/>
        <v>Basic</v>
      </c>
    </row>
    <row r="14" spans="1:16" x14ac:dyDescent="0.3">
      <c r="A14" s="2" t="s">
        <v>48</v>
      </c>
      <c r="B14" s="2" t="s">
        <v>11</v>
      </c>
      <c r="C14" s="3">
        <v>26</v>
      </c>
      <c r="D14" t="s">
        <v>18</v>
      </c>
      <c r="E14" s="2" t="s">
        <v>13</v>
      </c>
      <c r="F14" s="2" t="s">
        <v>36</v>
      </c>
      <c r="G14">
        <v>56</v>
      </c>
      <c r="H14" s="4">
        <v>43609</v>
      </c>
      <c r="I14" s="2" t="s">
        <v>49</v>
      </c>
      <c r="J14" s="2" t="s">
        <v>16</v>
      </c>
      <c r="M14" t="str">
        <f t="shared" si="0"/>
        <v>Male</v>
      </c>
      <c r="N14" t="str">
        <f t="shared" si="1"/>
        <v>Ahmedabad</v>
      </c>
      <c r="O14" t="str">
        <f t="shared" si="2"/>
        <v>Kannada</v>
      </c>
      <c r="P14" t="str">
        <f t="shared" si="3"/>
        <v>Basic</v>
      </c>
    </row>
    <row r="15" spans="1:16" x14ac:dyDescent="0.3">
      <c r="A15" s="2" t="s">
        <v>50</v>
      </c>
      <c r="B15" s="2" t="s">
        <v>31</v>
      </c>
      <c r="C15" s="3">
        <v>37</v>
      </c>
      <c r="D15" t="s">
        <v>12</v>
      </c>
      <c r="E15" s="2" t="s">
        <v>13</v>
      </c>
      <c r="F15" s="2" t="s">
        <v>33</v>
      </c>
      <c r="G15">
        <v>31</v>
      </c>
      <c r="H15" s="4">
        <v>44344</v>
      </c>
      <c r="I15" s="2" t="s">
        <v>39</v>
      </c>
      <c r="J15" s="2" t="s">
        <v>27</v>
      </c>
      <c r="M15" t="str">
        <f t="shared" si="0"/>
        <v>Male</v>
      </c>
      <c r="N15" t="str">
        <f t="shared" si="1"/>
        <v>Jaipur</v>
      </c>
      <c r="O15" t="str">
        <f t="shared" si="2"/>
        <v>Tamil</v>
      </c>
      <c r="P15" t="str">
        <f t="shared" si="3"/>
        <v>Standard</v>
      </c>
    </row>
    <row r="16" spans="1:16" x14ac:dyDescent="0.3">
      <c r="A16" s="2" t="s">
        <v>51</v>
      </c>
      <c r="B16" s="2" t="s">
        <v>31</v>
      </c>
      <c r="C16" s="3">
        <v>27</v>
      </c>
      <c r="D16" t="s">
        <v>18</v>
      </c>
      <c r="E16" s="2" t="s">
        <v>13</v>
      </c>
      <c r="F16" s="2" t="s">
        <v>20</v>
      </c>
      <c r="G16">
        <v>12</v>
      </c>
      <c r="H16" s="4">
        <v>44922</v>
      </c>
      <c r="I16" s="2" t="s">
        <v>49</v>
      </c>
      <c r="J16" s="2" t="s">
        <v>27</v>
      </c>
      <c r="M16" t="str">
        <f t="shared" si="0"/>
        <v>Male</v>
      </c>
      <c r="N16" t="str">
        <f t="shared" si="1"/>
        <v>Chennai</v>
      </c>
      <c r="O16" t="str">
        <f t="shared" si="2"/>
        <v>Kannada</v>
      </c>
      <c r="P16" t="str">
        <f t="shared" si="3"/>
        <v>Standard</v>
      </c>
    </row>
    <row r="17" spans="1:16" x14ac:dyDescent="0.3">
      <c r="A17" s="2" t="s">
        <v>52</v>
      </c>
      <c r="B17" s="2" t="s">
        <v>11</v>
      </c>
      <c r="C17" s="3">
        <v>18</v>
      </c>
      <c r="D17" t="s">
        <v>32</v>
      </c>
      <c r="E17" s="2" t="s">
        <v>19</v>
      </c>
      <c r="F17" s="2" t="s">
        <v>36</v>
      </c>
      <c r="G17">
        <v>11</v>
      </c>
      <c r="H17" s="4">
        <v>44945</v>
      </c>
      <c r="I17" s="2" t="s">
        <v>15</v>
      </c>
      <c r="J17" s="2" t="s">
        <v>16</v>
      </c>
      <c r="M17" t="str">
        <f t="shared" si="0"/>
        <v>Female</v>
      </c>
      <c r="N17" t="str">
        <f t="shared" si="1"/>
        <v>Ahmedabad</v>
      </c>
      <c r="O17" t="str">
        <f t="shared" si="2"/>
        <v>Telugu</v>
      </c>
      <c r="P17" t="str">
        <f t="shared" si="3"/>
        <v>Basic</v>
      </c>
    </row>
    <row r="18" spans="1:16" x14ac:dyDescent="0.3">
      <c r="A18" s="2" t="s">
        <v>53</v>
      </c>
      <c r="B18" s="2" t="s">
        <v>31</v>
      </c>
      <c r="C18" s="3">
        <v>46</v>
      </c>
      <c r="D18" t="s">
        <v>46</v>
      </c>
      <c r="E18" s="2" t="s">
        <v>19</v>
      </c>
      <c r="F18" s="2" t="s">
        <v>54</v>
      </c>
      <c r="G18">
        <v>5</v>
      </c>
      <c r="H18" s="4">
        <v>45122</v>
      </c>
      <c r="I18" s="2" t="s">
        <v>29</v>
      </c>
      <c r="J18" s="2" t="s">
        <v>22</v>
      </c>
      <c r="M18" t="str">
        <f t="shared" si="0"/>
        <v>Female</v>
      </c>
      <c r="N18" t="str">
        <f t="shared" si="1"/>
        <v>Bangalore</v>
      </c>
      <c r="O18" t="str">
        <f t="shared" si="2"/>
        <v>English</v>
      </c>
      <c r="P18" t="str">
        <f t="shared" si="3"/>
        <v>Premium</v>
      </c>
    </row>
    <row r="19" spans="1:16" x14ac:dyDescent="0.3">
      <c r="A19" s="2" t="s">
        <v>55</v>
      </c>
      <c r="B19" s="2" t="s">
        <v>24</v>
      </c>
      <c r="C19" s="3">
        <v>24</v>
      </c>
      <c r="D19" t="s">
        <v>32</v>
      </c>
      <c r="E19" s="2" t="s">
        <v>13</v>
      </c>
      <c r="F19" s="2" t="s">
        <v>56</v>
      </c>
      <c r="G19">
        <v>17</v>
      </c>
      <c r="H19" s="4">
        <v>44774</v>
      </c>
      <c r="I19" s="2" t="s">
        <v>21</v>
      </c>
      <c r="J19" s="2" t="s">
        <v>27</v>
      </c>
      <c r="M19" t="str">
        <f t="shared" si="0"/>
        <v>Male</v>
      </c>
      <c r="N19" t="str">
        <f t="shared" si="1"/>
        <v>Hyderabad</v>
      </c>
      <c r="O19" t="str">
        <f t="shared" si="2"/>
        <v>Bengali</v>
      </c>
      <c r="P19" t="str">
        <f t="shared" si="3"/>
        <v>Standard</v>
      </c>
    </row>
    <row r="20" spans="1:16" x14ac:dyDescent="0.3">
      <c r="A20" s="2" t="s">
        <v>57</v>
      </c>
      <c r="B20" s="2" t="s">
        <v>24</v>
      </c>
      <c r="C20" s="3">
        <v>32</v>
      </c>
      <c r="D20" t="s">
        <v>18</v>
      </c>
      <c r="E20" s="2" t="s">
        <v>13</v>
      </c>
      <c r="F20" s="2" t="s">
        <v>56</v>
      </c>
      <c r="G20">
        <v>5</v>
      </c>
      <c r="H20" s="4">
        <v>45122</v>
      </c>
      <c r="I20" s="2" t="s">
        <v>15</v>
      </c>
      <c r="J20" s="2" t="s">
        <v>27</v>
      </c>
      <c r="M20" t="str">
        <f t="shared" si="0"/>
        <v>Male</v>
      </c>
      <c r="N20" t="str">
        <f t="shared" si="1"/>
        <v>Hyderabad</v>
      </c>
      <c r="O20" t="str">
        <f t="shared" si="2"/>
        <v>Telugu</v>
      </c>
      <c r="P20" t="str">
        <f t="shared" si="3"/>
        <v>Standard</v>
      </c>
    </row>
    <row r="21" spans="1:16" x14ac:dyDescent="0.3">
      <c r="A21" s="2" t="s">
        <v>58</v>
      </c>
      <c r="B21" s="2" t="s">
        <v>11</v>
      </c>
      <c r="C21" s="3">
        <v>36</v>
      </c>
      <c r="D21" t="s">
        <v>12</v>
      </c>
      <c r="E21" s="2" t="s">
        <v>19</v>
      </c>
      <c r="F21" s="2" t="s">
        <v>54</v>
      </c>
      <c r="G21">
        <v>19</v>
      </c>
      <c r="H21" s="4">
        <v>44721</v>
      </c>
      <c r="I21" s="2" t="s">
        <v>29</v>
      </c>
      <c r="J21" s="2" t="s">
        <v>22</v>
      </c>
      <c r="M21" t="str">
        <f t="shared" si="0"/>
        <v>Female</v>
      </c>
      <c r="N21" t="str">
        <f t="shared" si="1"/>
        <v>Bangalore</v>
      </c>
      <c r="O21" t="str">
        <f t="shared" si="2"/>
        <v>English</v>
      </c>
      <c r="P21" t="str">
        <f t="shared" si="3"/>
        <v>Premium</v>
      </c>
    </row>
    <row r="22" spans="1:16" x14ac:dyDescent="0.3">
      <c r="A22" s="2" t="s">
        <v>59</v>
      </c>
      <c r="B22" s="2" t="s">
        <v>31</v>
      </c>
      <c r="C22" s="3">
        <v>30</v>
      </c>
      <c r="D22" t="s">
        <v>18</v>
      </c>
      <c r="E22" s="2" t="s">
        <v>19</v>
      </c>
      <c r="F22" s="2" t="s">
        <v>14</v>
      </c>
      <c r="G22">
        <v>4</v>
      </c>
      <c r="H22" s="4">
        <v>45172</v>
      </c>
      <c r="I22" s="2" t="s">
        <v>47</v>
      </c>
      <c r="J22" s="2" t="s">
        <v>27</v>
      </c>
      <c r="M22" t="str">
        <f t="shared" si="0"/>
        <v>Female</v>
      </c>
      <c r="N22" t="str">
        <f t="shared" si="1"/>
        <v>Kolkata</v>
      </c>
      <c r="O22" t="str">
        <f t="shared" si="2"/>
        <v>Hindi</v>
      </c>
      <c r="P22" t="str">
        <f t="shared" si="3"/>
        <v>Standard</v>
      </c>
    </row>
    <row r="23" spans="1:16" x14ac:dyDescent="0.3">
      <c r="A23" s="2" t="s">
        <v>60</v>
      </c>
      <c r="B23" s="2" t="s">
        <v>61</v>
      </c>
      <c r="C23" s="3">
        <v>33</v>
      </c>
      <c r="D23" t="s">
        <v>18</v>
      </c>
      <c r="E23" s="2" t="s">
        <v>19</v>
      </c>
      <c r="F23" s="2" t="s">
        <v>56</v>
      </c>
      <c r="G23">
        <v>40</v>
      </c>
      <c r="H23" s="4">
        <v>44070</v>
      </c>
      <c r="I23" s="2" t="s">
        <v>62</v>
      </c>
      <c r="J23" s="2" t="s">
        <v>16</v>
      </c>
      <c r="M23" t="str">
        <f t="shared" si="0"/>
        <v>Female</v>
      </c>
      <c r="N23" t="str">
        <f t="shared" si="1"/>
        <v>Hyderabad</v>
      </c>
      <c r="O23" t="str">
        <f t="shared" si="2"/>
        <v>Gujarati</v>
      </c>
      <c r="P23" t="str">
        <f t="shared" si="3"/>
        <v>Basic</v>
      </c>
    </row>
    <row r="24" spans="1:16" x14ac:dyDescent="0.3">
      <c r="A24" s="2" t="s">
        <v>63</v>
      </c>
      <c r="B24" s="2" t="s">
        <v>42</v>
      </c>
      <c r="C24" s="3">
        <v>39</v>
      </c>
      <c r="D24" t="s">
        <v>12</v>
      </c>
      <c r="E24" s="2" t="s">
        <v>19</v>
      </c>
      <c r="F24" s="2" t="s">
        <v>64</v>
      </c>
      <c r="G24">
        <v>43</v>
      </c>
      <c r="H24" s="4">
        <v>43991</v>
      </c>
      <c r="I24" s="2" t="s">
        <v>39</v>
      </c>
      <c r="J24" s="2" t="s">
        <v>65</v>
      </c>
      <c r="M24" t="str">
        <f t="shared" si="0"/>
        <v>Female</v>
      </c>
      <c r="N24" t="str">
        <f t="shared" si="1"/>
        <v>Pune</v>
      </c>
      <c r="O24" t="str">
        <f t="shared" si="2"/>
        <v>Tamil</v>
      </c>
      <c r="P24" t="str">
        <f t="shared" si="3"/>
        <v>Family</v>
      </c>
    </row>
    <row r="25" spans="1:16" x14ac:dyDescent="0.3">
      <c r="A25" s="2" t="s">
        <v>66</v>
      </c>
      <c r="B25" s="2" t="s">
        <v>42</v>
      </c>
      <c r="C25" s="3">
        <v>35</v>
      </c>
      <c r="D25" t="s">
        <v>12</v>
      </c>
      <c r="E25" s="2" t="s">
        <v>19</v>
      </c>
      <c r="F25" s="2" t="s">
        <v>20</v>
      </c>
      <c r="G25">
        <v>19</v>
      </c>
      <c r="H25" s="4">
        <v>44716</v>
      </c>
      <c r="I25" s="2" t="s">
        <v>39</v>
      </c>
      <c r="J25" s="2" t="s">
        <v>22</v>
      </c>
      <c r="M25" t="str">
        <f t="shared" si="0"/>
        <v>Female</v>
      </c>
      <c r="N25" t="str">
        <f t="shared" si="1"/>
        <v>Chennai</v>
      </c>
      <c r="O25" t="str">
        <f t="shared" si="2"/>
        <v>Tamil</v>
      </c>
      <c r="P25" t="str">
        <f t="shared" si="3"/>
        <v>Premium</v>
      </c>
    </row>
    <row r="26" spans="1:16" x14ac:dyDescent="0.3">
      <c r="A26" s="2" t="s">
        <v>67</v>
      </c>
      <c r="B26" s="2" t="s">
        <v>31</v>
      </c>
      <c r="C26" s="3">
        <v>26</v>
      </c>
      <c r="D26" t="s">
        <v>18</v>
      </c>
      <c r="E26" s="2" t="s">
        <v>19</v>
      </c>
      <c r="F26" s="2" t="s">
        <v>64</v>
      </c>
      <c r="G26">
        <v>23</v>
      </c>
      <c r="H26" s="4">
        <v>44590</v>
      </c>
      <c r="I26" s="2" t="s">
        <v>21</v>
      </c>
      <c r="J26" s="2" t="s">
        <v>22</v>
      </c>
      <c r="M26" t="str">
        <f t="shared" si="0"/>
        <v>Female</v>
      </c>
      <c r="N26" t="str">
        <f t="shared" si="1"/>
        <v>Pune</v>
      </c>
      <c r="O26" t="str">
        <f t="shared" si="2"/>
        <v>Bengali</v>
      </c>
      <c r="P26" t="str">
        <f t="shared" si="3"/>
        <v>Premium</v>
      </c>
    </row>
    <row r="27" spans="1:16" x14ac:dyDescent="0.3">
      <c r="A27" s="2" t="s">
        <v>68</v>
      </c>
      <c r="B27" s="2" t="s">
        <v>31</v>
      </c>
      <c r="C27" s="3">
        <v>29</v>
      </c>
      <c r="D27" t="s">
        <v>18</v>
      </c>
      <c r="E27" s="2" t="s">
        <v>19</v>
      </c>
      <c r="F27" s="2" t="s">
        <v>14</v>
      </c>
      <c r="G27">
        <v>3</v>
      </c>
      <c r="H27" s="4">
        <v>45184</v>
      </c>
      <c r="I27" s="2" t="s">
        <v>29</v>
      </c>
      <c r="J27" s="2" t="s">
        <v>27</v>
      </c>
      <c r="M27" t="str">
        <f t="shared" si="0"/>
        <v>Female</v>
      </c>
      <c r="N27" t="str">
        <f t="shared" si="1"/>
        <v>Kolkata</v>
      </c>
      <c r="O27" t="str">
        <f t="shared" si="2"/>
        <v>English</v>
      </c>
      <c r="P27" t="str">
        <f t="shared" si="3"/>
        <v>Standard</v>
      </c>
    </row>
    <row r="28" spans="1:16" x14ac:dyDescent="0.3">
      <c r="A28" s="2" t="s">
        <v>69</v>
      </c>
      <c r="B28" s="2" t="s">
        <v>24</v>
      </c>
      <c r="C28" s="3">
        <v>47</v>
      </c>
      <c r="D28" t="s">
        <v>46</v>
      </c>
      <c r="E28" s="2" t="s">
        <v>19</v>
      </c>
      <c r="F28" s="2" t="s">
        <v>20</v>
      </c>
      <c r="G28">
        <v>25</v>
      </c>
      <c r="H28" s="4">
        <v>44517</v>
      </c>
      <c r="I28" s="2" t="s">
        <v>49</v>
      </c>
      <c r="J28" s="2" t="s">
        <v>16</v>
      </c>
      <c r="M28" t="str">
        <f t="shared" si="0"/>
        <v>Female</v>
      </c>
      <c r="N28" t="str">
        <f t="shared" si="1"/>
        <v>Chennai</v>
      </c>
      <c r="O28" t="str">
        <f t="shared" si="2"/>
        <v>Kannada</v>
      </c>
      <c r="P28" t="str">
        <f t="shared" si="3"/>
        <v>Basic</v>
      </c>
    </row>
    <row r="29" spans="1:16" x14ac:dyDescent="0.3">
      <c r="A29" s="2" t="s">
        <v>70</v>
      </c>
      <c r="B29" s="2" t="s">
        <v>11</v>
      </c>
      <c r="C29" s="3">
        <v>26</v>
      </c>
      <c r="D29" t="s">
        <v>18</v>
      </c>
      <c r="E29" s="2" t="s">
        <v>19</v>
      </c>
      <c r="F29" s="2" t="s">
        <v>20</v>
      </c>
      <c r="G29">
        <v>29</v>
      </c>
      <c r="H29" s="4">
        <v>44401</v>
      </c>
      <c r="I29" s="2" t="s">
        <v>49</v>
      </c>
      <c r="J29" s="2" t="s">
        <v>22</v>
      </c>
      <c r="M29" t="str">
        <f t="shared" si="0"/>
        <v>Female</v>
      </c>
      <c r="N29" t="str">
        <f t="shared" si="1"/>
        <v>Chennai</v>
      </c>
      <c r="O29" t="str">
        <f t="shared" si="2"/>
        <v>Kannada</v>
      </c>
      <c r="P29" t="str">
        <f t="shared" si="3"/>
        <v>Premium</v>
      </c>
    </row>
    <row r="30" spans="1:16" x14ac:dyDescent="0.3">
      <c r="A30" s="2" t="s">
        <v>71</v>
      </c>
      <c r="B30" s="2" t="s">
        <v>24</v>
      </c>
      <c r="C30" s="3">
        <v>28</v>
      </c>
      <c r="D30" t="s">
        <v>18</v>
      </c>
      <c r="E30" s="2" t="s">
        <v>13</v>
      </c>
      <c r="F30" s="2" t="s">
        <v>20</v>
      </c>
      <c r="G30">
        <v>35</v>
      </c>
      <c r="H30" s="4">
        <v>44216</v>
      </c>
      <c r="I30" s="2" t="s">
        <v>26</v>
      </c>
      <c r="J30" s="2" t="s">
        <v>22</v>
      </c>
      <c r="M30" t="str">
        <f t="shared" si="0"/>
        <v>Male</v>
      </c>
      <c r="N30" t="str">
        <f t="shared" si="1"/>
        <v>Chennai</v>
      </c>
      <c r="O30" t="str">
        <f t="shared" si="2"/>
        <v>Malayalam</v>
      </c>
      <c r="P30" t="str">
        <f t="shared" si="3"/>
        <v>Premium</v>
      </c>
    </row>
    <row r="31" spans="1:16" x14ac:dyDescent="0.3">
      <c r="A31" s="2" t="s">
        <v>72</v>
      </c>
      <c r="B31" s="2" t="s">
        <v>11</v>
      </c>
      <c r="C31" s="3">
        <v>28</v>
      </c>
      <c r="D31" t="s">
        <v>18</v>
      </c>
      <c r="E31" s="2" t="s">
        <v>13</v>
      </c>
      <c r="F31" s="2" t="s">
        <v>20</v>
      </c>
      <c r="G31">
        <v>11</v>
      </c>
      <c r="H31" s="4">
        <v>44961</v>
      </c>
      <c r="I31" s="2" t="s">
        <v>47</v>
      </c>
      <c r="J31" s="2" t="s">
        <v>16</v>
      </c>
      <c r="M31" t="str">
        <f t="shared" si="0"/>
        <v>Male</v>
      </c>
      <c r="N31" t="str">
        <f t="shared" si="1"/>
        <v>Chennai</v>
      </c>
      <c r="O31" t="str">
        <f t="shared" si="2"/>
        <v>Hindi</v>
      </c>
      <c r="P31" t="str">
        <f t="shared" si="3"/>
        <v>Basic</v>
      </c>
    </row>
    <row r="32" spans="1:16" x14ac:dyDescent="0.3">
      <c r="A32" s="2" t="s">
        <v>73</v>
      </c>
      <c r="B32" s="2" t="s">
        <v>31</v>
      </c>
      <c r="C32" s="3">
        <v>35</v>
      </c>
      <c r="D32" t="s">
        <v>12</v>
      </c>
      <c r="E32" s="2" t="s">
        <v>19</v>
      </c>
      <c r="F32" s="2" t="s">
        <v>25</v>
      </c>
      <c r="G32">
        <v>52</v>
      </c>
      <c r="H32" s="4">
        <v>43725</v>
      </c>
      <c r="I32" s="2" t="s">
        <v>29</v>
      </c>
      <c r="J32" s="2" t="s">
        <v>22</v>
      </c>
      <c r="M32" t="str">
        <f t="shared" si="0"/>
        <v>Female</v>
      </c>
      <c r="N32" t="str">
        <f t="shared" si="1"/>
        <v>Mumbai</v>
      </c>
      <c r="O32" t="str">
        <f t="shared" si="2"/>
        <v>English</v>
      </c>
      <c r="P32" t="str">
        <f t="shared" si="3"/>
        <v>Premium</v>
      </c>
    </row>
    <row r="33" spans="1:16" x14ac:dyDescent="0.3">
      <c r="A33" s="2" t="s">
        <v>74</v>
      </c>
      <c r="B33" s="2" t="s">
        <v>61</v>
      </c>
      <c r="C33" s="3">
        <v>20</v>
      </c>
      <c r="D33" t="s">
        <v>32</v>
      </c>
      <c r="E33" s="2" t="s">
        <v>19</v>
      </c>
      <c r="F33" s="2" t="s">
        <v>36</v>
      </c>
      <c r="G33">
        <v>42</v>
      </c>
      <c r="H33" s="4">
        <v>44008</v>
      </c>
      <c r="I33" s="2" t="s">
        <v>62</v>
      </c>
      <c r="J33" s="2" t="s">
        <v>27</v>
      </c>
      <c r="M33" t="str">
        <f t="shared" si="0"/>
        <v>Female</v>
      </c>
      <c r="N33" t="str">
        <f t="shared" si="1"/>
        <v>Ahmedabad</v>
      </c>
      <c r="O33" t="str">
        <f t="shared" si="2"/>
        <v>Gujarati</v>
      </c>
      <c r="P33" t="str">
        <f t="shared" si="3"/>
        <v>Standard</v>
      </c>
    </row>
    <row r="34" spans="1:16" x14ac:dyDescent="0.3">
      <c r="A34" s="2" t="s">
        <v>75</v>
      </c>
      <c r="B34" s="2" t="s">
        <v>24</v>
      </c>
      <c r="C34" s="3">
        <v>36</v>
      </c>
      <c r="D34" t="s">
        <v>12</v>
      </c>
      <c r="E34" s="2" t="s">
        <v>13</v>
      </c>
      <c r="F34" s="2" t="s">
        <v>36</v>
      </c>
      <c r="G34">
        <v>6</v>
      </c>
      <c r="H34" s="4">
        <v>45104</v>
      </c>
      <c r="I34" s="2" t="s">
        <v>21</v>
      </c>
      <c r="J34" s="2" t="s">
        <v>16</v>
      </c>
      <c r="M34" t="str">
        <f t="shared" si="0"/>
        <v>Male</v>
      </c>
      <c r="N34" t="str">
        <f t="shared" si="1"/>
        <v>Ahmedabad</v>
      </c>
      <c r="O34" t="str">
        <f t="shared" si="2"/>
        <v>Bengali</v>
      </c>
      <c r="P34" t="str">
        <f t="shared" si="3"/>
        <v>Basic</v>
      </c>
    </row>
    <row r="35" spans="1:16" x14ac:dyDescent="0.3">
      <c r="A35" s="2" t="s">
        <v>76</v>
      </c>
      <c r="B35" s="2" t="s">
        <v>11</v>
      </c>
      <c r="C35" s="3">
        <v>25</v>
      </c>
      <c r="D35" t="s">
        <v>18</v>
      </c>
      <c r="E35" s="2" t="s">
        <v>13</v>
      </c>
      <c r="F35" s="2" t="s">
        <v>20</v>
      </c>
      <c r="G35">
        <v>57</v>
      </c>
      <c r="H35" s="4">
        <v>43557</v>
      </c>
      <c r="I35" s="2" t="s">
        <v>49</v>
      </c>
      <c r="J35" s="2" t="s">
        <v>27</v>
      </c>
      <c r="M35" t="str">
        <f t="shared" si="0"/>
        <v>Male</v>
      </c>
      <c r="N35" t="str">
        <f t="shared" si="1"/>
        <v>Chennai</v>
      </c>
      <c r="O35" t="str">
        <f t="shared" si="2"/>
        <v>Kannada</v>
      </c>
      <c r="P35" t="str">
        <f t="shared" si="3"/>
        <v>Standard</v>
      </c>
    </row>
    <row r="36" spans="1:16" x14ac:dyDescent="0.3">
      <c r="A36" s="2" t="s">
        <v>77</v>
      </c>
      <c r="B36" s="2" t="s">
        <v>42</v>
      </c>
      <c r="C36" s="3">
        <v>52</v>
      </c>
      <c r="D36" t="s">
        <v>46</v>
      </c>
      <c r="E36" s="2" t="s">
        <v>19</v>
      </c>
      <c r="F36" s="2" t="s">
        <v>64</v>
      </c>
      <c r="G36">
        <v>37</v>
      </c>
      <c r="H36" s="4">
        <v>44160</v>
      </c>
      <c r="I36" s="2" t="s">
        <v>62</v>
      </c>
      <c r="J36" s="2" t="s">
        <v>22</v>
      </c>
      <c r="M36" t="str">
        <f t="shared" si="0"/>
        <v>Female</v>
      </c>
      <c r="N36" t="str">
        <f t="shared" si="1"/>
        <v>Pune</v>
      </c>
      <c r="O36" t="str">
        <f t="shared" si="2"/>
        <v>Gujarati</v>
      </c>
      <c r="P36" t="str">
        <f t="shared" si="3"/>
        <v>Premium</v>
      </c>
    </row>
    <row r="37" spans="1:16" x14ac:dyDescent="0.3">
      <c r="A37" s="2" t="s">
        <v>78</v>
      </c>
      <c r="B37" s="2" t="s">
        <v>61</v>
      </c>
      <c r="C37" s="3">
        <v>42</v>
      </c>
      <c r="D37" t="s">
        <v>12</v>
      </c>
      <c r="E37" s="2" t="s">
        <v>19</v>
      </c>
      <c r="F37" s="2" t="s">
        <v>64</v>
      </c>
      <c r="G37">
        <v>41</v>
      </c>
      <c r="H37" s="4">
        <v>44050</v>
      </c>
      <c r="I37" s="2" t="s">
        <v>47</v>
      </c>
      <c r="J37" s="2" t="s">
        <v>16</v>
      </c>
      <c r="M37" t="str">
        <f t="shared" si="0"/>
        <v>Female</v>
      </c>
      <c r="N37" t="str">
        <f t="shared" si="1"/>
        <v>Pune</v>
      </c>
      <c r="O37" t="str">
        <f t="shared" si="2"/>
        <v>Hindi</v>
      </c>
      <c r="P37" t="str">
        <f t="shared" si="3"/>
        <v>Basic</v>
      </c>
    </row>
    <row r="38" spans="1:16" x14ac:dyDescent="0.3">
      <c r="A38" s="2" t="s">
        <v>79</v>
      </c>
      <c r="B38" s="2" t="s">
        <v>42</v>
      </c>
      <c r="C38" s="3">
        <v>22</v>
      </c>
      <c r="D38" t="s">
        <v>32</v>
      </c>
      <c r="E38" s="2" t="s">
        <v>19</v>
      </c>
      <c r="F38" s="2" t="s">
        <v>14</v>
      </c>
      <c r="G38">
        <v>57</v>
      </c>
      <c r="H38" s="4">
        <v>43553</v>
      </c>
      <c r="I38" s="2" t="s">
        <v>29</v>
      </c>
      <c r="J38" s="2" t="s">
        <v>27</v>
      </c>
      <c r="M38" t="str">
        <f t="shared" si="0"/>
        <v>Female</v>
      </c>
      <c r="N38" t="str">
        <f t="shared" si="1"/>
        <v>Kolkata</v>
      </c>
      <c r="O38" t="str">
        <f t="shared" si="2"/>
        <v>English</v>
      </c>
      <c r="P38" t="str">
        <f t="shared" si="3"/>
        <v>Standard</v>
      </c>
    </row>
    <row r="39" spans="1:16" x14ac:dyDescent="0.3">
      <c r="A39" s="2" t="s">
        <v>80</v>
      </c>
      <c r="B39" s="2" t="s">
        <v>31</v>
      </c>
      <c r="C39" s="3">
        <v>22</v>
      </c>
      <c r="D39" t="s">
        <v>32</v>
      </c>
      <c r="E39" s="2" t="s">
        <v>13</v>
      </c>
      <c r="F39" s="2" t="s">
        <v>54</v>
      </c>
      <c r="G39">
        <v>33</v>
      </c>
      <c r="H39" s="4">
        <v>44293</v>
      </c>
      <c r="I39" s="2" t="s">
        <v>29</v>
      </c>
      <c r="J39" s="2" t="s">
        <v>27</v>
      </c>
      <c r="M39" t="str">
        <f t="shared" si="0"/>
        <v>Male</v>
      </c>
      <c r="N39" t="str">
        <f t="shared" si="1"/>
        <v>Bangalore</v>
      </c>
      <c r="O39" t="str">
        <f t="shared" si="2"/>
        <v>English</v>
      </c>
      <c r="P39" t="str">
        <f t="shared" si="3"/>
        <v>Standard</v>
      </c>
    </row>
    <row r="40" spans="1:16" x14ac:dyDescent="0.3">
      <c r="A40" s="2" t="s">
        <v>81</v>
      </c>
      <c r="B40" s="2" t="s">
        <v>61</v>
      </c>
      <c r="C40" s="3">
        <v>25</v>
      </c>
      <c r="D40" t="s">
        <v>18</v>
      </c>
      <c r="E40" s="2" t="s">
        <v>19</v>
      </c>
      <c r="F40" s="2" t="s">
        <v>64</v>
      </c>
      <c r="G40">
        <v>28</v>
      </c>
      <c r="H40" s="4">
        <v>44450</v>
      </c>
      <c r="I40" s="2" t="s">
        <v>15</v>
      </c>
      <c r="J40" s="2" t="s">
        <v>16</v>
      </c>
      <c r="M40" t="str">
        <f t="shared" si="0"/>
        <v>Female</v>
      </c>
      <c r="N40" t="str">
        <f t="shared" si="1"/>
        <v>Pune</v>
      </c>
      <c r="O40" t="str">
        <f t="shared" si="2"/>
        <v>Telugu</v>
      </c>
      <c r="P40" t="str">
        <f t="shared" si="3"/>
        <v>Basic</v>
      </c>
    </row>
    <row r="41" spans="1:16" x14ac:dyDescent="0.3">
      <c r="A41" s="2" t="s">
        <v>82</v>
      </c>
      <c r="B41" s="2" t="s">
        <v>31</v>
      </c>
      <c r="C41" s="3">
        <v>24</v>
      </c>
      <c r="D41" t="s">
        <v>32</v>
      </c>
      <c r="E41" s="2" t="s">
        <v>19</v>
      </c>
      <c r="F41" s="2" t="s">
        <v>56</v>
      </c>
      <c r="G41">
        <v>5</v>
      </c>
      <c r="H41" s="4">
        <v>45121</v>
      </c>
      <c r="I41" s="2" t="s">
        <v>62</v>
      </c>
      <c r="J41" s="2" t="s">
        <v>27</v>
      </c>
      <c r="M41" t="str">
        <f t="shared" si="0"/>
        <v>Female</v>
      </c>
      <c r="N41" t="str">
        <f t="shared" si="1"/>
        <v>Hyderabad</v>
      </c>
      <c r="O41" t="str">
        <f t="shared" si="2"/>
        <v>Gujarati</v>
      </c>
      <c r="P41" t="str">
        <f t="shared" si="3"/>
        <v>Standard</v>
      </c>
    </row>
    <row r="42" spans="1:16" x14ac:dyDescent="0.3">
      <c r="A42" s="2" t="s">
        <v>83</v>
      </c>
      <c r="B42" s="2" t="s">
        <v>61</v>
      </c>
      <c r="C42" s="3">
        <v>35</v>
      </c>
      <c r="D42" t="s">
        <v>12</v>
      </c>
      <c r="E42" s="2" t="s">
        <v>13</v>
      </c>
      <c r="F42" s="2" t="s">
        <v>33</v>
      </c>
      <c r="G42">
        <v>53</v>
      </c>
      <c r="H42" s="4">
        <v>43676</v>
      </c>
      <c r="I42" s="2" t="s">
        <v>26</v>
      </c>
      <c r="J42" s="2" t="s">
        <v>27</v>
      </c>
      <c r="M42" t="str">
        <f t="shared" si="0"/>
        <v>Male</v>
      </c>
      <c r="N42" t="str">
        <f t="shared" si="1"/>
        <v>Jaipur</v>
      </c>
      <c r="O42" t="str">
        <f t="shared" si="2"/>
        <v>Malayalam</v>
      </c>
      <c r="P42" t="str">
        <f t="shared" si="3"/>
        <v>Standard</v>
      </c>
    </row>
    <row r="43" spans="1:16" x14ac:dyDescent="0.3">
      <c r="A43" s="2" t="s">
        <v>84</v>
      </c>
      <c r="B43" s="2" t="s">
        <v>11</v>
      </c>
      <c r="C43" s="3">
        <v>18</v>
      </c>
      <c r="D43" t="s">
        <v>32</v>
      </c>
      <c r="E43" s="2" t="s">
        <v>13</v>
      </c>
      <c r="F43" s="2" t="s">
        <v>25</v>
      </c>
      <c r="G43">
        <v>34</v>
      </c>
      <c r="H43" s="4">
        <v>44250</v>
      </c>
      <c r="I43" s="2" t="s">
        <v>34</v>
      </c>
      <c r="J43" s="2" t="s">
        <v>16</v>
      </c>
      <c r="M43" t="str">
        <f t="shared" si="0"/>
        <v>Male</v>
      </c>
      <c r="N43" t="str">
        <f t="shared" si="1"/>
        <v>Mumbai</v>
      </c>
      <c r="O43" t="str">
        <f t="shared" si="2"/>
        <v>Marathi</v>
      </c>
      <c r="P43" t="str">
        <f t="shared" si="3"/>
        <v>Basic</v>
      </c>
    </row>
    <row r="44" spans="1:16" x14ac:dyDescent="0.3">
      <c r="A44" s="2" t="s">
        <v>85</v>
      </c>
      <c r="B44" s="2" t="s">
        <v>31</v>
      </c>
      <c r="C44" s="3">
        <v>33</v>
      </c>
      <c r="D44" t="s">
        <v>18</v>
      </c>
      <c r="E44" s="2" t="s">
        <v>13</v>
      </c>
      <c r="F44" s="2" t="s">
        <v>33</v>
      </c>
      <c r="G44">
        <v>52</v>
      </c>
      <c r="H44" s="4">
        <v>43710</v>
      </c>
      <c r="I44" s="2" t="s">
        <v>15</v>
      </c>
      <c r="J44" s="2" t="s">
        <v>22</v>
      </c>
      <c r="M44" t="str">
        <f t="shared" si="0"/>
        <v>Male</v>
      </c>
      <c r="N44" t="str">
        <f t="shared" si="1"/>
        <v>Jaipur</v>
      </c>
      <c r="O44" t="str">
        <f t="shared" si="2"/>
        <v>Telugu</v>
      </c>
      <c r="P44" t="str">
        <f t="shared" si="3"/>
        <v>Premium</v>
      </c>
    </row>
    <row r="45" spans="1:16" x14ac:dyDescent="0.3">
      <c r="A45" s="2" t="s">
        <v>86</v>
      </c>
      <c r="B45" s="2" t="s">
        <v>11</v>
      </c>
      <c r="C45" s="3">
        <v>22</v>
      </c>
      <c r="D45" t="s">
        <v>32</v>
      </c>
      <c r="E45" s="2" t="s">
        <v>13</v>
      </c>
      <c r="F45" s="2" t="s">
        <v>33</v>
      </c>
      <c r="G45">
        <v>23</v>
      </c>
      <c r="H45" s="4">
        <v>44585</v>
      </c>
      <c r="I45" s="2" t="s">
        <v>34</v>
      </c>
      <c r="J45" s="2" t="s">
        <v>22</v>
      </c>
      <c r="M45" t="str">
        <f t="shared" si="0"/>
        <v>Male</v>
      </c>
      <c r="N45" t="str">
        <f t="shared" si="1"/>
        <v>Jaipur</v>
      </c>
      <c r="O45" t="str">
        <f t="shared" si="2"/>
        <v>Marathi</v>
      </c>
      <c r="P45" t="str">
        <f t="shared" si="3"/>
        <v>Premium</v>
      </c>
    </row>
    <row r="46" spans="1:16" x14ac:dyDescent="0.3">
      <c r="A46" s="2" t="s">
        <v>87</v>
      </c>
      <c r="B46" s="2" t="s">
        <v>11</v>
      </c>
      <c r="C46" s="3">
        <v>21</v>
      </c>
      <c r="D46" t="s">
        <v>32</v>
      </c>
      <c r="E46" s="2" t="s">
        <v>13</v>
      </c>
      <c r="F46" s="2" t="s">
        <v>88</v>
      </c>
      <c r="G46">
        <v>52</v>
      </c>
      <c r="H46" s="4">
        <v>43706</v>
      </c>
      <c r="I46" s="2" t="s">
        <v>62</v>
      </c>
      <c r="J46" s="2" t="s">
        <v>27</v>
      </c>
      <c r="M46" t="str">
        <f t="shared" si="0"/>
        <v>Male</v>
      </c>
      <c r="N46" t="str">
        <f t="shared" si="1"/>
        <v>Lucknow</v>
      </c>
      <c r="O46" t="str">
        <f t="shared" si="2"/>
        <v>Gujarati</v>
      </c>
      <c r="P46" t="str">
        <f t="shared" si="3"/>
        <v>Standard</v>
      </c>
    </row>
    <row r="47" spans="1:16" x14ac:dyDescent="0.3">
      <c r="A47" s="2" t="s">
        <v>89</v>
      </c>
      <c r="B47" s="2" t="s">
        <v>24</v>
      </c>
      <c r="C47" s="3">
        <v>40</v>
      </c>
      <c r="D47" t="s">
        <v>12</v>
      </c>
      <c r="E47" s="2" t="s">
        <v>19</v>
      </c>
      <c r="F47" s="2" t="s">
        <v>36</v>
      </c>
      <c r="G47">
        <v>8</v>
      </c>
      <c r="H47" s="4">
        <v>45052</v>
      </c>
      <c r="I47" s="2" t="s">
        <v>47</v>
      </c>
      <c r="J47" s="2" t="s">
        <v>27</v>
      </c>
      <c r="M47" t="str">
        <f t="shared" si="0"/>
        <v>Female</v>
      </c>
      <c r="N47" t="str">
        <f t="shared" si="1"/>
        <v>Ahmedabad</v>
      </c>
      <c r="O47" t="str">
        <f t="shared" si="2"/>
        <v>Hindi</v>
      </c>
      <c r="P47" t="str">
        <f t="shared" si="3"/>
        <v>Standard</v>
      </c>
    </row>
    <row r="48" spans="1:16" x14ac:dyDescent="0.3">
      <c r="A48" s="2" t="s">
        <v>90</v>
      </c>
      <c r="B48" s="2" t="s">
        <v>11</v>
      </c>
      <c r="C48" s="3">
        <v>20</v>
      </c>
      <c r="D48" t="s">
        <v>32</v>
      </c>
      <c r="E48" s="2" t="s">
        <v>13</v>
      </c>
      <c r="F48" s="2" t="s">
        <v>88</v>
      </c>
      <c r="G48">
        <v>21</v>
      </c>
      <c r="H48" s="4">
        <v>44640</v>
      </c>
      <c r="I48" s="2" t="s">
        <v>29</v>
      </c>
      <c r="J48" s="2" t="s">
        <v>65</v>
      </c>
      <c r="M48" t="str">
        <f t="shared" si="0"/>
        <v>Male</v>
      </c>
      <c r="N48" t="str">
        <f t="shared" si="1"/>
        <v>Lucknow</v>
      </c>
      <c r="O48" t="str">
        <f t="shared" si="2"/>
        <v>English</v>
      </c>
      <c r="P48" t="str">
        <f t="shared" si="3"/>
        <v>Family</v>
      </c>
    </row>
    <row r="49" spans="1:16" x14ac:dyDescent="0.3">
      <c r="A49" s="2" t="s">
        <v>91</v>
      </c>
      <c r="B49" s="2" t="s">
        <v>24</v>
      </c>
      <c r="C49" s="3">
        <v>45</v>
      </c>
      <c r="D49" t="s">
        <v>46</v>
      </c>
      <c r="E49" s="2" t="s">
        <v>19</v>
      </c>
      <c r="F49" s="2" t="s">
        <v>25</v>
      </c>
      <c r="G49">
        <v>42</v>
      </c>
      <c r="H49" s="4">
        <v>44014</v>
      </c>
      <c r="I49" s="2" t="s">
        <v>29</v>
      </c>
      <c r="J49" s="2" t="s">
        <v>65</v>
      </c>
      <c r="M49" t="str">
        <f t="shared" si="0"/>
        <v>Female</v>
      </c>
      <c r="N49" t="str">
        <f t="shared" si="1"/>
        <v>Mumbai</v>
      </c>
      <c r="O49" t="str">
        <f t="shared" si="2"/>
        <v>English</v>
      </c>
      <c r="P49" t="str">
        <f t="shared" si="3"/>
        <v>Family</v>
      </c>
    </row>
    <row r="50" spans="1:16" x14ac:dyDescent="0.3">
      <c r="A50" s="2" t="s">
        <v>92</v>
      </c>
      <c r="B50" s="2" t="s">
        <v>24</v>
      </c>
      <c r="C50" s="3">
        <v>30</v>
      </c>
      <c r="D50" t="s">
        <v>18</v>
      </c>
      <c r="E50" s="2" t="s">
        <v>13</v>
      </c>
      <c r="F50" s="2" t="s">
        <v>14</v>
      </c>
      <c r="G50">
        <v>49</v>
      </c>
      <c r="H50" s="4">
        <v>43815</v>
      </c>
      <c r="I50" s="2" t="s">
        <v>21</v>
      </c>
      <c r="J50" s="2" t="s">
        <v>22</v>
      </c>
      <c r="M50" t="str">
        <f t="shared" si="0"/>
        <v>Male</v>
      </c>
      <c r="N50" t="str">
        <f t="shared" si="1"/>
        <v>Kolkata</v>
      </c>
      <c r="O50" t="str">
        <f t="shared" si="2"/>
        <v>Bengali</v>
      </c>
      <c r="P50" t="str">
        <f t="shared" si="3"/>
        <v>Premium</v>
      </c>
    </row>
    <row r="51" spans="1:16" x14ac:dyDescent="0.3">
      <c r="A51" s="2" t="s">
        <v>93</v>
      </c>
      <c r="B51" s="2" t="s">
        <v>61</v>
      </c>
      <c r="C51" s="3">
        <v>21</v>
      </c>
      <c r="D51" t="s">
        <v>32</v>
      </c>
      <c r="E51" s="2" t="s">
        <v>19</v>
      </c>
      <c r="F51" s="2" t="s">
        <v>38</v>
      </c>
      <c r="G51">
        <v>5</v>
      </c>
      <c r="H51" s="4">
        <v>45140</v>
      </c>
      <c r="I51" s="2" t="s">
        <v>39</v>
      </c>
      <c r="J51" s="2" t="s">
        <v>22</v>
      </c>
      <c r="M51" t="str">
        <f t="shared" si="0"/>
        <v>Female</v>
      </c>
      <c r="N51" t="str">
        <f t="shared" si="1"/>
        <v>Delhi</v>
      </c>
      <c r="O51" t="str">
        <f t="shared" si="2"/>
        <v>Tamil</v>
      </c>
      <c r="P51" t="str">
        <f t="shared" si="3"/>
        <v>Premium</v>
      </c>
    </row>
    <row r="52" spans="1:16" x14ac:dyDescent="0.3">
      <c r="A52" s="2" t="s">
        <v>94</v>
      </c>
      <c r="B52" s="2" t="s">
        <v>24</v>
      </c>
      <c r="C52" s="3">
        <v>18</v>
      </c>
      <c r="D52" t="s">
        <v>32</v>
      </c>
      <c r="E52" s="2" t="s">
        <v>13</v>
      </c>
      <c r="F52" s="2" t="s">
        <v>25</v>
      </c>
      <c r="G52">
        <v>30</v>
      </c>
      <c r="H52" s="4">
        <v>44378</v>
      </c>
      <c r="I52" s="2" t="s">
        <v>34</v>
      </c>
      <c r="J52" s="2" t="s">
        <v>27</v>
      </c>
      <c r="M52" t="str">
        <f t="shared" si="0"/>
        <v>Male</v>
      </c>
      <c r="N52" t="str">
        <f t="shared" si="1"/>
        <v>Mumbai</v>
      </c>
      <c r="O52" t="str">
        <f t="shared" si="2"/>
        <v>Marathi</v>
      </c>
      <c r="P52" t="str">
        <f t="shared" si="3"/>
        <v>Standard</v>
      </c>
    </row>
    <row r="53" spans="1:16" x14ac:dyDescent="0.3">
      <c r="A53" s="2" t="s">
        <v>95</v>
      </c>
      <c r="B53" s="2" t="s">
        <v>31</v>
      </c>
      <c r="C53" s="3">
        <v>37</v>
      </c>
      <c r="D53" t="s">
        <v>12</v>
      </c>
      <c r="E53" s="2" t="s">
        <v>19</v>
      </c>
      <c r="F53" s="2" t="s">
        <v>36</v>
      </c>
      <c r="G53">
        <v>36</v>
      </c>
      <c r="H53" s="4">
        <v>44200</v>
      </c>
      <c r="I53" s="2" t="s">
        <v>26</v>
      </c>
      <c r="J53" s="2" t="s">
        <v>65</v>
      </c>
      <c r="M53" t="str">
        <f t="shared" si="0"/>
        <v>Female</v>
      </c>
      <c r="N53" t="str">
        <f t="shared" si="1"/>
        <v>Ahmedabad</v>
      </c>
      <c r="O53" t="str">
        <f t="shared" si="2"/>
        <v>Malayalam</v>
      </c>
      <c r="P53" t="str">
        <f t="shared" si="3"/>
        <v>Family</v>
      </c>
    </row>
    <row r="54" spans="1:16" x14ac:dyDescent="0.3">
      <c r="A54" s="2" t="s">
        <v>96</v>
      </c>
      <c r="B54" s="2" t="s">
        <v>31</v>
      </c>
      <c r="C54" s="3">
        <v>35</v>
      </c>
      <c r="D54" t="s">
        <v>12</v>
      </c>
      <c r="E54" s="2" t="s">
        <v>13</v>
      </c>
      <c r="F54" s="2" t="s">
        <v>36</v>
      </c>
      <c r="G54">
        <v>20</v>
      </c>
      <c r="H54" s="4">
        <v>44672</v>
      </c>
      <c r="I54" s="2" t="s">
        <v>49</v>
      </c>
      <c r="J54" s="2" t="s">
        <v>22</v>
      </c>
      <c r="M54" t="str">
        <f t="shared" si="0"/>
        <v>Male</v>
      </c>
      <c r="N54" t="str">
        <f t="shared" si="1"/>
        <v>Ahmedabad</v>
      </c>
      <c r="O54" t="str">
        <f t="shared" si="2"/>
        <v>Kannada</v>
      </c>
      <c r="P54" t="str">
        <f t="shared" si="3"/>
        <v>Premium</v>
      </c>
    </row>
    <row r="55" spans="1:16" x14ac:dyDescent="0.3">
      <c r="A55" s="2" t="s">
        <v>97</v>
      </c>
      <c r="B55" s="2" t="s">
        <v>24</v>
      </c>
      <c r="C55" s="3">
        <v>39</v>
      </c>
      <c r="D55" t="s">
        <v>12</v>
      </c>
      <c r="E55" s="2" t="s">
        <v>13</v>
      </c>
      <c r="F55" s="2" t="s">
        <v>33</v>
      </c>
      <c r="G55">
        <v>25</v>
      </c>
      <c r="H55" s="4">
        <v>44522</v>
      </c>
      <c r="I55" s="2" t="s">
        <v>26</v>
      </c>
      <c r="J55" s="2" t="s">
        <v>27</v>
      </c>
      <c r="M55" t="str">
        <f t="shared" si="0"/>
        <v>Male</v>
      </c>
      <c r="N55" t="str">
        <f t="shared" si="1"/>
        <v>Jaipur</v>
      </c>
      <c r="O55" t="str">
        <f t="shared" si="2"/>
        <v>Malayalam</v>
      </c>
      <c r="P55" t="str">
        <f t="shared" si="3"/>
        <v>Standard</v>
      </c>
    </row>
    <row r="56" spans="1:16" x14ac:dyDescent="0.3">
      <c r="A56" s="2" t="s">
        <v>98</v>
      </c>
      <c r="B56" s="2" t="s">
        <v>31</v>
      </c>
      <c r="C56" s="3">
        <v>35</v>
      </c>
      <c r="D56" t="s">
        <v>12</v>
      </c>
      <c r="E56" s="2" t="s">
        <v>13</v>
      </c>
      <c r="F56" s="2" t="s">
        <v>33</v>
      </c>
      <c r="G56">
        <v>1</v>
      </c>
      <c r="H56" s="4">
        <v>45234</v>
      </c>
      <c r="I56" s="2" t="s">
        <v>62</v>
      </c>
      <c r="J56" s="2" t="s">
        <v>27</v>
      </c>
      <c r="M56" t="str">
        <f t="shared" si="0"/>
        <v>Male</v>
      </c>
      <c r="N56" t="str">
        <f t="shared" si="1"/>
        <v>Jaipur</v>
      </c>
      <c r="O56" t="str">
        <f t="shared" si="2"/>
        <v>Gujarati</v>
      </c>
      <c r="P56" t="str">
        <f t="shared" si="3"/>
        <v>Standard</v>
      </c>
    </row>
    <row r="57" spans="1:16" x14ac:dyDescent="0.3">
      <c r="A57" s="2" t="s">
        <v>99</v>
      </c>
      <c r="B57" s="2" t="s">
        <v>31</v>
      </c>
      <c r="C57" s="3">
        <v>25</v>
      </c>
      <c r="D57" t="s">
        <v>18</v>
      </c>
      <c r="E57" s="2" t="s">
        <v>19</v>
      </c>
      <c r="F57" s="2" t="s">
        <v>36</v>
      </c>
      <c r="G57">
        <v>17</v>
      </c>
      <c r="H57" s="4">
        <v>44763</v>
      </c>
      <c r="I57" s="2" t="s">
        <v>26</v>
      </c>
      <c r="J57" s="2" t="s">
        <v>27</v>
      </c>
      <c r="M57" t="str">
        <f t="shared" si="0"/>
        <v>Female</v>
      </c>
      <c r="N57" t="str">
        <f t="shared" si="1"/>
        <v>Ahmedabad</v>
      </c>
      <c r="O57" t="str">
        <f t="shared" si="2"/>
        <v>Malayalam</v>
      </c>
      <c r="P57" t="str">
        <f t="shared" si="3"/>
        <v>Standard</v>
      </c>
    </row>
    <row r="58" spans="1:16" x14ac:dyDescent="0.3">
      <c r="A58" s="2" t="s">
        <v>100</v>
      </c>
      <c r="B58" s="2" t="s">
        <v>42</v>
      </c>
      <c r="C58" s="3">
        <v>32</v>
      </c>
      <c r="D58" t="s">
        <v>18</v>
      </c>
      <c r="E58" s="2" t="s">
        <v>13</v>
      </c>
      <c r="F58" s="2" t="s">
        <v>25</v>
      </c>
      <c r="G58">
        <v>20</v>
      </c>
      <c r="H58" s="4">
        <v>44683</v>
      </c>
      <c r="I58" s="2" t="s">
        <v>21</v>
      </c>
      <c r="J58" s="2" t="s">
        <v>22</v>
      </c>
      <c r="M58" t="str">
        <f t="shared" si="0"/>
        <v>Male</v>
      </c>
      <c r="N58" t="str">
        <f t="shared" si="1"/>
        <v>Mumbai</v>
      </c>
      <c r="O58" t="str">
        <f t="shared" si="2"/>
        <v>Bengali</v>
      </c>
      <c r="P58" t="str">
        <f t="shared" si="3"/>
        <v>Premium</v>
      </c>
    </row>
    <row r="59" spans="1:16" x14ac:dyDescent="0.3">
      <c r="A59" s="2" t="s">
        <v>101</v>
      </c>
      <c r="B59" s="2" t="s">
        <v>24</v>
      </c>
      <c r="C59" s="3">
        <v>23</v>
      </c>
      <c r="D59" t="s">
        <v>32</v>
      </c>
      <c r="E59" s="2" t="s">
        <v>13</v>
      </c>
      <c r="F59" s="2" t="s">
        <v>20</v>
      </c>
      <c r="G59">
        <v>40</v>
      </c>
      <c r="H59" s="4">
        <v>44091</v>
      </c>
      <c r="I59" s="2" t="s">
        <v>49</v>
      </c>
      <c r="J59" s="2" t="s">
        <v>16</v>
      </c>
      <c r="M59" t="str">
        <f t="shared" si="0"/>
        <v>Male</v>
      </c>
      <c r="N59" t="str">
        <f t="shared" si="1"/>
        <v>Chennai</v>
      </c>
      <c r="O59" t="str">
        <f t="shared" si="2"/>
        <v>Kannada</v>
      </c>
      <c r="P59" t="str">
        <f t="shared" si="3"/>
        <v>Basic</v>
      </c>
    </row>
    <row r="60" spans="1:16" x14ac:dyDescent="0.3">
      <c r="A60" s="2" t="s">
        <v>102</v>
      </c>
      <c r="B60" s="2" t="s">
        <v>31</v>
      </c>
      <c r="C60" s="3">
        <v>21</v>
      </c>
      <c r="D60" t="s">
        <v>32</v>
      </c>
      <c r="E60" s="2" t="s">
        <v>19</v>
      </c>
      <c r="F60" s="2" t="s">
        <v>54</v>
      </c>
      <c r="G60">
        <v>35</v>
      </c>
      <c r="H60" s="4">
        <v>44234</v>
      </c>
      <c r="I60" s="2" t="s">
        <v>34</v>
      </c>
      <c r="J60" s="2" t="s">
        <v>22</v>
      </c>
      <c r="M60" t="str">
        <f t="shared" si="0"/>
        <v>Female</v>
      </c>
      <c r="N60" t="str">
        <f t="shared" si="1"/>
        <v>Bangalore</v>
      </c>
      <c r="O60" t="str">
        <f t="shared" si="2"/>
        <v>Marathi</v>
      </c>
      <c r="P60" t="str">
        <f t="shared" si="3"/>
        <v>Premium</v>
      </c>
    </row>
    <row r="61" spans="1:16" x14ac:dyDescent="0.3">
      <c r="A61" s="2" t="s">
        <v>103</v>
      </c>
      <c r="B61" s="2" t="s">
        <v>42</v>
      </c>
      <c r="C61" s="3">
        <v>18</v>
      </c>
      <c r="D61" t="s">
        <v>32</v>
      </c>
      <c r="E61" s="2" t="s">
        <v>13</v>
      </c>
      <c r="F61" s="2" t="s">
        <v>88</v>
      </c>
      <c r="G61">
        <v>48</v>
      </c>
      <c r="H61" s="4">
        <v>43844</v>
      </c>
      <c r="I61" s="2" t="s">
        <v>49</v>
      </c>
      <c r="J61" s="2" t="s">
        <v>27</v>
      </c>
      <c r="M61" t="str">
        <f t="shared" si="0"/>
        <v>Male</v>
      </c>
      <c r="N61" t="str">
        <f t="shared" si="1"/>
        <v>Lucknow</v>
      </c>
      <c r="O61" t="str">
        <f t="shared" si="2"/>
        <v>Kannada</v>
      </c>
      <c r="P61" t="str">
        <f t="shared" si="3"/>
        <v>Standard</v>
      </c>
    </row>
    <row r="62" spans="1:16" x14ac:dyDescent="0.3">
      <c r="A62" s="2" t="s">
        <v>104</v>
      </c>
      <c r="B62" s="2" t="s">
        <v>61</v>
      </c>
      <c r="C62" s="3">
        <v>27</v>
      </c>
      <c r="D62" t="s">
        <v>18</v>
      </c>
      <c r="E62" s="2" t="s">
        <v>105</v>
      </c>
      <c r="F62" s="2" t="s">
        <v>38</v>
      </c>
      <c r="G62">
        <v>30</v>
      </c>
      <c r="H62" s="4">
        <v>44374</v>
      </c>
      <c r="I62" s="2" t="s">
        <v>29</v>
      </c>
      <c r="J62" s="2" t="s">
        <v>22</v>
      </c>
      <c r="M62" t="str">
        <f t="shared" si="0"/>
        <v>Non-Binary</v>
      </c>
      <c r="N62" t="str">
        <f t="shared" si="1"/>
        <v>Delhi</v>
      </c>
      <c r="O62" t="str">
        <f t="shared" si="2"/>
        <v>English</v>
      </c>
      <c r="P62" t="str">
        <f t="shared" si="3"/>
        <v>Premium</v>
      </c>
    </row>
    <row r="63" spans="1:16" x14ac:dyDescent="0.3">
      <c r="A63" s="2" t="s">
        <v>106</v>
      </c>
      <c r="B63" s="2" t="s">
        <v>31</v>
      </c>
      <c r="C63" s="3">
        <v>26</v>
      </c>
      <c r="D63" t="s">
        <v>18</v>
      </c>
      <c r="E63" s="2" t="s">
        <v>19</v>
      </c>
      <c r="F63" s="2" t="s">
        <v>88</v>
      </c>
      <c r="G63">
        <v>47</v>
      </c>
      <c r="H63" s="4">
        <v>43866</v>
      </c>
      <c r="I63" s="2" t="s">
        <v>39</v>
      </c>
      <c r="J63" s="2" t="s">
        <v>16</v>
      </c>
      <c r="M63" t="str">
        <f t="shared" si="0"/>
        <v>Female</v>
      </c>
      <c r="N63" t="str">
        <f t="shared" si="1"/>
        <v>Lucknow</v>
      </c>
      <c r="O63" t="str">
        <f t="shared" si="2"/>
        <v>Tamil</v>
      </c>
      <c r="P63" t="str">
        <f t="shared" si="3"/>
        <v>Basic</v>
      </c>
    </row>
    <row r="64" spans="1:16" x14ac:dyDescent="0.3">
      <c r="A64" s="2" t="s">
        <v>107</v>
      </c>
      <c r="B64" s="2" t="s">
        <v>11</v>
      </c>
      <c r="C64" s="3">
        <v>25</v>
      </c>
      <c r="D64" t="s">
        <v>18</v>
      </c>
      <c r="E64" s="2" t="s">
        <v>19</v>
      </c>
      <c r="F64" s="2" t="s">
        <v>36</v>
      </c>
      <c r="G64">
        <v>20</v>
      </c>
      <c r="H64" s="4">
        <v>44673</v>
      </c>
      <c r="I64" s="2" t="s">
        <v>62</v>
      </c>
      <c r="J64" s="2" t="s">
        <v>16</v>
      </c>
      <c r="M64" t="str">
        <f t="shared" si="0"/>
        <v>Female</v>
      </c>
      <c r="N64" t="str">
        <f t="shared" si="1"/>
        <v>Ahmedabad</v>
      </c>
      <c r="O64" t="str">
        <f t="shared" si="2"/>
        <v>Gujarati</v>
      </c>
      <c r="P64" t="str">
        <f t="shared" si="3"/>
        <v>Basic</v>
      </c>
    </row>
    <row r="65" spans="1:16" x14ac:dyDescent="0.3">
      <c r="A65" s="2" t="s">
        <v>108</v>
      </c>
      <c r="B65" s="2" t="s">
        <v>42</v>
      </c>
      <c r="C65" s="3">
        <v>38</v>
      </c>
      <c r="D65" t="s">
        <v>12</v>
      </c>
      <c r="E65" s="2" t="s">
        <v>13</v>
      </c>
      <c r="F65" s="2" t="s">
        <v>64</v>
      </c>
      <c r="G65">
        <v>40</v>
      </c>
      <c r="H65" s="4">
        <v>44091</v>
      </c>
      <c r="I65" s="2" t="s">
        <v>34</v>
      </c>
      <c r="J65" s="2" t="s">
        <v>27</v>
      </c>
      <c r="M65" t="str">
        <f t="shared" si="0"/>
        <v>Male</v>
      </c>
      <c r="N65" t="str">
        <f t="shared" si="1"/>
        <v>Pune</v>
      </c>
      <c r="O65" t="str">
        <f t="shared" si="2"/>
        <v>Marathi</v>
      </c>
      <c r="P65" t="str">
        <f t="shared" si="3"/>
        <v>Standard</v>
      </c>
    </row>
    <row r="66" spans="1:16" x14ac:dyDescent="0.3">
      <c r="A66" s="2" t="s">
        <v>109</v>
      </c>
      <c r="B66" s="2" t="s">
        <v>61</v>
      </c>
      <c r="C66" s="3">
        <v>43</v>
      </c>
      <c r="D66" t="s">
        <v>12</v>
      </c>
      <c r="E66" s="2" t="s">
        <v>19</v>
      </c>
      <c r="F66" s="2" t="s">
        <v>14</v>
      </c>
      <c r="G66">
        <v>53</v>
      </c>
      <c r="H66" s="4">
        <v>43674</v>
      </c>
      <c r="I66" s="2" t="s">
        <v>15</v>
      </c>
      <c r="J66" s="2" t="s">
        <v>27</v>
      </c>
      <c r="M66" t="str">
        <f t="shared" si="0"/>
        <v>Female</v>
      </c>
      <c r="N66" t="str">
        <f t="shared" si="1"/>
        <v>Kolkata</v>
      </c>
      <c r="O66" t="str">
        <f t="shared" si="2"/>
        <v>Telugu</v>
      </c>
      <c r="P66" t="str">
        <f t="shared" si="3"/>
        <v>Standard</v>
      </c>
    </row>
    <row r="67" spans="1:16" x14ac:dyDescent="0.3">
      <c r="A67" s="2" t="s">
        <v>110</v>
      </c>
      <c r="B67" s="2" t="s">
        <v>24</v>
      </c>
      <c r="C67" s="3">
        <v>44</v>
      </c>
      <c r="D67" t="s">
        <v>12</v>
      </c>
      <c r="E67" s="2" t="s">
        <v>13</v>
      </c>
      <c r="F67" s="2" t="s">
        <v>88</v>
      </c>
      <c r="G67">
        <v>25</v>
      </c>
      <c r="H67" s="4">
        <v>44515</v>
      </c>
      <c r="I67" s="2" t="s">
        <v>39</v>
      </c>
      <c r="J67" s="2" t="s">
        <v>16</v>
      </c>
      <c r="M67" t="str">
        <f t="shared" ref="M67:M130" si="4">TRIM(E67)</f>
        <v>Male</v>
      </c>
      <c r="N67" t="str">
        <f t="shared" ref="N67:N130" si="5">TRIM(F67)</f>
        <v>Lucknow</v>
      </c>
      <c r="O67" t="str">
        <f t="shared" ref="O67:O130" si="6">TRIM(I67)</f>
        <v>Tamil</v>
      </c>
      <c r="P67" t="str">
        <f t="shared" ref="P67:P130" si="7">TRIM(J67)</f>
        <v>Basic</v>
      </c>
    </row>
    <row r="68" spans="1:16" x14ac:dyDescent="0.3">
      <c r="A68" s="2" t="s">
        <v>111</v>
      </c>
      <c r="B68" s="2" t="s">
        <v>31</v>
      </c>
      <c r="C68" s="3">
        <v>31</v>
      </c>
      <c r="D68" t="s">
        <v>18</v>
      </c>
      <c r="E68" s="2" t="s">
        <v>19</v>
      </c>
      <c r="F68" s="2" t="s">
        <v>36</v>
      </c>
      <c r="G68">
        <v>56</v>
      </c>
      <c r="H68" s="4">
        <v>43611</v>
      </c>
      <c r="I68" s="2" t="s">
        <v>21</v>
      </c>
      <c r="J68" s="2" t="s">
        <v>22</v>
      </c>
      <c r="M68" t="str">
        <f t="shared" si="4"/>
        <v>Female</v>
      </c>
      <c r="N68" t="str">
        <f t="shared" si="5"/>
        <v>Ahmedabad</v>
      </c>
      <c r="O68" t="str">
        <f t="shared" si="6"/>
        <v>Bengali</v>
      </c>
      <c r="P68" t="str">
        <f t="shared" si="7"/>
        <v>Premium</v>
      </c>
    </row>
    <row r="69" spans="1:16" x14ac:dyDescent="0.3">
      <c r="A69" s="2" t="s">
        <v>112</v>
      </c>
      <c r="B69" s="2" t="s">
        <v>31</v>
      </c>
      <c r="C69" s="3">
        <v>31</v>
      </c>
      <c r="D69" t="s">
        <v>18</v>
      </c>
      <c r="E69" s="2" t="s">
        <v>19</v>
      </c>
      <c r="F69" s="2" t="s">
        <v>36</v>
      </c>
      <c r="G69">
        <v>26</v>
      </c>
      <c r="H69" s="4">
        <v>44508</v>
      </c>
      <c r="I69" s="2" t="s">
        <v>21</v>
      </c>
      <c r="J69" s="2" t="s">
        <v>27</v>
      </c>
      <c r="M69" t="str">
        <f t="shared" si="4"/>
        <v>Female</v>
      </c>
      <c r="N69" t="str">
        <f t="shared" si="5"/>
        <v>Ahmedabad</v>
      </c>
      <c r="O69" t="str">
        <f t="shared" si="6"/>
        <v>Bengali</v>
      </c>
      <c r="P69" t="str">
        <f t="shared" si="7"/>
        <v>Standard</v>
      </c>
    </row>
    <row r="70" spans="1:16" x14ac:dyDescent="0.3">
      <c r="A70" s="2" t="s">
        <v>113</v>
      </c>
      <c r="B70" s="2" t="s">
        <v>11</v>
      </c>
      <c r="C70" s="3">
        <v>30</v>
      </c>
      <c r="D70" t="s">
        <v>18</v>
      </c>
      <c r="E70" s="2" t="s">
        <v>13</v>
      </c>
      <c r="F70" s="2" t="s">
        <v>14</v>
      </c>
      <c r="G70">
        <v>45</v>
      </c>
      <c r="H70" s="4">
        <v>43933</v>
      </c>
      <c r="I70" s="2" t="s">
        <v>49</v>
      </c>
      <c r="J70" s="2" t="s">
        <v>16</v>
      </c>
      <c r="M70" t="str">
        <f t="shared" si="4"/>
        <v>Male</v>
      </c>
      <c r="N70" t="str">
        <f t="shared" si="5"/>
        <v>Kolkata</v>
      </c>
      <c r="O70" t="str">
        <f t="shared" si="6"/>
        <v>Kannada</v>
      </c>
      <c r="P70" t="str">
        <f t="shared" si="7"/>
        <v>Basic</v>
      </c>
    </row>
    <row r="71" spans="1:16" x14ac:dyDescent="0.3">
      <c r="A71" s="2" t="s">
        <v>114</v>
      </c>
      <c r="B71" s="2" t="s">
        <v>11</v>
      </c>
      <c r="C71" s="3">
        <v>25</v>
      </c>
      <c r="D71" t="s">
        <v>18</v>
      </c>
      <c r="E71" s="2" t="s">
        <v>19</v>
      </c>
      <c r="F71" s="2" t="s">
        <v>64</v>
      </c>
      <c r="G71">
        <v>41</v>
      </c>
      <c r="H71" s="4">
        <v>44060</v>
      </c>
      <c r="I71" s="2" t="s">
        <v>39</v>
      </c>
      <c r="J71" s="2" t="s">
        <v>22</v>
      </c>
      <c r="M71" t="str">
        <f t="shared" si="4"/>
        <v>Female</v>
      </c>
      <c r="N71" t="str">
        <f t="shared" si="5"/>
        <v>Pune</v>
      </c>
      <c r="O71" t="str">
        <f t="shared" si="6"/>
        <v>Tamil</v>
      </c>
      <c r="P71" t="str">
        <f t="shared" si="7"/>
        <v>Premium</v>
      </c>
    </row>
    <row r="72" spans="1:16" x14ac:dyDescent="0.3">
      <c r="A72" s="2" t="s">
        <v>115</v>
      </c>
      <c r="B72" s="2" t="s">
        <v>24</v>
      </c>
      <c r="C72" s="3">
        <v>51</v>
      </c>
      <c r="D72" t="s">
        <v>46</v>
      </c>
      <c r="E72" s="2" t="s">
        <v>105</v>
      </c>
      <c r="F72" s="2" t="s">
        <v>56</v>
      </c>
      <c r="G72">
        <v>38</v>
      </c>
      <c r="H72" s="4">
        <v>44147</v>
      </c>
      <c r="I72" s="2" t="s">
        <v>34</v>
      </c>
      <c r="J72" s="2" t="s">
        <v>16</v>
      </c>
      <c r="M72" t="str">
        <f t="shared" si="4"/>
        <v>Non-Binary</v>
      </c>
      <c r="N72" t="str">
        <f t="shared" si="5"/>
        <v>Hyderabad</v>
      </c>
      <c r="O72" t="str">
        <f t="shared" si="6"/>
        <v>Marathi</v>
      </c>
      <c r="P72" t="str">
        <f t="shared" si="7"/>
        <v>Basic</v>
      </c>
    </row>
    <row r="73" spans="1:16" x14ac:dyDescent="0.3">
      <c r="A73" s="2" t="s">
        <v>116</v>
      </c>
      <c r="B73" s="2" t="s">
        <v>31</v>
      </c>
      <c r="C73" s="3">
        <v>21</v>
      </c>
      <c r="D73" t="s">
        <v>32</v>
      </c>
      <c r="E73" s="2" t="s">
        <v>13</v>
      </c>
      <c r="F73" s="2" t="s">
        <v>88</v>
      </c>
      <c r="G73">
        <v>15</v>
      </c>
      <c r="H73" s="4">
        <v>44842</v>
      </c>
      <c r="I73" s="2" t="s">
        <v>29</v>
      </c>
      <c r="J73" s="2" t="s">
        <v>22</v>
      </c>
      <c r="M73" t="str">
        <f t="shared" si="4"/>
        <v>Male</v>
      </c>
      <c r="N73" t="str">
        <f t="shared" si="5"/>
        <v>Lucknow</v>
      </c>
      <c r="O73" t="str">
        <f t="shared" si="6"/>
        <v>English</v>
      </c>
      <c r="P73" t="str">
        <f t="shared" si="7"/>
        <v>Premium</v>
      </c>
    </row>
    <row r="74" spans="1:16" x14ac:dyDescent="0.3">
      <c r="A74" s="2" t="s">
        <v>117</v>
      </c>
      <c r="B74" s="2" t="s">
        <v>31</v>
      </c>
      <c r="C74" s="3">
        <v>42</v>
      </c>
      <c r="D74" t="s">
        <v>12</v>
      </c>
      <c r="E74" s="2" t="s">
        <v>13</v>
      </c>
      <c r="F74" s="2" t="s">
        <v>25</v>
      </c>
      <c r="G74">
        <v>9</v>
      </c>
      <c r="H74" s="4">
        <v>44993</v>
      </c>
      <c r="I74" s="2" t="s">
        <v>47</v>
      </c>
      <c r="J74" s="2" t="s">
        <v>27</v>
      </c>
      <c r="M74" t="str">
        <f t="shared" si="4"/>
        <v>Male</v>
      </c>
      <c r="N74" t="str">
        <f t="shared" si="5"/>
        <v>Mumbai</v>
      </c>
      <c r="O74" t="str">
        <f t="shared" si="6"/>
        <v>Hindi</v>
      </c>
      <c r="P74" t="str">
        <f t="shared" si="7"/>
        <v>Standard</v>
      </c>
    </row>
    <row r="75" spans="1:16" x14ac:dyDescent="0.3">
      <c r="A75" s="2" t="s">
        <v>118</v>
      </c>
      <c r="B75" s="2" t="s">
        <v>42</v>
      </c>
      <c r="C75" s="3">
        <v>29</v>
      </c>
      <c r="D75" t="s">
        <v>18</v>
      </c>
      <c r="E75" s="2" t="s">
        <v>19</v>
      </c>
      <c r="F75" s="2" t="s">
        <v>38</v>
      </c>
      <c r="G75">
        <v>31</v>
      </c>
      <c r="H75" s="4">
        <v>44337</v>
      </c>
      <c r="I75" s="2" t="s">
        <v>62</v>
      </c>
      <c r="J75" s="2" t="s">
        <v>16</v>
      </c>
      <c r="M75" t="str">
        <f t="shared" si="4"/>
        <v>Female</v>
      </c>
      <c r="N75" t="str">
        <f t="shared" si="5"/>
        <v>Delhi</v>
      </c>
      <c r="O75" t="str">
        <f t="shared" si="6"/>
        <v>Gujarati</v>
      </c>
      <c r="P75" t="str">
        <f t="shared" si="7"/>
        <v>Basic</v>
      </c>
    </row>
    <row r="76" spans="1:16" x14ac:dyDescent="0.3">
      <c r="A76" s="2" t="s">
        <v>119</v>
      </c>
      <c r="B76" s="2" t="s">
        <v>11</v>
      </c>
      <c r="C76" s="3">
        <v>31</v>
      </c>
      <c r="D76" t="s">
        <v>18</v>
      </c>
      <c r="E76" s="2" t="s">
        <v>13</v>
      </c>
      <c r="F76" s="2" t="s">
        <v>36</v>
      </c>
      <c r="G76">
        <v>6</v>
      </c>
      <c r="H76" s="4">
        <v>45112</v>
      </c>
      <c r="I76" s="2" t="s">
        <v>29</v>
      </c>
      <c r="J76" s="2" t="s">
        <v>27</v>
      </c>
      <c r="M76" t="str">
        <f t="shared" si="4"/>
        <v>Male</v>
      </c>
      <c r="N76" t="str">
        <f t="shared" si="5"/>
        <v>Ahmedabad</v>
      </c>
      <c r="O76" t="str">
        <f t="shared" si="6"/>
        <v>English</v>
      </c>
      <c r="P76" t="str">
        <f t="shared" si="7"/>
        <v>Standard</v>
      </c>
    </row>
    <row r="77" spans="1:16" x14ac:dyDescent="0.3">
      <c r="A77" s="2" t="s">
        <v>120</v>
      </c>
      <c r="B77" s="2" t="s">
        <v>11</v>
      </c>
      <c r="C77" s="3">
        <v>38</v>
      </c>
      <c r="D77" t="s">
        <v>12</v>
      </c>
      <c r="E77" s="2" t="s">
        <v>13</v>
      </c>
      <c r="F77" s="2" t="s">
        <v>38</v>
      </c>
      <c r="G77">
        <v>59</v>
      </c>
      <c r="H77" s="4">
        <v>43516</v>
      </c>
      <c r="I77" s="2" t="s">
        <v>62</v>
      </c>
      <c r="J77" s="2" t="s">
        <v>22</v>
      </c>
      <c r="M77" t="str">
        <f t="shared" si="4"/>
        <v>Male</v>
      </c>
      <c r="N77" t="str">
        <f t="shared" si="5"/>
        <v>Delhi</v>
      </c>
      <c r="O77" t="str">
        <f t="shared" si="6"/>
        <v>Gujarati</v>
      </c>
      <c r="P77" t="str">
        <f t="shared" si="7"/>
        <v>Premium</v>
      </c>
    </row>
    <row r="78" spans="1:16" x14ac:dyDescent="0.3">
      <c r="A78" s="2" t="s">
        <v>121</v>
      </c>
      <c r="B78" s="2" t="s">
        <v>61</v>
      </c>
      <c r="C78" s="3">
        <v>38</v>
      </c>
      <c r="D78" t="s">
        <v>12</v>
      </c>
      <c r="E78" s="2" t="s">
        <v>19</v>
      </c>
      <c r="F78" s="2" t="s">
        <v>36</v>
      </c>
      <c r="G78">
        <v>5</v>
      </c>
      <c r="H78" s="4">
        <v>45125</v>
      </c>
      <c r="I78" s="2" t="s">
        <v>29</v>
      </c>
      <c r="J78" s="2" t="s">
        <v>22</v>
      </c>
      <c r="M78" t="str">
        <f t="shared" si="4"/>
        <v>Female</v>
      </c>
      <c r="N78" t="str">
        <f t="shared" si="5"/>
        <v>Ahmedabad</v>
      </c>
      <c r="O78" t="str">
        <f t="shared" si="6"/>
        <v>English</v>
      </c>
      <c r="P78" t="str">
        <f t="shared" si="7"/>
        <v>Premium</v>
      </c>
    </row>
    <row r="79" spans="1:16" x14ac:dyDescent="0.3">
      <c r="A79" s="2" t="s">
        <v>122</v>
      </c>
      <c r="B79" s="2" t="s">
        <v>24</v>
      </c>
      <c r="C79" s="3">
        <v>37</v>
      </c>
      <c r="D79" t="s">
        <v>12</v>
      </c>
      <c r="E79" s="2" t="s">
        <v>19</v>
      </c>
      <c r="F79" s="2" t="s">
        <v>64</v>
      </c>
      <c r="G79">
        <v>60</v>
      </c>
      <c r="H79" s="4">
        <v>43485</v>
      </c>
      <c r="I79" s="2" t="s">
        <v>47</v>
      </c>
      <c r="J79" s="2" t="s">
        <v>65</v>
      </c>
      <c r="M79" t="str">
        <f t="shared" si="4"/>
        <v>Female</v>
      </c>
      <c r="N79" t="str">
        <f t="shared" si="5"/>
        <v>Pune</v>
      </c>
      <c r="O79" t="str">
        <f t="shared" si="6"/>
        <v>Hindi</v>
      </c>
      <c r="P79" t="str">
        <f t="shared" si="7"/>
        <v>Family</v>
      </c>
    </row>
    <row r="80" spans="1:16" x14ac:dyDescent="0.3">
      <c r="A80" s="2" t="s">
        <v>123</v>
      </c>
      <c r="B80" s="2" t="s">
        <v>31</v>
      </c>
      <c r="C80" s="3">
        <v>29</v>
      </c>
      <c r="D80" t="s">
        <v>18</v>
      </c>
      <c r="E80" s="2" t="s">
        <v>13</v>
      </c>
      <c r="F80" s="2" t="s">
        <v>20</v>
      </c>
      <c r="G80">
        <v>56</v>
      </c>
      <c r="H80" s="4">
        <v>43609</v>
      </c>
      <c r="I80" s="2" t="s">
        <v>49</v>
      </c>
      <c r="J80" s="2" t="s">
        <v>22</v>
      </c>
      <c r="M80" t="str">
        <f t="shared" si="4"/>
        <v>Male</v>
      </c>
      <c r="N80" t="str">
        <f t="shared" si="5"/>
        <v>Chennai</v>
      </c>
      <c r="O80" t="str">
        <f t="shared" si="6"/>
        <v>Kannada</v>
      </c>
      <c r="P80" t="str">
        <f t="shared" si="7"/>
        <v>Premium</v>
      </c>
    </row>
    <row r="81" spans="1:16" x14ac:dyDescent="0.3">
      <c r="A81" s="2" t="s">
        <v>124</v>
      </c>
      <c r="B81" s="2" t="s">
        <v>61</v>
      </c>
      <c r="C81" s="3">
        <v>33</v>
      </c>
      <c r="D81" t="s">
        <v>18</v>
      </c>
      <c r="E81" s="2" t="s">
        <v>13</v>
      </c>
      <c r="F81" s="2" t="s">
        <v>54</v>
      </c>
      <c r="G81">
        <v>60</v>
      </c>
      <c r="H81" s="4">
        <v>43481</v>
      </c>
      <c r="I81" s="2" t="s">
        <v>39</v>
      </c>
      <c r="J81" s="2" t="s">
        <v>27</v>
      </c>
      <c r="M81" t="str">
        <f t="shared" si="4"/>
        <v>Male</v>
      </c>
      <c r="N81" t="str">
        <f t="shared" si="5"/>
        <v>Bangalore</v>
      </c>
      <c r="O81" t="str">
        <f t="shared" si="6"/>
        <v>Tamil</v>
      </c>
      <c r="P81" t="str">
        <f t="shared" si="7"/>
        <v>Standard</v>
      </c>
    </row>
    <row r="82" spans="1:16" x14ac:dyDescent="0.3">
      <c r="A82" s="2" t="s">
        <v>125</v>
      </c>
      <c r="B82" s="2" t="s">
        <v>24</v>
      </c>
      <c r="C82" s="3">
        <v>41</v>
      </c>
      <c r="D82" t="s">
        <v>12</v>
      </c>
      <c r="E82" s="2" t="s">
        <v>13</v>
      </c>
      <c r="F82" s="2" t="s">
        <v>88</v>
      </c>
      <c r="G82">
        <v>41</v>
      </c>
      <c r="H82" s="4">
        <v>44041</v>
      </c>
      <c r="I82" s="2" t="s">
        <v>29</v>
      </c>
      <c r="J82" s="2" t="s">
        <v>22</v>
      </c>
      <c r="M82" t="str">
        <f t="shared" si="4"/>
        <v>Male</v>
      </c>
      <c r="N82" t="str">
        <f t="shared" si="5"/>
        <v>Lucknow</v>
      </c>
      <c r="O82" t="str">
        <f t="shared" si="6"/>
        <v>English</v>
      </c>
      <c r="P82" t="str">
        <f t="shared" si="7"/>
        <v>Premium</v>
      </c>
    </row>
    <row r="83" spans="1:16" x14ac:dyDescent="0.3">
      <c r="A83" s="2" t="s">
        <v>126</v>
      </c>
      <c r="B83" s="2" t="s">
        <v>42</v>
      </c>
      <c r="C83" s="3">
        <v>30</v>
      </c>
      <c r="D83" t="s">
        <v>18</v>
      </c>
      <c r="E83" s="2" t="s">
        <v>13</v>
      </c>
      <c r="F83" s="2" t="s">
        <v>64</v>
      </c>
      <c r="G83">
        <v>8</v>
      </c>
      <c r="H83" s="4">
        <v>45035</v>
      </c>
      <c r="I83" s="2" t="s">
        <v>21</v>
      </c>
      <c r="J83" s="2" t="s">
        <v>22</v>
      </c>
      <c r="M83" t="str">
        <f t="shared" si="4"/>
        <v>Male</v>
      </c>
      <c r="N83" t="str">
        <f t="shared" si="5"/>
        <v>Pune</v>
      </c>
      <c r="O83" t="str">
        <f t="shared" si="6"/>
        <v>Bengali</v>
      </c>
      <c r="P83" t="str">
        <f t="shared" si="7"/>
        <v>Premium</v>
      </c>
    </row>
    <row r="84" spans="1:16" x14ac:dyDescent="0.3">
      <c r="A84" s="2" t="s">
        <v>127</v>
      </c>
      <c r="B84" s="2" t="s">
        <v>31</v>
      </c>
      <c r="C84" s="3">
        <v>30</v>
      </c>
      <c r="D84" t="s">
        <v>18</v>
      </c>
      <c r="E84" s="2" t="s">
        <v>13</v>
      </c>
      <c r="F84" s="2" t="s">
        <v>56</v>
      </c>
      <c r="G84">
        <v>9</v>
      </c>
      <c r="H84" s="4">
        <v>45017</v>
      </c>
      <c r="I84" s="2" t="s">
        <v>47</v>
      </c>
      <c r="J84" s="2" t="s">
        <v>27</v>
      </c>
      <c r="M84" t="str">
        <f t="shared" si="4"/>
        <v>Male</v>
      </c>
      <c r="N84" t="str">
        <f t="shared" si="5"/>
        <v>Hyderabad</v>
      </c>
      <c r="O84" t="str">
        <f t="shared" si="6"/>
        <v>Hindi</v>
      </c>
      <c r="P84" t="str">
        <f t="shared" si="7"/>
        <v>Standard</v>
      </c>
    </row>
    <row r="85" spans="1:16" x14ac:dyDescent="0.3">
      <c r="A85" s="2" t="s">
        <v>128</v>
      </c>
      <c r="B85" s="2" t="s">
        <v>31</v>
      </c>
      <c r="C85" s="3">
        <v>19</v>
      </c>
      <c r="D85" t="s">
        <v>32</v>
      </c>
      <c r="E85" s="2" t="s">
        <v>19</v>
      </c>
      <c r="F85" s="2" t="s">
        <v>56</v>
      </c>
      <c r="G85">
        <v>40</v>
      </c>
      <c r="H85" s="4">
        <v>44083</v>
      </c>
      <c r="I85" s="2" t="s">
        <v>49</v>
      </c>
      <c r="J85" s="2" t="s">
        <v>27</v>
      </c>
      <c r="M85" t="str">
        <f t="shared" si="4"/>
        <v>Female</v>
      </c>
      <c r="N85" t="str">
        <f t="shared" si="5"/>
        <v>Hyderabad</v>
      </c>
      <c r="O85" t="str">
        <f t="shared" si="6"/>
        <v>Kannada</v>
      </c>
      <c r="P85" t="str">
        <f t="shared" si="7"/>
        <v>Standard</v>
      </c>
    </row>
    <row r="86" spans="1:16" x14ac:dyDescent="0.3">
      <c r="A86" s="2" t="s">
        <v>129</v>
      </c>
      <c r="B86" s="2" t="s">
        <v>24</v>
      </c>
      <c r="C86" s="3">
        <v>37</v>
      </c>
      <c r="D86" t="s">
        <v>12</v>
      </c>
      <c r="E86" s="2" t="s">
        <v>13</v>
      </c>
      <c r="F86" s="2" t="s">
        <v>64</v>
      </c>
      <c r="G86">
        <v>41</v>
      </c>
      <c r="H86" s="4">
        <v>44056</v>
      </c>
      <c r="I86" s="2" t="s">
        <v>49</v>
      </c>
      <c r="J86" s="2" t="s">
        <v>27</v>
      </c>
      <c r="M86" t="str">
        <f t="shared" si="4"/>
        <v>Male</v>
      </c>
      <c r="N86" t="str">
        <f t="shared" si="5"/>
        <v>Pune</v>
      </c>
      <c r="O86" t="str">
        <f t="shared" si="6"/>
        <v>Kannada</v>
      </c>
      <c r="P86" t="str">
        <f t="shared" si="7"/>
        <v>Standard</v>
      </c>
    </row>
    <row r="87" spans="1:16" x14ac:dyDescent="0.3">
      <c r="A87" s="2" t="s">
        <v>130</v>
      </c>
      <c r="B87" s="2" t="s">
        <v>42</v>
      </c>
      <c r="C87" s="3">
        <v>49</v>
      </c>
      <c r="D87" t="s">
        <v>46</v>
      </c>
      <c r="E87" s="2" t="s">
        <v>13</v>
      </c>
      <c r="F87" s="2" t="s">
        <v>54</v>
      </c>
      <c r="G87">
        <v>17</v>
      </c>
      <c r="H87" s="4">
        <v>44779</v>
      </c>
      <c r="I87" s="2" t="s">
        <v>29</v>
      </c>
      <c r="J87" s="2" t="s">
        <v>16</v>
      </c>
      <c r="M87" t="str">
        <f t="shared" si="4"/>
        <v>Male</v>
      </c>
      <c r="N87" t="str">
        <f t="shared" si="5"/>
        <v>Bangalore</v>
      </c>
      <c r="O87" t="str">
        <f t="shared" si="6"/>
        <v>English</v>
      </c>
      <c r="P87" t="str">
        <f t="shared" si="7"/>
        <v>Basic</v>
      </c>
    </row>
    <row r="88" spans="1:16" x14ac:dyDescent="0.3">
      <c r="A88" s="2" t="s">
        <v>131</v>
      </c>
      <c r="B88" s="2" t="s">
        <v>11</v>
      </c>
      <c r="C88" s="3">
        <v>18</v>
      </c>
      <c r="D88" t="s">
        <v>32</v>
      </c>
      <c r="E88" s="2" t="s">
        <v>19</v>
      </c>
      <c r="F88" s="2" t="s">
        <v>88</v>
      </c>
      <c r="G88">
        <v>23</v>
      </c>
      <c r="H88" s="4">
        <v>44601</v>
      </c>
      <c r="I88" s="2" t="s">
        <v>34</v>
      </c>
      <c r="J88" s="2" t="s">
        <v>16</v>
      </c>
      <c r="M88" t="str">
        <f t="shared" si="4"/>
        <v>Female</v>
      </c>
      <c r="N88" t="str">
        <f t="shared" si="5"/>
        <v>Lucknow</v>
      </c>
      <c r="O88" t="str">
        <f t="shared" si="6"/>
        <v>Marathi</v>
      </c>
      <c r="P88" t="str">
        <f t="shared" si="7"/>
        <v>Basic</v>
      </c>
    </row>
    <row r="89" spans="1:16" x14ac:dyDescent="0.3">
      <c r="A89" s="2" t="s">
        <v>132</v>
      </c>
      <c r="B89" s="2" t="s">
        <v>24</v>
      </c>
      <c r="C89" s="3">
        <v>37</v>
      </c>
      <c r="D89" t="s">
        <v>12</v>
      </c>
      <c r="E89" s="2" t="s">
        <v>19</v>
      </c>
      <c r="F89" s="2" t="s">
        <v>38</v>
      </c>
      <c r="G89">
        <v>42</v>
      </c>
      <c r="H89" s="4">
        <v>44003</v>
      </c>
      <c r="I89" s="2" t="s">
        <v>62</v>
      </c>
      <c r="J89" s="2" t="s">
        <v>27</v>
      </c>
      <c r="M89" t="str">
        <f t="shared" si="4"/>
        <v>Female</v>
      </c>
      <c r="N89" t="str">
        <f t="shared" si="5"/>
        <v>Delhi</v>
      </c>
      <c r="O89" t="str">
        <f t="shared" si="6"/>
        <v>Gujarati</v>
      </c>
      <c r="P89" t="str">
        <f t="shared" si="7"/>
        <v>Standard</v>
      </c>
    </row>
    <row r="90" spans="1:16" x14ac:dyDescent="0.3">
      <c r="A90" s="2" t="s">
        <v>133</v>
      </c>
      <c r="B90" s="2" t="s">
        <v>31</v>
      </c>
      <c r="C90" s="3">
        <v>27</v>
      </c>
      <c r="D90" t="s">
        <v>18</v>
      </c>
      <c r="E90" s="2" t="s">
        <v>13</v>
      </c>
      <c r="F90" s="2" t="s">
        <v>38</v>
      </c>
      <c r="G90">
        <v>56</v>
      </c>
      <c r="H90" s="4">
        <v>43602</v>
      </c>
      <c r="I90" s="2" t="s">
        <v>34</v>
      </c>
      <c r="J90" s="2" t="s">
        <v>65</v>
      </c>
      <c r="M90" t="str">
        <f t="shared" si="4"/>
        <v>Male</v>
      </c>
      <c r="N90" t="str">
        <f t="shared" si="5"/>
        <v>Delhi</v>
      </c>
      <c r="O90" t="str">
        <f t="shared" si="6"/>
        <v>Marathi</v>
      </c>
      <c r="P90" t="str">
        <f t="shared" si="7"/>
        <v>Family</v>
      </c>
    </row>
    <row r="91" spans="1:16" x14ac:dyDescent="0.3">
      <c r="A91" s="2" t="s">
        <v>134</v>
      </c>
      <c r="B91" s="2" t="s">
        <v>24</v>
      </c>
      <c r="C91" s="3">
        <v>47</v>
      </c>
      <c r="D91" t="s">
        <v>46</v>
      </c>
      <c r="E91" s="2" t="s">
        <v>13</v>
      </c>
      <c r="F91" s="2" t="s">
        <v>56</v>
      </c>
      <c r="G91">
        <v>47</v>
      </c>
      <c r="H91" s="4">
        <v>43872</v>
      </c>
      <c r="I91" s="2" t="s">
        <v>47</v>
      </c>
      <c r="J91" s="2" t="s">
        <v>22</v>
      </c>
      <c r="M91" t="str">
        <f t="shared" si="4"/>
        <v>Male</v>
      </c>
      <c r="N91" t="str">
        <f t="shared" si="5"/>
        <v>Hyderabad</v>
      </c>
      <c r="O91" t="str">
        <f t="shared" si="6"/>
        <v>Hindi</v>
      </c>
      <c r="P91" t="str">
        <f t="shared" si="7"/>
        <v>Premium</v>
      </c>
    </row>
    <row r="92" spans="1:16" x14ac:dyDescent="0.3">
      <c r="A92" s="2" t="s">
        <v>135</v>
      </c>
      <c r="B92" s="2" t="s">
        <v>31</v>
      </c>
      <c r="C92" s="3">
        <v>20</v>
      </c>
      <c r="D92" t="s">
        <v>32</v>
      </c>
      <c r="E92" s="2" t="s">
        <v>13</v>
      </c>
      <c r="F92" s="2" t="s">
        <v>64</v>
      </c>
      <c r="G92">
        <v>9</v>
      </c>
      <c r="H92" s="4">
        <v>44998</v>
      </c>
      <c r="I92" s="2" t="s">
        <v>29</v>
      </c>
      <c r="J92" s="2" t="s">
        <v>27</v>
      </c>
      <c r="M92" t="str">
        <f t="shared" si="4"/>
        <v>Male</v>
      </c>
      <c r="N92" t="str">
        <f t="shared" si="5"/>
        <v>Pune</v>
      </c>
      <c r="O92" t="str">
        <f t="shared" si="6"/>
        <v>English</v>
      </c>
      <c r="P92" t="str">
        <f t="shared" si="7"/>
        <v>Standard</v>
      </c>
    </row>
    <row r="93" spans="1:16" x14ac:dyDescent="0.3">
      <c r="A93" s="2" t="s">
        <v>136</v>
      </c>
      <c r="B93" s="2" t="s">
        <v>31</v>
      </c>
      <c r="C93" s="3">
        <v>27</v>
      </c>
      <c r="D93" t="s">
        <v>18</v>
      </c>
      <c r="E93" s="2" t="s">
        <v>13</v>
      </c>
      <c r="F93" s="2" t="s">
        <v>20</v>
      </c>
      <c r="G93">
        <v>24</v>
      </c>
      <c r="H93" s="4">
        <v>44563</v>
      </c>
      <c r="I93" s="2" t="s">
        <v>26</v>
      </c>
      <c r="J93" s="2" t="s">
        <v>16</v>
      </c>
      <c r="M93" t="str">
        <f t="shared" si="4"/>
        <v>Male</v>
      </c>
      <c r="N93" t="str">
        <f t="shared" si="5"/>
        <v>Chennai</v>
      </c>
      <c r="O93" t="str">
        <f t="shared" si="6"/>
        <v>Malayalam</v>
      </c>
      <c r="P93" t="str">
        <f t="shared" si="7"/>
        <v>Basic</v>
      </c>
    </row>
    <row r="94" spans="1:16" x14ac:dyDescent="0.3">
      <c r="A94" s="2" t="s">
        <v>137</v>
      </c>
      <c r="B94" s="2" t="s">
        <v>24</v>
      </c>
      <c r="C94" s="3">
        <v>18</v>
      </c>
      <c r="D94" t="s">
        <v>32</v>
      </c>
      <c r="E94" s="2" t="s">
        <v>19</v>
      </c>
      <c r="F94" s="2" t="s">
        <v>54</v>
      </c>
      <c r="G94">
        <v>41</v>
      </c>
      <c r="H94" s="4">
        <v>44039</v>
      </c>
      <c r="I94" s="2" t="s">
        <v>49</v>
      </c>
      <c r="J94" s="2" t="s">
        <v>16</v>
      </c>
      <c r="M94" t="str">
        <f t="shared" si="4"/>
        <v>Female</v>
      </c>
      <c r="N94" t="str">
        <f t="shared" si="5"/>
        <v>Bangalore</v>
      </c>
      <c r="O94" t="str">
        <f t="shared" si="6"/>
        <v>Kannada</v>
      </c>
      <c r="P94" t="str">
        <f t="shared" si="7"/>
        <v>Basic</v>
      </c>
    </row>
    <row r="95" spans="1:16" x14ac:dyDescent="0.3">
      <c r="A95" s="2" t="s">
        <v>138</v>
      </c>
      <c r="B95" s="2" t="s">
        <v>24</v>
      </c>
      <c r="C95" s="3">
        <v>31</v>
      </c>
      <c r="D95" t="s">
        <v>18</v>
      </c>
      <c r="E95" s="2" t="s">
        <v>13</v>
      </c>
      <c r="F95" s="2" t="s">
        <v>36</v>
      </c>
      <c r="G95">
        <v>16</v>
      </c>
      <c r="H95" s="4">
        <v>44783</v>
      </c>
      <c r="I95" s="2" t="s">
        <v>62</v>
      </c>
      <c r="J95" s="2" t="s">
        <v>16</v>
      </c>
      <c r="M95" t="str">
        <f t="shared" si="4"/>
        <v>Male</v>
      </c>
      <c r="N95" t="str">
        <f t="shared" si="5"/>
        <v>Ahmedabad</v>
      </c>
      <c r="O95" t="str">
        <f t="shared" si="6"/>
        <v>Gujarati</v>
      </c>
      <c r="P95" t="str">
        <f t="shared" si="7"/>
        <v>Basic</v>
      </c>
    </row>
    <row r="96" spans="1:16" x14ac:dyDescent="0.3">
      <c r="A96" s="2" t="s">
        <v>139</v>
      </c>
      <c r="B96" s="2" t="s">
        <v>24</v>
      </c>
      <c r="C96" s="3">
        <v>18</v>
      </c>
      <c r="D96" t="s">
        <v>32</v>
      </c>
      <c r="E96" s="2" t="s">
        <v>19</v>
      </c>
      <c r="F96" s="2" t="s">
        <v>54</v>
      </c>
      <c r="G96">
        <v>56</v>
      </c>
      <c r="H96" s="4">
        <v>43590</v>
      </c>
      <c r="I96" s="2" t="s">
        <v>15</v>
      </c>
      <c r="J96" s="2" t="s">
        <v>22</v>
      </c>
      <c r="M96" t="str">
        <f t="shared" si="4"/>
        <v>Female</v>
      </c>
      <c r="N96" t="str">
        <f t="shared" si="5"/>
        <v>Bangalore</v>
      </c>
      <c r="O96" t="str">
        <f t="shared" si="6"/>
        <v>Telugu</v>
      </c>
      <c r="P96" t="str">
        <f t="shared" si="7"/>
        <v>Premium</v>
      </c>
    </row>
    <row r="97" spans="1:16" x14ac:dyDescent="0.3">
      <c r="A97" s="2" t="s">
        <v>140</v>
      </c>
      <c r="B97" s="2" t="s">
        <v>31</v>
      </c>
      <c r="C97" s="3">
        <v>18</v>
      </c>
      <c r="D97" t="s">
        <v>32</v>
      </c>
      <c r="E97" s="2" t="s">
        <v>13</v>
      </c>
      <c r="F97" s="2" t="s">
        <v>33</v>
      </c>
      <c r="G97">
        <v>11</v>
      </c>
      <c r="H97" s="4">
        <v>44961</v>
      </c>
      <c r="I97" s="2" t="s">
        <v>49</v>
      </c>
      <c r="J97" s="2" t="s">
        <v>16</v>
      </c>
      <c r="M97" t="str">
        <f t="shared" si="4"/>
        <v>Male</v>
      </c>
      <c r="N97" t="str">
        <f t="shared" si="5"/>
        <v>Jaipur</v>
      </c>
      <c r="O97" t="str">
        <f t="shared" si="6"/>
        <v>Kannada</v>
      </c>
      <c r="P97" t="str">
        <f t="shared" si="7"/>
        <v>Basic</v>
      </c>
    </row>
    <row r="98" spans="1:16" x14ac:dyDescent="0.3">
      <c r="A98" s="2" t="s">
        <v>141</v>
      </c>
      <c r="B98" s="2" t="s">
        <v>24</v>
      </c>
      <c r="C98" s="3">
        <v>37</v>
      </c>
      <c r="D98" t="s">
        <v>12</v>
      </c>
      <c r="E98" s="2" t="s">
        <v>13</v>
      </c>
      <c r="F98" s="2" t="s">
        <v>38</v>
      </c>
      <c r="G98">
        <v>58</v>
      </c>
      <c r="H98" s="4">
        <v>43544</v>
      </c>
      <c r="I98" s="2" t="s">
        <v>34</v>
      </c>
      <c r="J98" s="2" t="s">
        <v>22</v>
      </c>
      <c r="M98" t="str">
        <f t="shared" si="4"/>
        <v>Male</v>
      </c>
      <c r="N98" t="str">
        <f t="shared" si="5"/>
        <v>Delhi</v>
      </c>
      <c r="O98" t="str">
        <f t="shared" si="6"/>
        <v>Marathi</v>
      </c>
      <c r="P98" t="str">
        <f t="shared" si="7"/>
        <v>Premium</v>
      </c>
    </row>
    <row r="99" spans="1:16" x14ac:dyDescent="0.3">
      <c r="A99" s="2" t="s">
        <v>142</v>
      </c>
      <c r="B99" s="2" t="s">
        <v>31</v>
      </c>
      <c r="C99" s="3">
        <v>32</v>
      </c>
      <c r="D99" t="s">
        <v>18</v>
      </c>
      <c r="E99" s="2" t="s">
        <v>19</v>
      </c>
      <c r="F99" s="2" t="s">
        <v>33</v>
      </c>
      <c r="G99">
        <v>50</v>
      </c>
      <c r="H99" s="4">
        <v>43773</v>
      </c>
      <c r="I99" s="2" t="s">
        <v>62</v>
      </c>
      <c r="J99" s="2" t="s">
        <v>27</v>
      </c>
      <c r="M99" t="str">
        <f t="shared" si="4"/>
        <v>Female</v>
      </c>
      <c r="N99" t="str">
        <f t="shared" si="5"/>
        <v>Jaipur</v>
      </c>
      <c r="O99" t="str">
        <f t="shared" si="6"/>
        <v>Gujarati</v>
      </c>
      <c r="P99" t="str">
        <f t="shared" si="7"/>
        <v>Standard</v>
      </c>
    </row>
    <row r="100" spans="1:16" x14ac:dyDescent="0.3">
      <c r="A100" s="2" t="s">
        <v>143</v>
      </c>
      <c r="B100" s="2" t="s">
        <v>11</v>
      </c>
      <c r="C100" s="3">
        <v>18</v>
      </c>
      <c r="D100" t="s">
        <v>32</v>
      </c>
      <c r="E100" s="2" t="s">
        <v>13</v>
      </c>
      <c r="F100" s="2" t="s">
        <v>33</v>
      </c>
      <c r="G100">
        <v>40</v>
      </c>
      <c r="H100" s="4">
        <v>44085</v>
      </c>
      <c r="I100" s="2" t="s">
        <v>15</v>
      </c>
      <c r="J100" s="2" t="s">
        <v>22</v>
      </c>
      <c r="M100" t="str">
        <f t="shared" si="4"/>
        <v>Male</v>
      </c>
      <c r="N100" t="str">
        <f t="shared" si="5"/>
        <v>Jaipur</v>
      </c>
      <c r="O100" t="str">
        <f t="shared" si="6"/>
        <v>Telugu</v>
      </c>
      <c r="P100" t="str">
        <f t="shared" si="7"/>
        <v>Premium</v>
      </c>
    </row>
    <row r="101" spans="1:16" x14ac:dyDescent="0.3">
      <c r="A101" s="2" t="s">
        <v>144</v>
      </c>
      <c r="B101" s="2" t="s">
        <v>11</v>
      </c>
      <c r="C101" s="3">
        <v>29</v>
      </c>
      <c r="D101" t="s">
        <v>18</v>
      </c>
      <c r="E101" s="2" t="s">
        <v>19</v>
      </c>
      <c r="F101" s="2" t="s">
        <v>33</v>
      </c>
      <c r="G101">
        <v>38</v>
      </c>
      <c r="H101" s="4">
        <v>44128</v>
      </c>
      <c r="I101" s="2" t="s">
        <v>47</v>
      </c>
      <c r="J101" s="2" t="s">
        <v>27</v>
      </c>
      <c r="M101" t="str">
        <f t="shared" si="4"/>
        <v>Female</v>
      </c>
      <c r="N101" t="str">
        <f t="shared" si="5"/>
        <v>Jaipur</v>
      </c>
      <c r="O101" t="str">
        <f t="shared" si="6"/>
        <v>Hindi</v>
      </c>
      <c r="P101" t="str">
        <f t="shared" si="7"/>
        <v>Standard</v>
      </c>
    </row>
    <row r="102" spans="1:16" x14ac:dyDescent="0.3">
      <c r="A102" s="2" t="s">
        <v>145</v>
      </c>
      <c r="B102" s="2" t="s">
        <v>42</v>
      </c>
      <c r="C102" s="3">
        <v>18</v>
      </c>
      <c r="D102" t="s">
        <v>32</v>
      </c>
      <c r="E102" s="2" t="s">
        <v>19</v>
      </c>
      <c r="F102" s="2" t="s">
        <v>56</v>
      </c>
      <c r="G102">
        <v>10</v>
      </c>
      <c r="H102" s="4">
        <v>44989</v>
      </c>
      <c r="I102" s="2" t="s">
        <v>47</v>
      </c>
      <c r="J102" s="2" t="s">
        <v>27</v>
      </c>
      <c r="M102" t="str">
        <f t="shared" si="4"/>
        <v>Female</v>
      </c>
      <c r="N102" t="str">
        <f t="shared" si="5"/>
        <v>Hyderabad</v>
      </c>
      <c r="O102" t="str">
        <f t="shared" si="6"/>
        <v>Hindi</v>
      </c>
      <c r="P102" t="str">
        <f t="shared" si="7"/>
        <v>Standard</v>
      </c>
    </row>
    <row r="103" spans="1:16" x14ac:dyDescent="0.3">
      <c r="A103" s="2" t="s">
        <v>146</v>
      </c>
      <c r="B103" s="2" t="s">
        <v>24</v>
      </c>
      <c r="C103" s="3">
        <v>43</v>
      </c>
      <c r="D103" t="s">
        <v>12</v>
      </c>
      <c r="E103" s="2" t="s">
        <v>13</v>
      </c>
      <c r="F103" s="2" t="s">
        <v>25</v>
      </c>
      <c r="G103">
        <v>55</v>
      </c>
      <c r="H103" s="4">
        <v>43642</v>
      </c>
      <c r="I103" s="2" t="s">
        <v>15</v>
      </c>
      <c r="J103" s="2" t="s">
        <v>22</v>
      </c>
      <c r="M103" t="str">
        <f t="shared" si="4"/>
        <v>Male</v>
      </c>
      <c r="N103" t="str">
        <f t="shared" si="5"/>
        <v>Mumbai</v>
      </c>
      <c r="O103" t="str">
        <f t="shared" si="6"/>
        <v>Telugu</v>
      </c>
      <c r="P103" t="str">
        <f t="shared" si="7"/>
        <v>Premium</v>
      </c>
    </row>
    <row r="104" spans="1:16" x14ac:dyDescent="0.3">
      <c r="A104" s="2" t="s">
        <v>147</v>
      </c>
      <c r="B104" s="2" t="s">
        <v>42</v>
      </c>
      <c r="C104" s="3">
        <v>34</v>
      </c>
      <c r="D104" t="s">
        <v>18</v>
      </c>
      <c r="E104" s="2" t="s">
        <v>19</v>
      </c>
      <c r="F104" s="2" t="s">
        <v>56</v>
      </c>
      <c r="G104">
        <v>19</v>
      </c>
      <c r="H104" s="4">
        <v>44703</v>
      </c>
      <c r="I104" s="2" t="s">
        <v>29</v>
      </c>
      <c r="J104" s="2" t="s">
        <v>22</v>
      </c>
      <c r="M104" t="str">
        <f t="shared" si="4"/>
        <v>Female</v>
      </c>
      <c r="N104" t="str">
        <f t="shared" si="5"/>
        <v>Hyderabad</v>
      </c>
      <c r="O104" t="str">
        <f t="shared" si="6"/>
        <v>English</v>
      </c>
      <c r="P104" t="str">
        <f t="shared" si="7"/>
        <v>Premium</v>
      </c>
    </row>
    <row r="105" spans="1:16" x14ac:dyDescent="0.3">
      <c r="A105" s="2" t="s">
        <v>148</v>
      </c>
      <c r="B105" s="2" t="s">
        <v>24</v>
      </c>
      <c r="C105" s="3">
        <v>51</v>
      </c>
      <c r="D105" t="s">
        <v>46</v>
      </c>
      <c r="E105" s="2" t="s">
        <v>19</v>
      </c>
      <c r="F105" s="2" t="s">
        <v>64</v>
      </c>
      <c r="G105">
        <v>6</v>
      </c>
      <c r="H105" s="4">
        <v>45101</v>
      </c>
      <c r="I105" s="2" t="s">
        <v>49</v>
      </c>
      <c r="J105" s="2" t="s">
        <v>27</v>
      </c>
      <c r="M105" t="str">
        <f t="shared" si="4"/>
        <v>Female</v>
      </c>
      <c r="N105" t="str">
        <f t="shared" si="5"/>
        <v>Pune</v>
      </c>
      <c r="O105" t="str">
        <f t="shared" si="6"/>
        <v>Kannada</v>
      </c>
      <c r="P105" t="str">
        <f t="shared" si="7"/>
        <v>Standard</v>
      </c>
    </row>
    <row r="106" spans="1:16" x14ac:dyDescent="0.3">
      <c r="A106" s="2" t="s">
        <v>149</v>
      </c>
      <c r="B106" s="2" t="s">
        <v>24</v>
      </c>
      <c r="C106" s="3">
        <v>30</v>
      </c>
      <c r="D106" t="s">
        <v>18</v>
      </c>
      <c r="E106" s="2" t="s">
        <v>13</v>
      </c>
      <c r="F106" s="2" t="s">
        <v>56</v>
      </c>
      <c r="G106">
        <v>42</v>
      </c>
      <c r="H106" s="4">
        <v>44003</v>
      </c>
      <c r="I106" s="2" t="s">
        <v>49</v>
      </c>
      <c r="J106" s="2" t="s">
        <v>16</v>
      </c>
      <c r="M106" t="str">
        <f t="shared" si="4"/>
        <v>Male</v>
      </c>
      <c r="N106" t="str">
        <f t="shared" si="5"/>
        <v>Hyderabad</v>
      </c>
      <c r="O106" t="str">
        <f t="shared" si="6"/>
        <v>Kannada</v>
      </c>
      <c r="P106" t="str">
        <f t="shared" si="7"/>
        <v>Basic</v>
      </c>
    </row>
    <row r="107" spans="1:16" x14ac:dyDescent="0.3">
      <c r="A107" s="2" t="s">
        <v>150</v>
      </c>
      <c r="B107" s="2" t="s">
        <v>42</v>
      </c>
      <c r="C107" s="3">
        <v>26</v>
      </c>
      <c r="D107" t="s">
        <v>18</v>
      </c>
      <c r="E107" s="2" t="s">
        <v>13</v>
      </c>
      <c r="F107" s="2" t="s">
        <v>38</v>
      </c>
      <c r="G107">
        <v>17</v>
      </c>
      <c r="H107" s="4">
        <v>44779</v>
      </c>
      <c r="I107" s="2" t="s">
        <v>34</v>
      </c>
      <c r="J107" s="2" t="s">
        <v>27</v>
      </c>
      <c r="M107" t="str">
        <f t="shared" si="4"/>
        <v>Male</v>
      </c>
      <c r="N107" t="str">
        <f t="shared" si="5"/>
        <v>Delhi</v>
      </c>
      <c r="O107" t="str">
        <f t="shared" si="6"/>
        <v>Marathi</v>
      </c>
      <c r="P107" t="str">
        <f t="shared" si="7"/>
        <v>Standard</v>
      </c>
    </row>
    <row r="108" spans="1:16" x14ac:dyDescent="0.3">
      <c r="A108" s="2" t="s">
        <v>151</v>
      </c>
      <c r="B108" s="2" t="s">
        <v>24</v>
      </c>
      <c r="C108" s="3">
        <v>26</v>
      </c>
      <c r="D108" t="s">
        <v>18</v>
      </c>
      <c r="E108" s="2" t="s">
        <v>19</v>
      </c>
      <c r="F108" s="2" t="s">
        <v>20</v>
      </c>
      <c r="G108">
        <v>8</v>
      </c>
      <c r="H108" s="4">
        <v>45030</v>
      </c>
      <c r="I108" s="2" t="s">
        <v>47</v>
      </c>
      <c r="J108" s="2" t="s">
        <v>22</v>
      </c>
      <c r="M108" t="str">
        <f t="shared" si="4"/>
        <v>Female</v>
      </c>
      <c r="N108" t="str">
        <f t="shared" si="5"/>
        <v>Chennai</v>
      </c>
      <c r="O108" t="str">
        <f t="shared" si="6"/>
        <v>Hindi</v>
      </c>
      <c r="P108" t="str">
        <f t="shared" si="7"/>
        <v>Premium</v>
      </c>
    </row>
    <row r="109" spans="1:16" x14ac:dyDescent="0.3">
      <c r="A109" s="2" t="s">
        <v>152</v>
      </c>
      <c r="B109" s="2" t="s">
        <v>61</v>
      </c>
      <c r="C109" s="3">
        <v>30</v>
      </c>
      <c r="D109" t="s">
        <v>18</v>
      </c>
      <c r="E109" s="2" t="s">
        <v>13</v>
      </c>
      <c r="F109" s="2" t="s">
        <v>54</v>
      </c>
      <c r="G109">
        <v>59</v>
      </c>
      <c r="H109" s="4">
        <v>43516</v>
      </c>
      <c r="I109" s="2" t="s">
        <v>29</v>
      </c>
      <c r="J109" s="2" t="s">
        <v>27</v>
      </c>
      <c r="M109" t="str">
        <f t="shared" si="4"/>
        <v>Male</v>
      </c>
      <c r="N109" t="str">
        <f t="shared" si="5"/>
        <v>Bangalore</v>
      </c>
      <c r="O109" t="str">
        <f t="shared" si="6"/>
        <v>English</v>
      </c>
      <c r="P109" t="str">
        <f t="shared" si="7"/>
        <v>Standard</v>
      </c>
    </row>
    <row r="110" spans="1:16" x14ac:dyDescent="0.3">
      <c r="A110" s="2" t="s">
        <v>153</v>
      </c>
      <c r="B110" s="2" t="s">
        <v>24</v>
      </c>
      <c r="C110" s="3">
        <v>28</v>
      </c>
      <c r="D110" t="s">
        <v>18</v>
      </c>
      <c r="E110" s="2" t="s">
        <v>13</v>
      </c>
      <c r="F110" s="2" t="s">
        <v>54</v>
      </c>
      <c r="G110">
        <v>49</v>
      </c>
      <c r="H110" s="4">
        <v>43805</v>
      </c>
      <c r="I110" s="2" t="s">
        <v>39</v>
      </c>
      <c r="J110" s="2" t="s">
        <v>22</v>
      </c>
      <c r="M110" t="str">
        <f t="shared" si="4"/>
        <v>Male</v>
      </c>
      <c r="N110" t="str">
        <f t="shared" si="5"/>
        <v>Bangalore</v>
      </c>
      <c r="O110" t="str">
        <f t="shared" si="6"/>
        <v>Tamil</v>
      </c>
      <c r="P110" t="str">
        <f t="shared" si="7"/>
        <v>Premium</v>
      </c>
    </row>
    <row r="111" spans="1:16" x14ac:dyDescent="0.3">
      <c r="A111" s="2" t="s">
        <v>154</v>
      </c>
      <c r="B111" s="2" t="s">
        <v>61</v>
      </c>
      <c r="C111" s="3">
        <v>47</v>
      </c>
      <c r="D111" t="s">
        <v>46</v>
      </c>
      <c r="E111" s="2" t="s">
        <v>13</v>
      </c>
      <c r="F111" s="2" t="s">
        <v>38</v>
      </c>
      <c r="G111">
        <v>5</v>
      </c>
      <c r="H111" s="4">
        <v>45128</v>
      </c>
      <c r="I111" s="2" t="s">
        <v>21</v>
      </c>
      <c r="J111" s="2" t="s">
        <v>27</v>
      </c>
      <c r="M111" t="str">
        <f t="shared" si="4"/>
        <v>Male</v>
      </c>
      <c r="N111" t="str">
        <f t="shared" si="5"/>
        <v>Delhi</v>
      </c>
      <c r="O111" t="str">
        <f t="shared" si="6"/>
        <v>Bengali</v>
      </c>
      <c r="P111" t="str">
        <f t="shared" si="7"/>
        <v>Standard</v>
      </c>
    </row>
    <row r="112" spans="1:16" x14ac:dyDescent="0.3">
      <c r="A112" s="2" t="s">
        <v>155</v>
      </c>
      <c r="B112" s="2" t="s">
        <v>11</v>
      </c>
      <c r="C112" s="3">
        <v>35</v>
      </c>
      <c r="D112" t="s">
        <v>12</v>
      </c>
      <c r="E112" s="2" t="s">
        <v>13</v>
      </c>
      <c r="F112" s="2" t="s">
        <v>33</v>
      </c>
      <c r="G112">
        <v>44</v>
      </c>
      <c r="H112" s="4">
        <v>43952</v>
      </c>
      <c r="I112" s="2" t="s">
        <v>39</v>
      </c>
      <c r="J112" s="2" t="s">
        <v>22</v>
      </c>
      <c r="M112" t="str">
        <f t="shared" si="4"/>
        <v>Male</v>
      </c>
      <c r="N112" t="str">
        <f t="shared" si="5"/>
        <v>Jaipur</v>
      </c>
      <c r="O112" t="str">
        <f t="shared" si="6"/>
        <v>Tamil</v>
      </c>
      <c r="P112" t="str">
        <f t="shared" si="7"/>
        <v>Premium</v>
      </c>
    </row>
    <row r="113" spans="1:16" x14ac:dyDescent="0.3">
      <c r="A113" s="2" t="s">
        <v>156</v>
      </c>
      <c r="B113" s="2" t="s">
        <v>24</v>
      </c>
      <c r="C113" s="3">
        <v>42</v>
      </c>
      <c r="D113" t="s">
        <v>12</v>
      </c>
      <c r="E113" s="2" t="s">
        <v>19</v>
      </c>
      <c r="F113" s="2" t="s">
        <v>14</v>
      </c>
      <c r="G113">
        <v>58</v>
      </c>
      <c r="H113" s="4">
        <v>43530</v>
      </c>
      <c r="I113" s="2" t="s">
        <v>29</v>
      </c>
      <c r="J113" s="2" t="s">
        <v>16</v>
      </c>
      <c r="M113" t="str">
        <f t="shared" si="4"/>
        <v>Female</v>
      </c>
      <c r="N113" t="str">
        <f t="shared" si="5"/>
        <v>Kolkata</v>
      </c>
      <c r="O113" t="str">
        <f t="shared" si="6"/>
        <v>English</v>
      </c>
      <c r="P113" t="str">
        <f t="shared" si="7"/>
        <v>Basic</v>
      </c>
    </row>
    <row r="114" spans="1:16" x14ac:dyDescent="0.3">
      <c r="A114" s="2" t="s">
        <v>157</v>
      </c>
      <c r="B114" s="2" t="s">
        <v>31</v>
      </c>
      <c r="C114" s="3">
        <v>33</v>
      </c>
      <c r="D114" t="s">
        <v>18</v>
      </c>
      <c r="E114" s="2" t="s">
        <v>19</v>
      </c>
      <c r="F114" s="2" t="s">
        <v>88</v>
      </c>
      <c r="G114">
        <v>24</v>
      </c>
      <c r="H114" s="4">
        <v>44571</v>
      </c>
      <c r="I114" s="2" t="s">
        <v>47</v>
      </c>
      <c r="J114" s="2" t="s">
        <v>22</v>
      </c>
      <c r="M114" t="str">
        <f t="shared" si="4"/>
        <v>Female</v>
      </c>
      <c r="N114" t="str">
        <f t="shared" si="5"/>
        <v>Lucknow</v>
      </c>
      <c r="O114" t="str">
        <f t="shared" si="6"/>
        <v>Hindi</v>
      </c>
      <c r="P114" t="str">
        <f t="shared" si="7"/>
        <v>Premium</v>
      </c>
    </row>
    <row r="115" spans="1:16" x14ac:dyDescent="0.3">
      <c r="A115" s="2" t="s">
        <v>158</v>
      </c>
      <c r="B115" s="2" t="s">
        <v>11</v>
      </c>
      <c r="C115" s="3">
        <v>29</v>
      </c>
      <c r="D115" t="s">
        <v>18</v>
      </c>
      <c r="E115" s="2" t="s">
        <v>13</v>
      </c>
      <c r="F115" s="2" t="s">
        <v>14</v>
      </c>
      <c r="G115">
        <v>33</v>
      </c>
      <c r="H115" s="4">
        <v>44273</v>
      </c>
      <c r="I115" s="2" t="s">
        <v>15</v>
      </c>
      <c r="J115" s="2" t="s">
        <v>22</v>
      </c>
      <c r="M115" t="str">
        <f t="shared" si="4"/>
        <v>Male</v>
      </c>
      <c r="N115" t="str">
        <f t="shared" si="5"/>
        <v>Kolkata</v>
      </c>
      <c r="O115" t="str">
        <f t="shared" si="6"/>
        <v>Telugu</v>
      </c>
      <c r="P115" t="str">
        <f t="shared" si="7"/>
        <v>Premium</v>
      </c>
    </row>
    <row r="116" spans="1:16" x14ac:dyDescent="0.3">
      <c r="A116" s="2" t="s">
        <v>159</v>
      </c>
      <c r="B116" s="2" t="s">
        <v>42</v>
      </c>
      <c r="C116" s="3">
        <v>40</v>
      </c>
      <c r="D116" t="s">
        <v>12</v>
      </c>
      <c r="E116" s="2" t="s">
        <v>13</v>
      </c>
      <c r="F116" s="2" t="s">
        <v>56</v>
      </c>
      <c r="G116">
        <v>28</v>
      </c>
      <c r="H116" s="4">
        <v>44446</v>
      </c>
      <c r="I116" s="2" t="s">
        <v>39</v>
      </c>
      <c r="J116" s="2" t="s">
        <v>22</v>
      </c>
      <c r="M116" t="str">
        <f t="shared" si="4"/>
        <v>Male</v>
      </c>
      <c r="N116" t="str">
        <f t="shared" si="5"/>
        <v>Hyderabad</v>
      </c>
      <c r="O116" t="str">
        <f t="shared" si="6"/>
        <v>Tamil</v>
      </c>
      <c r="P116" t="str">
        <f t="shared" si="7"/>
        <v>Premium</v>
      </c>
    </row>
    <row r="117" spans="1:16" x14ac:dyDescent="0.3">
      <c r="A117" s="2" t="s">
        <v>160</v>
      </c>
      <c r="B117" s="2" t="s">
        <v>11</v>
      </c>
      <c r="C117" s="3">
        <v>18</v>
      </c>
      <c r="D117" t="s">
        <v>32</v>
      </c>
      <c r="E117" s="2" t="s">
        <v>13</v>
      </c>
      <c r="F117" s="2" t="s">
        <v>54</v>
      </c>
      <c r="G117">
        <v>56</v>
      </c>
      <c r="H117" s="4">
        <v>43596</v>
      </c>
      <c r="I117" s="2" t="s">
        <v>34</v>
      </c>
      <c r="J117" s="2" t="s">
        <v>65</v>
      </c>
      <c r="M117" t="str">
        <f t="shared" si="4"/>
        <v>Male</v>
      </c>
      <c r="N117" t="str">
        <f t="shared" si="5"/>
        <v>Bangalore</v>
      </c>
      <c r="O117" t="str">
        <f t="shared" si="6"/>
        <v>Marathi</v>
      </c>
      <c r="P117" t="str">
        <f t="shared" si="7"/>
        <v>Family</v>
      </c>
    </row>
    <row r="118" spans="1:16" x14ac:dyDescent="0.3">
      <c r="A118" s="2" t="s">
        <v>161</v>
      </c>
      <c r="B118" s="2" t="s">
        <v>24</v>
      </c>
      <c r="C118" s="3">
        <v>33</v>
      </c>
      <c r="D118" t="s">
        <v>18</v>
      </c>
      <c r="E118" s="2" t="s">
        <v>13</v>
      </c>
      <c r="F118" s="2" t="s">
        <v>88</v>
      </c>
      <c r="G118">
        <v>25</v>
      </c>
      <c r="H118" s="4">
        <v>44540</v>
      </c>
      <c r="I118" s="2" t="s">
        <v>47</v>
      </c>
      <c r="J118" s="2" t="s">
        <v>16</v>
      </c>
      <c r="M118" t="str">
        <f t="shared" si="4"/>
        <v>Male</v>
      </c>
      <c r="N118" t="str">
        <f t="shared" si="5"/>
        <v>Lucknow</v>
      </c>
      <c r="O118" t="str">
        <f t="shared" si="6"/>
        <v>Hindi</v>
      </c>
      <c r="P118" t="str">
        <f t="shared" si="7"/>
        <v>Basic</v>
      </c>
    </row>
    <row r="119" spans="1:16" x14ac:dyDescent="0.3">
      <c r="A119" s="2" t="s">
        <v>162</v>
      </c>
      <c r="B119" s="2" t="s">
        <v>42</v>
      </c>
      <c r="C119" s="3">
        <v>24</v>
      </c>
      <c r="D119" t="s">
        <v>32</v>
      </c>
      <c r="E119" s="2" t="s">
        <v>13</v>
      </c>
      <c r="F119" s="2" t="s">
        <v>64</v>
      </c>
      <c r="G119">
        <v>4</v>
      </c>
      <c r="H119" s="4">
        <v>45158</v>
      </c>
      <c r="I119" s="2" t="s">
        <v>62</v>
      </c>
      <c r="J119" s="2" t="s">
        <v>16</v>
      </c>
      <c r="M119" t="str">
        <f t="shared" si="4"/>
        <v>Male</v>
      </c>
      <c r="N119" t="str">
        <f t="shared" si="5"/>
        <v>Pune</v>
      </c>
      <c r="O119" t="str">
        <f t="shared" si="6"/>
        <v>Gujarati</v>
      </c>
      <c r="P119" t="str">
        <f t="shared" si="7"/>
        <v>Basic</v>
      </c>
    </row>
    <row r="120" spans="1:16" x14ac:dyDescent="0.3">
      <c r="A120" s="2" t="s">
        <v>163</v>
      </c>
      <c r="B120" s="2" t="s">
        <v>24</v>
      </c>
      <c r="C120" s="3">
        <v>33</v>
      </c>
      <c r="D120" t="s">
        <v>18</v>
      </c>
      <c r="E120" s="2" t="s">
        <v>19</v>
      </c>
      <c r="F120" s="2" t="s">
        <v>56</v>
      </c>
      <c r="G120">
        <v>39</v>
      </c>
      <c r="H120" s="4">
        <v>44120</v>
      </c>
      <c r="I120" s="2" t="s">
        <v>34</v>
      </c>
      <c r="J120" s="2" t="s">
        <v>22</v>
      </c>
      <c r="M120" t="str">
        <f t="shared" si="4"/>
        <v>Female</v>
      </c>
      <c r="N120" t="str">
        <f t="shared" si="5"/>
        <v>Hyderabad</v>
      </c>
      <c r="O120" t="str">
        <f t="shared" si="6"/>
        <v>Marathi</v>
      </c>
      <c r="P120" t="str">
        <f t="shared" si="7"/>
        <v>Premium</v>
      </c>
    </row>
    <row r="121" spans="1:16" x14ac:dyDescent="0.3">
      <c r="A121" s="2" t="s">
        <v>164</v>
      </c>
      <c r="B121" s="2" t="s">
        <v>61</v>
      </c>
      <c r="C121" s="3">
        <v>18</v>
      </c>
      <c r="D121" t="s">
        <v>32</v>
      </c>
      <c r="E121" s="2" t="s">
        <v>13</v>
      </c>
      <c r="F121" s="2" t="s">
        <v>88</v>
      </c>
      <c r="G121">
        <v>22</v>
      </c>
      <c r="H121" s="4">
        <v>44610</v>
      </c>
      <c r="I121" s="2" t="s">
        <v>39</v>
      </c>
      <c r="J121" s="2" t="s">
        <v>27</v>
      </c>
      <c r="M121" t="str">
        <f t="shared" si="4"/>
        <v>Male</v>
      </c>
      <c r="N121" t="str">
        <f t="shared" si="5"/>
        <v>Lucknow</v>
      </c>
      <c r="O121" t="str">
        <f t="shared" si="6"/>
        <v>Tamil</v>
      </c>
      <c r="P121" t="str">
        <f t="shared" si="7"/>
        <v>Standard</v>
      </c>
    </row>
    <row r="122" spans="1:16" x14ac:dyDescent="0.3">
      <c r="A122" s="2" t="s">
        <v>165</v>
      </c>
      <c r="B122" s="2" t="s">
        <v>24</v>
      </c>
      <c r="C122" s="3">
        <v>29</v>
      </c>
      <c r="D122" t="s">
        <v>18</v>
      </c>
      <c r="E122" s="2" t="s">
        <v>19</v>
      </c>
      <c r="F122" s="2" t="s">
        <v>64</v>
      </c>
      <c r="G122">
        <v>40</v>
      </c>
      <c r="H122" s="4">
        <v>44067</v>
      </c>
      <c r="I122" s="2" t="s">
        <v>21</v>
      </c>
      <c r="J122" s="2" t="s">
        <v>22</v>
      </c>
      <c r="M122" t="str">
        <f t="shared" si="4"/>
        <v>Female</v>
      </c>
      <c r="N122" t="str">
        <f t="shared" si="5"/>
        <v>Pune</v>
      </c>
      <c r="O122" t="str">
        <f t="shared" si="6"/>
        <v>Bengali</v>
      </c>
      <c r="P122" t="str">
        <f t="shared" si="7"/>
        <v>Premium</v>
      </c>
    </row>
    <row r="123" spans="1:16" x14ac:dyDescent="0.3">
      <c r="A123" s="2" t="s">
        <v>166</v>
      </c>
      <c r="B123" s="2" t="s">
        <v>31</v>
      </c>
      <c r="C123" s="3">
        <v>33</v>
      </c>
      <c r="D123" t="s">
        <v>18</v>
      </c>
      <c r="E123" s="2" t="s">
        <v>19</v>
      </c>
      <c r="F123" s="2" t="s">
        <v>88</v>
      </c>
      <c r="G123">
        <v>53</v>
      </c>
      <c r="H123" s="4">
        <v>43676</v>
      </c>
      <c r="I123" s="2" t="s">
        <v>49</v>
      </c>
      <c r="J123" s="2" t="s">
        <v>16</v>
      </c>
      <c r="M123" t="str">
        <f t="shared" si="4"/>
        <v>Female</v>
      </c>
      <c r="N123" t="str">
        <f t="shared" si="5"/>
        <v>Lucknow</v>
      </c>
      <c r="O123" t="str">
        <f t="shared" si="6"/>
        <v>Kannada</v>
      </c>
      <c r="P123" t="str">
        <f t="shared" si="7"/>
        <v>Basic</v>
      </c>
    </row>
    <row r="124" spans="1:16" x14ac:dyDescent="0.3">
      <c r="A124" s="2" t="s">
        <v>167</v>
      </c>
      <c r="B124" s="2" t="s">
        <v>24</v>
      </c>
      <c r="C124" s="3">
        <v>38</v>
      </c>
      <c r="D124" t="s">
        <v>12</v>
      </c>
      <c r="E124" s="2" t="s">
        <v>19</v>
      </c>
      <c r="F124" s="2" t="s">
        <v>36</v>
      </c>
      <c r="G124">
        <v>60</v>
      </c>
      <c r="H124" s="4">
        <v>43475</v>
      </c>
      <c r="I124" s="2" t="s">
        <v>47</v>
      </c>
      <c r="J124" s="2" t="s">
        <v>22</v>
      </c>
      <c r="M124" t="str">
        <f t="shared" si="4"/>
        <v>Female</v>
      </c>
      <c r="N124" t="str">
        <f t="shared" si="5"/>
        <v>Ahmedabad</v>
      </c>
      <c r="O124" t="str">
        <f t="shared" si="6"/>
        <v>Hindi</v>
      </c>
      <c r="P124" t="str">
        <f t="shared" si="7"/>
        <v>Premium</v>
      </c>
    </row>
    <row r="125" spans="1:16" x14ac:dyDescent="0.3">
      <c r="A125" s="2" t="s">
        <v>168</v>
      </c>
      <c r="B125" s="2" t="s">
        <v>11</v>
      </c>
      <c r="C125" s="3">
        <v>33</v>
      </c>
      <c r="D125" t="s">
        <v>18</v>
      </c>
      <c r="E125" s="2" t="s">
        <v>19</v>
      </c>
      <c r="F125" s="2" t="s">
        <v>14</v>
      </c>
      <c r="G125">
        <v>42</v>
      </c>
      <c r="H125" s="4">
        <v>44013</v>
      </c>
      <c r="I125" s="2" t="s">
        <v>26</v>
      </c>
      <c r="J125" s="2" t="s">
        <v>16</v>
      </c>
      <c r="M125" t="str">
        <f t="shared" si="4"/>
        <v>Female</v>
      </c>
      <c r="N125" t="str">
        <f t="shared" si="5"/>
        <v>Kolkata</v>
      </c>
      <c r="O125" t="str">
        <f t="shared" si="6"/>
        <v>Malayalam</v>
      </c>
      <c r="P125" t="str">
        <f t="shared" si="7"/>
        <v>Basic</v>
      </c>
    </row>
    <row r="126" spans="1:16" x14ac:dyDescent="0.3">
      <c r="A126" s="2" t="s">
        <v>169</v>
      </c>
      <c r="B126" s="2" t="s">
        <v>24</v>
      </c>
      <c r="C126" s="3">
        <v>28</v>
      </c>
      <c r="D126" t="s">
        <v>18</v>
      </c>
      <c r="E126" s="2" t="s">
        <v>19</v>
      </c>
      <c r="F126" s="2" t="s">
        <v>14</v>
      </c>
      <c r="G126">
        <v>20</v>
      </c>
      <c r="H126" s="4">
        <v>44673</v>
      </c>
      <c r="I126" s="2" t="s">
        <v>29</v>
      </c>
      <c r="J126" s="2" t="s">
        <v>27</v>
      </c>
      <c r="M126" t="str">
        <f t="shared" si="4"/>
        <v>Female</v>
      </c>
      <c r="N126" t="str">
        <f t="shared" si="5"/>
        <v>Kolkata</v>
      </c>
      <c r="O126" t="str">
        <f t="shared" si="6"/>
        <v>English</v>
      </c>
      <c r="P126" t="str">
        <f t="shared" si="7"/>
        <v>Standard</v>
      </c>
    </row>
    <row r="127" spans="1:16" x14ac:dyDescent="0.3">
      <c r="A127" s="2" t="s">
        <v>170</v>
      </c>
      <c r="B127" s="2" t="s">
        <v>24</v>
      </c>
      <c r="C127" s="3">
        <v>53</v>
      </c>
      <c r="D127" t="s">
        <v>46</v>
      </c>
      <c r="E127" s="2" t="s">
        <v>13</v>
      </c>
      <c r="F127" s="2" t="s">
        <v>14</v>
      </c>
      <c r="G127">
        <v>52</v>
      </c>
      <c r="H127" s="4">
        <v>43732</v>
      </c>
      <c r="I127" s="2" t="s">
        <v>26</v>
      </c>
      <c r="J127" s="2" t="s">
        <v>16</v>
      </c>
      <c r="M127" t="str">
        <f t="shared" si="4"/>
        <v>Male</v>
      </c>
      <c r="N127" t="str">
        <f t="shared" si="5"/>
        <v>Kolkata</v>
      </c>
      <c r="O127" t="str">
        <f t="shared" si="6"/>
        <v>Malayalam</v>
      </c>
      <c r="P127" t="str">
        <f t="shared" si="7"/>
        <v>Basic</v>
      </c>
    </row>
    <row r="128" spans="1:16" x14ac:dyDescent="0.3">
      <c r="A128" s="2" t="s">
        <v>171</v>
      </c>
      <c r="B128" s="2" t="s">
        <v>31</v>
      </c>
      <c r="C128" s="3">
        <v>46</v>
      </c>
      <c r="D128" t="s">
        <v>46</v>
      </c>
      <c r="E128" s="2" t="s">
        <v>13</v>
      </c>
      <c r="F128" s="2" t="s">
        <v>38</v>
      </c>
      <c r="G128">
        <v>29</v>
      </c>
      <c r="H128" s="4">
        <v>44416</v>
      </c>
      <c r="I128" s="2" t="s">
        <v>34</v>
      </c>
      <c r="J128" s="2" t="s">
        <v>22</v>
      </c>
      <c r="M128" t="str">
        <f t="shared" si="4"/>
        <v>Male</v>
      </c>
      <c r="N128" t="str">
        <f t="shared" si="5"/>
        <v>Delhi</v>
      </c>
      <c r="O128" t="str">
        <f t="shared" si="6"/>
        <v>Marathi</v>
      </c>
      <c r="P128" t="str">
        <f t="shared" si="7"/>
        <v>Premium</v>
      </c>
    </row>
    <row r="129" spans="1:16" x14ac:dyDescent="0.3">
      <c r="A129" s="2" t="s">
        <v>172</v>
      </c>
      <c r="B129" s="2" t="s">
        <v>11</v>
      </c>
      <c r="C129" s="3">
        <v>32</v>
      </c>
      <c r="D129" t="s">
        <v>18</v>
      </c>
      <c r="E129" s="2" t="s">
        <v>19</v>
      </c>
      <c r="F129" s="2" t="s">
        <v>14</v>
      </c>
      <c r="G129">
        <v>22</v>
      </c>
      <c r="H129" s="4">
        <v>44605</v>
      </c>
      <c r="I129" s="2" t="s">
        <v>21</v>
      </c>
      <c r="J129" s="2" t="s">
        <v>27</v>
      </c>
      <c r="M129" t="str">
        <f t="shared" si="4"/>
        <v>Female</v>
      </c>
      <c r="N129" t="str">
        <f t="shared" si="5"/>
        <v>Kolkata</v>
      </c>
      <c r="O129" t="str">
        <f t="shared" si="6"/>
        <v>Bengali</v>
      </c>
      <c r="P129" t="str">
        <f t="shared" si="7"/>
        <v>Standard</v>
      </c>
    </row>
    <row r="130" spans="1:16" x14ac:dyDescent="0.3">
      <c r="A130" s="2" t="s">
        <v>173</v>
      </c>
      <c r="B130" s="2" t="s">
        <v>31</v>
      </c>
      <c r="C130" s="3">
        <v>30</v>
      </c>
      <c r="D130" t="s">
        <v>18</v>
      </c>
      <c r="E130" s="2" t="s">
        <v>19</v>
      </c>
      <c r="F130" s="2" t="s">
        <v>64</v>
      </c>
      <c r="G130">
        <v>54</v>
      </c>
      <c r="H130" s="4">
        <v>43649</v>
      </c>
      <c r="I130" s="2" t="s">
        <v>26</v>
      </c>
      <c r="J130" s="2" t="s">
        <v>16</v>
      </c>
      <c r="M130" t="str">
        <f t="shared" si="4"/>
        <v>Female</v>
      </c>
      <c r="N130" t="str">
        <f t="shared" si="5"/>
        <v>Pune</v>
      </c>
      <c r="O130" t="str">
        <f t="shared" si="6"/>
        <v>Malayalam</v>
      </c>
      <c r="P130" t="str">
        <f t="shared" si="7"/>
        <v>Basic</v>
      </c>
    </row>
    <row r="131" spans="1:16" x14ac:dyDescent="0.3">
      <c r="A131" s="2" t="s">
        <v>174</v>
      </c>
      <c r="B131" s="2" t="s">
        <v>61</v>
      </c>
      <c r="C131" s="3">
        <v>29</v>
      </c>
      <c r="D131" t="s">
        <v>18</v>
      </c>
      <c r="E131" s="2" t="s">
        <v>19</v>
      </c>
      <c r="F131" s="2" t="s">
        <v>36</v>
      </c>
      <c r="G131">
        <v>10</v>
      </c>
      <c r="H131" s="4">
        <v>44988</v>
      </c>
      <c r="I131" s="2" t="s">
        <v>62</v>
      </c>
      <c r="J131" s="2" t="s">
        <v>27</v>
      </c>
      <c r="M131" t="str">
        <f t="shared" ref="M131:M194" si="8">TRIM(E131)</f>
        <v>Female</v>
      </c>
      <c r="N131" t="str">
        <f t="shared" ref="N131:N194" si="9">TRIM(F131)</f>
        <v>Ahmedabad</v>
      </c>
      <c r="O131" t="str">
        <f t="shared" ref="O131:O194" si="10">TRIM(I131)</f>
        <v>Gujarati</v>
      </c>
      <c r="P131" t="str">
        <f t="shared" ref="P131:P194" si="11">TRIM(J131)</f>
        <v>Standard</v>
      </c>
    </row>
    <row r="132" spans="1:16" x14ac:dyDescent="0.3">
      <c r="A132" s="2" t="s">
        <v>175</v>
      </c>
      <c r="B132" s="2" t="s">
        <v>11</v>
      </c>
      <c r="C132" s="3">
        <v>24</v>
      </c>
      <c r="D132" t="s">
        <v>32</v>
      </c>
      <c r="E132" s="2" t="s">
        <v>13</v>
      </c>
      <c r="F132" s="2" t="s">
        <v>88</v>
      </c>
      <c r="G132">
        <v>59</v>
      </c>
      <c r="H132" s="4">
        <v>43509</v>
      </c>
      <c r="I132" s="2" t="s">
        <v>49</v>
      </c>
      <c r="J132" s="2" t="s">
        <v>22</v>
      </c>
      <c r="M132" t="str">
        <f t="shared" si="8"/>
        <v>Male</v>
      </c>
      <c r="N132" t="str">
        <f t="shared" si="9"/>
        <v>Lucknow</v>
      </c>
      <c r="O132" t="str">
        <f t="shared" si="10"/>
        <v>Kannada</v>
      </c>
      <c r="P132" t="str">
        <f t="shared" si="11"/>
        <v>Premium</v>
      </c>
    </row>
    <row r="133" spans="1:16" x14ac:dyDescent="0.3">
      <c r="A133" s="2" t="s">
        <v>176</v>
      </c>
      <c r="B133" s="2" t="s">
        <v>24</v>
      </c>
      <c r="C133" s="3">
        <v>30</v>
      </c>
      <c r="D133" t="s">
        <v>18</v>
      </c>
      <c r="E133" s="2" t="s">
        <v>13</v>
      </c>
      <c r="F133" s="2" t="s">
        <v>56</v>
      </c>
      <c r="G133">
        <v>21</v>
      </c>
      <c r="H133" s="4">
        <v>44644</v>
      </c>
      <c r="I133" s="2" t="s">
        <v>47</v>
      </c>
      <c r="J133" s="2" t="s">
        <v>16</v>
      </c>
      <c r="M133" t="str">
        <f t="shared" si="8"/>
        <v>Male</v>
      </c>
      <c r="N133" t="str">
        <f t="shared" si="9"/>
        <v>Hyderabad</v>
      </c>
      <c r="O133" t="str">
        <f t="shared" si="10"/>
        <v>Hindi</v>
      </c>
      <c r="P133" t="str">
        <f t="shared" si="11"/>
        <v>Basic</v>
      </c>
    </row>
    <row r="134" spans="1:16" x14ac:dyDescent="0.3">
      <c r="A134" s="2" t="s">
        <v>177</v>
      </c>
      <c r="B134" s="2" t="s">
        <v>11</v>
      </c>
      <c r="C134" s="3">
        <v>36</v>
      </c>
      <c r="D134" t="s">
        <v>12</v>
      </c>
      <c r="E134" s="2" t="s">
        <v>19</v>
      </c>
      <c r="F134" s="2" t="s">
        <v>14</v>
      </c>
      <c r="G134">
        <v>26</v>
      </c>
      <c r="H134" s="4">
        <v>44510</v>
      </c>
      <c r="I134" s="2" t="s">
        <v>15</v>
      </c>
      <c r="J134" s="2" t="s">
        <v>16</v>
      </c>
      <c r="M134" t="str">
        <f t="shared" si="8"/>
        <v>Female</v>
      </c>
      <c r="N134" t="str">
        <f t="shared" si="9"/>
        <v>Kolkata</v>
      </c>
      <c r="O134" t="str">
        <f t="shared" si="10"/>
        <v>Telugu</v>
      </c>
      <c r="P134" t="str">
        <f t="shared" si="11"/>
        <v>Basic</v>
      </c>
    </row>
    <row r="135" spans="1:16" x14ac:dyDescent="0.3">
      <c r="A135" s="2" t="s">
        <v>178</v>
      </c>
      <c r="B135" s="2" t="s">
        <v>42</v>
      </c>
      <c r="C135" s="3">
        <v>52</v>
      </c>
      <c r="D135" t="s">
        <v>46</v>
      </c>
      <c r="E135" s="2" t="s">
        <v>19</v>
      </c>
      <c r="F135" s="2" t="s">
        <v>88</v>
      </c>
      <c r="G135">
        <v>60</v>
      </c>
      <c r="H135" s="4">
        <v>43474</v>
      </c>
      <c r="I135" s="2" t="s">
        <v>29</v>
      </c>
      <c r="J135" s="2" t="s">
        <v>27</v>
      </c>
      <c r="M135" t="str">
        <f t="shared" si="8"/>
        <v>Female</v>
      </c>
      <c r="N135" t="str">
        <f t="shared" si="9"/>
        <v>Lucknow</v>
      </c>
      <c r="O135" t="str">
        <f t="shared" si="10"/>
        <v>English</v>
      </c>
      <c r="P135" t="str">
        <f t="shared" si="11"/>
        <v>Standard</v>
      </c>
    </row>
    <row r="136" spans="1:16" x14ac:dyDescent="0.3">
      <c r="A136" s="2" t="s">
        <v>179</v>
      </c>
      <c r="B136" s="2" t="s">
        <v>42</v>
      </c>
      <c r="C136" s="3">
        <v>23</v>
      </c>
      <c r="D136" t="s">
        <v>32</v>
      </c>
      <c r="E136" s="2" t="s">
        <v>13</v>
      </c>
      <c r="F136" s="2" t="s">
        <v>20</v>
      </c>
      <c r="G136">
        <v>49</v>
      </c>
      <c r="H136" s="4">
        <v>43794</v>
      </c>
      <c r="I136" s="2" t="s">
        <v>26</v>
      </c>
      <c r="J136" s="2" t="s">
        <v>16</v>
      </c>
      <c r="M136" t="str">
        <f t="shared" si="8"/>
        <v>Male</v>
      </c>
      <c r="N136" t="str">
        <f t="shared" si="9"/>
        <v>Chennai</v>
      </c>
      <c r="O136" t="str">
        <f t="shared" si="10"/>
        <v>Malayalam</v>
      </c>
      <c r="P136" t="str">
        <f t="shared" si="11"/>
        <v>Basic</v>
      </c>
    </row>
    <row r="137" spans="1:16" x14ac:dyDescent="0.3">
      <c r="A137" s="2" t="s">
        <v>180</v>
      </c>
      <c r="B137" s="2" t="s">
        <v>31</v>
      </c>
      <c r="C137" s="3">
        <v>32</v>
      </c>
      <c r="D137" t="s">
        <v>18</v>
      </c>
      <c r="E137" s="2" t="s">
        <v>13</v>
      </c>
      <c r="F137" s="2" t="s">
        <v>25</v>
      </c>
      <c r="G137">
        <v>51</v>
      </c>
      <c r="H137" s="4">
        <v>43735</v>
      </c>
      <c r="I137" s="2" t="s">
        <v>15</v>
      </c>
      <c r="J137" s="2" t="s">
        <v>27</v>
      </c>
      <c r="M137" t="str">
        <f t="shared" si="8"/>
        <v>Male</v>
      </c>
      <c r="N137" t="str">
        <f t="shared" si="9"/>
        <v>Mumbai</v>
      </c>
      <c r="O137" t="str">
        <f t="shared" si="10"/>
        <v>Telugu</v>
      </c>
      <c r="P137" t="str">
        <f t="shared" si="11"/>
        <v>Standard</v>
      </c>
    </row>
    <row r="138" spans="1:16" x14ac:dyDescent="0.3">
      <c r="A138" s="2" t="s">
        <v>181</v>
      </c>
      <c r="B138" s="2" t="s">
        <v>31</v>
      </c>
      <c r="C138" s="3">
        <v>40</v>
      </c>
      <c r="D138" t="s">
        <v>12</v>
      </c>
      <c r="E138" s="2" t="s">
        <v>13</v>
      </c>
      <c r="F138" s="2" t="s">
        <v>64</v>
      </c>
      <c r="G138">
        <v>26</v>
      </c>
      <c r="H138" s="4">
        <v>44496</v>
      </c>
      <c r="I138" s="2" t="s">
        <v>49</v>
      </c>
      <c r="J138" s="2" t="s">
        <v>27</v>
      </c>
      <c r="M138" t="str">
        <f t="shared" si="8"/>
        <v>Male</v>
      </c>
      <c r="N138" t="str">
        <f t="shared" si="9"/>
        <v>Pune</v>
      </c>
      <c r="O138" t="str">
        <f t="shared" si="10"/>
        <v>Kannada</v>
      </c>
      <c r="P138" t="str">
        <f t="shared" si="11"/>
        <v>Standard</v>
      </c>
    </row>
    <row r="139" spans="1:16" x14ac:dyDescent="0.3">
      <c r="A139" s="2" t="s">
        <v>182</v>
      </c>
      <c r="B139" s="2" t="s">
        <v>11</v>
      </c>
      <c r="C139" s="3">
        <v>40</v>
      </c>
      <c r="D139" t="s">
        <v>12</v>
      </c>
      <c r="E139" s="2" t="s">
        <v>19</v>
      </c>
      <c r="F139" s="2" t="s">
        <v>20</v>
      </c>
      <c r="G139">
        <v>57</v>
      </c>
      <c r="H139" s="4">
        <v>43553</v>
      </c>
      <c r="I139" s="2" t="s">
        <v>47</v>
      </c>
      <c r="J139" s="2" t="s">
        <v>22</v>
      </c>
      <c r="M139" t="str">
        <f t="shared" si="8"/>
        <v>Female</v>
      </c>
      <c r="N139" t="str">
        <f t="shared" si="9"/>
        <v>Chennai</v>
      </c>
      <c r="O139" t="str">
        <f t="shared" si="10"/>
        <v>Hindi</v>
      </c>
      <c r="P139" t="str">
        <f t="shared" si="11"/>
        <v>Premium</v>
      </c>
    </row>
    <row r="140" spans="1:16" x14ac:dyDescent="0.3">
      <c r="A140" s="2" t="s">
        <v>183</v>
      </c>
      <c r="B140" s="2" t="s">
        <v>61</v>
      </c>
      <c r="C140" s="3">
        <v>18</v>
      </c>
      <c r="D140" t="s">
        <v>32</v>
      </c>
      <c r="E140" s="2" t="s">
        <v>19</v>
      </c>
      <c r="F140" s="2" t="s">
        <v>38</v>
      </c>
      <c r="G140">
        <v>3</v>
      </c>
      <c r="H140" s="4">
        <v>45197</v>
      </c>
      <c r="I140" s="2" t="s">
        <v>49</v>
      </c>
      <c r="J140" s="2" t="s">
        <v>27</v>
      </c>
      <c r="M140" t="str">
        <f t="shared" si="8"/>
        <v>Female</v>
      </c>
      <c r="N140" t="str">
        <f t="shared" si="9"/>
        <v>Delhi</v>
      </c>
      <c r="O140" t="str">
        <f t="shared" si="10"/>
        <v>Kannada</v>
      </c>
      <c r="P140" t="str">
        <f t="shared" si="11"/>
        <v>Standard</v>
      </c>
    </row>
    <row r="141" spans="1:16" x14ac:dyDescent="0.3">
      <c r="A141" s="2" t="s">
        <v>184</v>
      </c>
      <c r="B141" s="2" t="s">
        <v>11</v>
      </c>
      <c r="C141" s="3">
        <v>41</v>
      </c>
      <c r="D141" t="s">
        <v>12</v>
      </c>
      <c r="E141" s="2" t="s">
        <v>13</v>
      </c>
      <c r="F141" s="2" t="s">
        <v>20</v>
      </c>
      <c r="G141">
        <v>37</v>
      </c>
      <c r="H141" s="4">
        <v>44157</v>
      </c>
      <c r="I141" s="2" t="s">
        <v>15</v>
      </c>
      <c r="J141" s="2" t="s">
        <v>22</v>
      </c>
      <c r="M141" t="str">
        <f t="shared" si="8"/>
        <v>Male</v>
      </c>
      <c r="N141" t="str">
        <f t="shared" si="9"/>
        <v>Chennai</v>
      </c>
      <c r="O141" t="str">
        <f t="shared" si="10"/>
        <v>Telugu</v>
      </c>
      <c r="P141" t="str">
        <f t="shared" si="11"/>
        <v>Premium</v>
      </c>
    </row>
    <row r="142" spans="1:16" x14ac:dyDescent="0.3">
      <c r="A142" s="2" t="s">
        <v>185</v>
      </c>
      <c r="B142" s="2" t="s">
        <v>24</v>
      </c>
      <c r="C142" s="3">
        <v>38</v>
      </c>
      <c r="D142" t="s">
        <v>12</v>
      </c>
      <c r="E142" s="2" t="s">
        <v>13</v>
      </c>
      <c r="F142" s="2" t="s">
        <v>54</v>
      </c>
      <c r="G142">
        <v>46</v>
      </c>
      <c r="H142" s="4">
        <v>43910</v>
      </c>
      <c r="I142" s="2" t="s">
        <v>62</v>
      </c>
      <c r="J142" s="2" t="s">
        <v>16</v>
      </c>
      <c r="M142" t="str">
        <f t="shared" si="8"/>
        <v>Male</v>
      </c>
      <c r="N142" t="str">
        <f t="shared" si="9"/>
        <v>Bangalore</v>
      </c>
      <c r="O142" t="str">
        <f t="shared" si="10"/>
        <v>Gujarati</v>
      </c>
      <c r="P142" t="str">
        <f t="shared" si="11"/>
        <v>Basic</v>
      </c>
    </row>
    <row r="143" spans="1:16" x14ac:dyDescent="0.3">
      <c r="A143" s="2" t="s">
        <v>186</v>
      </c>
      <c r="B143" s="2" t="s">
        <v>11</v>
      </c>
      <c r="C143" s="3">
        <v>30</v>
      </c>
      <c r="D143" t="s">
        <v>18</v>
      </c>
      <c r="E143" s="2" t="s">
        <v>13</v>
      </c>
      <c r="F143" s="2" t="s">
        <v>33</v>
      </c>
      <c r="G143">
        <v>22</v>
      </c>
      <c r="H143" s="4">
        <v>44610</v>
      </c>
      <c r="I143" s="2" t="s">
        <v>49</v>
      </c>
      <c r="J143" s="2" t="s">
        <v>27</v>
      </c>
      <c r="M143" t="str">
        <f t="shared" si="8"/>
        <v>Male</v>
      </c>
      <c r="N143" t="str">
        <f t="shared" si="9"/>
        <v>Jaipur</v>
      </c>
      <c r="O143" t="str">
        <f t="shared" si="10"/>
        <v>Kannada</v>
      </c>
      <c r="P143" t="str">
        <f t="shared" si="11"/>
        <v>Standard</v>
      </c>
    </row>
    <row r="144" spans="1:16" x14ac:dyDescent="0.3">
      <c r="A144" s="2" t="s">
        <v>187</v>
      </c>
      <c r="B144" s="2" t="s">
        <v>61</v>
      </c>
      <c r="C144" s="3">
        <v>32</v>
      </c>
      <c r="D144" t="s">
        <v>18</v>
      </c>
      <c r="E144" s="2" t="s">
        <v>19</v>
      </c>
      <c r="F144" s="2" t="s">
        <v>54</v>
      </c>
      <c r="G144">
        <v>27</v>
      </c>
      <c r="H144" s="4">
        <v>44467</v>
      </c>
      <c r="I144" s="2" t="s">
        <v>15</v>
      </c>
      <c r="J144" s="2" t="s">
        <v>16</v>
      </c>
      <c r="M144" t="str">
        <f t="shared" si="8"/>
        <v>Female</v>
      </c>
      <c r="N144" t="str">
        <f t="shared" si="9"/>
        <v>Bangalore</v>
      </c>
      <c r="O144" t="str">
        <f t="shared" si="10"/>
        <v>Telugu</v>
      </c>
      <c r="P144" t="str">
        <f t="shared" si="11"/>
        <v>Basic</v>
      </c>
    </row>
    <row r="145" spans="1:16" x14ac:dyDescent="0.3">
      <c r="A145" s="2" t="s">
        <v>188</v>
      </c>
      <c r="B145" s="2" t="s">
        <v>31</v>
      </c>
      <c r="C145" s="3">
        <v>28</v>
      </c>
      <c r="D145" t="s">
        <v>18</v>
      </c>
      <c r="E145" s="2" t="s">
        <v>13</v>
      </c>
      <c r="F145" s="2" t="s">
        <v>88</v>
      </c>
      <c r="G145">
        <v>50</v>
      </c>
      <c r="H145" s="4">
        <v>43779</v>
      </c>
      <c r="I145" s="2" t="s">
        <v>62</v>
      </c>
      <c r="J145" s="2" t="s">
        <v>16</v>
      </c>
      <c r="M145" t="str">
        <f t="shared" si="8"/>
        <v>Male</v>
      </c>
      <c r="N145" t="str">
        <f t="shared" si="9"/>
        <v>Lucknow</v>
      </c>
      <c r="O145" t="str">
        <f t="shared" si="10"/>
        <v>Gujarati</v>
      </c>
      <c r="P145" t="str">
        <f t="shared" si="11"/>
        <v>Basic</v>
      </c>
    </row>
    <row r="146" spans="1:16" x14ac:dyDescent="0.3">
      <c r="A146" s="2" t="s">
        <v>189</v>
      </c>
      <c r="B146" s="2" t="s">
        <v>24</v>
      </c>
      <c r="C146" s="3">
        <v>26</v>
      </c>
      <c r="D146" t="s">
        <v>18</v>
      </c>
      <c r="E146" s="2" t="s">
        <v>13</v>
      </c>
      <c r="F146" s="2" t="s">
        <v>88</v>
      </c>
      <c r="G146">
        <v>49</v>
      </c>
      <c r="H146" s="4">
        <v>43821</v>
      </c>
      <c r="I146" s="2" t="s">
        <v>15</v>
      </c>
      <c r="J146" s="2" t="s">
        <v>27</v>
      </c>
      <c r="M146" t="str">
        <f t="shared" si="8"/>
        <v>Male</v>
      </c>
      <c r="N146" t="str">
        <f t="shared" si="9"/>
        <v>Lucknow</v>
      </c>
      <c r="O146" t="str">
        <f t="shared" si="10"/>
        <v>Telugu</v>
      </c>
      <c r="P146" t="str">
        <f t="shared" si="11"/>
        <v>Standard</v>
      </c>
    </row>
    <row r="147" spans="1:16" x14ac:dyDescent="0.3">
      <c r="A147" s="2" t="s">
        <v>190</v>
      </c>
      <c r="B147" s="2" t="s">
        <v>31</v>
      </c>
      <c r="C147" s="3">
        <v>26</v>
      </c>
      <c r="D147" t="s">
        <v>18</v>
      </c>
      <c r="E147" s="2" t="s">
        <v>105</v>
      </c>
      <c r="F147" s="2" t="s">
        <v>36</v>
      </c>
      <c r="G147">
        <v>52</v>
      </c>
      <c r="H147" s="4">
        <v>43703</v>
      </c>
      <c r="I147" s="2" t="s">
        <v>34</v>
      </c>
      <c r="J147" s="2" t="s">
        <v>65</v>
      </c>
      <c r="M147" t="str">
        <f t="shared" si="8"/>
        <v>Non-Binary</v>
      </c>
      <c r="N147" t="str">
        <f t="shared" si="9"/>
        <v>Ahmedabad</v>
      </c>
      <c r="O147" t="str">
        <f t="shared" si="10"/>
        <v>Marathi</v>
      </c>
      <c r="P147" t="str">
        <f t="shared" si="11"/>
        <v>Family</v>
      </c>
    </row>
    <row r="148" spans="1:16" x14ac:dyDescent="0.3">
      <c r="A148" s="2" t="s">
        <v>191</v>
      </c>
      <c r="B148" s="2" t="s">
        <v>24</v>
      </c>
      <c r="C148" s="3">
        <v>30</v>
      </c>
      <c r="D148" t="s">
        <v>18</v>
      </c>
      <c r="E148" s="2" t="s">
        <v>13</v>
      </c>
      <c r="F148" s="2" t="s">
        <v>20</v>
      </c>
      <c r="G148">
        <v>26</v>
      </c>
      <c r="H148" s="4">
        <v>44485</v>
      </c>
      <c r="I148" s="2" t="s">
        <v>15</v>
      </c>
      <c r="J148" s="2" t="s">
        <v>27</v>
      </c>
      <c r="M148" t="str">
        <f t="shared" si="8"/>
        <v>Male</v>
      </c>
      <c r="N148" t="str">
        <f t="shared" si="9"/>
        <v>Chennai</v>
      </c>
      <c r="O148" t="str">
        <f t="shared" si="10"/>
        <v>Telugu</v>
      </c>
      <c r="P148" t="str">
        <f t="shared" si="11"/>
        <v>Standard</v>
      </c>
    </row>
    <row r="149" spans="1:16" x14ac:dyDescent="0.3">
      <c r="A149" s="2" t="s">
        <v>192</v>
      </c>
      <c r="B149" s="2" t="s">
        <v>31</v>
      </c>
      <c r="C149" s="3">
        <v>18</v>
      </c>
      <c r="D149" t="s">
        <v>32</v>
      </c>
      <c r="E149" s="2" t="s">
        <v>19</v>
      </c>
      <c r="F149" s="2" t="s">
        <v>54</v>
      </c>
      <c r="G149">
        <v>38</v>
      </c>
      <c r="H149" s="4">
        <v>44152</v>
      </c>
      <c r="I149" s="2" t="s">
        <v>47</v>
      </c>
      <c r="J149" s="2" t="s">
        <v>27</v>
      </c>
      <c r="M149" t="str">
        <f t="shared" si="8"/>
        <v>Female</v>
      </c>
      <c r="N149" t="str">
        <f t="shared" si="9"/>
        <v>Bangalore</v>
      </c>
      <c r="O149" t="str">
        <f t="shared" si="10"/>
        <v>Hindi</v>
      </c>
      <c r="P149" t="str">
        <f t="shared" si="11"/>
        <v>Standard</v>
      </c>
    </row>
    <row r="150" spans="1:16" x14ac:dyDescent="0.3">
      <c r="A150" s="2" t="s">
        <v>193</v>
      </c>
      <c r="B150" s="2" t="s">
        <v>31</v>
      </c>
      <c r="C150" s="3">
        <v>44</v>
      </c>
      <c r="D150" t="s">
        <v>12</v>
      </c>
      <c r="E150" s="2" t="s">
        <v>19</v>
      </c>
      <c r="F150" s="2" t="s">
        <v>56</v>
      </c>
      <c r="G150">
        <v>5</v>
      </c>
      <c r="H150" s="4">
        <v>45139</v>
      </c>
      <c r="I150" s="2" t="s">
        <v>26</v>
      </c>
      <c r="J150" s="2" t="s">
        <v>22</v>
      </c>
      <c r="M150" t="str">
        <f t="shared" si="8"/>
        <v>Female</v>
      </c>
      <c r="N150" t="str">
        <f t="shared" si="9"/>
        <v>Hyderabad</v>
      </c>
      <c r="O150" t="str">
        <f t="shared" si="10"/>
        <v>Malayalam</v>
      </c>
      <c r="P150" t="str">
        <f t="shared" si="11"/>
        <v>Premium</v>
      </c>
    </row>
    <row r="151" spans="1:16" x14ac:dyDescent="0.3">
      <c r="A151" s="2" t="s">
        <v>194</v>
      </c>
      <c r="B151" s="2" t="s">
        <v>11</v>
      </c>
      <c r="C151" s="3">
        <v>36</v>
      </c>
      <c r="D151" t="s">
        <v>12</v>
      </c>
      <c r="E151" s="2" t="s">
        <v>19</v>
      </c>
      <c r="F151" s="2" t="s">
        <v>54</v>
      </c>
      <c r="G151">
        <v>8</v>
      </c>
      <c r="H151" s="4">
        <v>45043</v>
      </c>
      <c r="I151" s="2" t="s">
        <v>29</v>
      </c>
      <c r="J151" s="2" t="s">
        <v>27</v>
      </c>
      <c r="M151" t="str">
        <f t="shared" si="8"/>
        <v>Female</v>
      </c>
      <c r="N151" t="str">
        <f t="shared" si="9"/>
        <v>Bangalore</v>
      </c>
      <c r="O151" t="str">
        <f t="shared" si="10"/>
        <v>English</v>
      </c>
      <c r="P151" t="str">
        <f t="shared" si="11"/>
        <v>Standard</v>
      </c>
    </row>
    <row r="152" spans="1:16" x14ac:dyDescent="0.3">
      <c r="A152" s="2" t="s">
        <v>195</v>
      </c>
      <c r="B152" s="2" t="s">
        <v>61</v>
      </c>
      <c r="C152" s="3">
        <v>39</v>
      </c>
      <c r="D152" t="s">
        <v>12</v>
      </c>
      <c r="E152" s="2" t="s">
        <v>13</v>
      </c>
      <c r="F152" s="2" t="s">
        <v>38</v>
      </c>
      <c r="G152">
        <v>45</v>
      </c>
      <c r="H152" s="4">
        <v>43924</v>
      </c>
      <c r="I152" s="2" t="s">
        <v>47</v>
      </c>
      <c r="J152" s="2" t="s">
        <v>16</v>
      </c>
      <c r="M152" t="str">
        <f t="shared" si="8"/>
        <v>Male</v>
      </c>
      <c r="N152" t="str">
        <f t="shared" si="9"/>
        <v>Delhi</v>
      </c>
      <c r="O152" t="str">
        <f t="shared" si="10"/>
        <v>Hindi</v>
      </c>
      <c r="P152" t="str">
        <f t="shared" si="11"/>
        <v>Basic</v>
      </c>
    </row>
    <row r="153" spans="1:16" x14ac:dyDescent="0.3">
      <c r="A153" s="2" t="s">
        <v>196</v>
      </c>
      <c r="B153" s="2" t="s">
        <v>61</v>
      </c>
      <c r="C153" s="3">
        <v>36</v>
      </c>
      <c r="D153" t="s">
        <v>12</v>
      </c>
      <c r="E153" s="2" t="s">
        <v>105</v>
      </c>
      <c r="F153" s="2" t="s">
        <v>33</v>
      </c>
      <c r="G153">
        <v>3</v>
      </c>
      <c r="H153" s="4">
        <v>45175</v>
      </c>
      <c r="I153" s="2" t="s">
        <v>15</v>
      </c>
      <c r="J153" s="2" t="s">
        <v>16</v>
      </c>
      <c r="M153" t="str">
        <f t="shared" si="8"/>
        <v>Non-Binary</v>
      </c>
      <c r="N153" t="str">
        <f t="shared" si="9"/>
        <v>Jaipur</v>
      </c>
      <c r="O153" t="str">
        <f t="shared" si="10"/>
        <v>Telugu</v>
      </c>
      <c r="P153" t="str">
        <f t="shared" si="11"/>
        <v>Basic</v>
      </c>
    </row>
    <row r="154" spans="1:16" x14ac:dyDescent="0.3">
      <c r="A154" s="2" t="s">
        <v>197</v>
      </c>
      <c r="B154" s="2" t="s">
        <v>61</v>
      </c>
      <c r="C154" s="3">
        <v>27</v>
      </c>
      <c r="D154" t="s">
        <v>18</v>
      </c>
      <c r="E154" s="2" t="s">
        <v>13</v>
      </c>
      <c r="F154" s="2" t="s">
        <v>20</v>
      </c>
      <c r="G154">
        <v>41</v>
      </c>
      <c r="H154" s="4">
        <v>44060</v>
      </c>
      <c r="I154" s="2" t="s">
        <v>39</v>
      </c>
      <c r="J154" s="2" t="s">
        <v>22</v>
      </c>
      <c r="M154" t="str">
        <f t="shared" si="8"/>
        <v>Male</v>
      </c>
      <c r="N154" t="str">
        <f t="shared" si="9"/>
        <v>Chennai</v>
      </c>
      <c r="O154" t="str">
        <f t="shared" si="10"/>
        <v>Tamil</v>
      </c>
      <c r="P154" t="str">
        <f t="shared" si="11"/>
        <v>Premium</v>
      </c>
    </row>
    <row r="155" spans="1:16" x14ac:dyDescent="0.3">
      <c r="A155" s="2" t="s">
        <v>198</v>
      </c>
      <c r="B155" s="2" t="s">
        <v>11</v>
      </c>
      <c r="C155" s="3">
        <v>48</v>
      </c>
      <c r="D155" t="s">
        <v>46</v>
      </c>
      <c r="E155" s="2" t="s">
        <v>19</v>
      </c>
      <c r="F155" s="2" t="s">
        <v>38</v>
      </c>
      <c r="G155">
        <v>35</v>
      </c>
      <c r="H155" s="4">
        <v>44237</v>
      </c>
      <c r="I155" s="2" t="s">
        <v>34</v>
      </c>
      <c r="J155" s="2" t="s">
        <v>16</v>
      </c>
      <c r="M155" t="str">
        <f t="shared" si="8"/>
        <v>Female</v>
      </c>
      <c r="N155" t="str">
        <f t="shared" si="9"/>
        <v>Delhi</v>
      </c>
      <c r="O155" t="str">
        <f t="shared" si="10"/>
        <v>Marathi</v>
      </c>
      <c r="P155" t="str">
        <f t="shared" si="11"/>
        <v>Basic</v>
      </c>
    </row>
    <row r="156" spans="1:16" x14ac:dyDescent="0.3">
      <c r="A156" s="2" t="s">
        <v>199</v>
      </c>
      <c r="B156" s="2" t="s">
        <v>42</v>
      </c>
      <c r="C156" s="3">
        <v>39</v>
      </c>
      <c r="D156" t="s">
        <v>12</v>
      </c>
      <c r="E156" s="2" t="s">
        <v>13</v>
      </c>
      <c r="F156" s="2" t="s">
        <v>20</v>
      </c>
      <c r="G156">
        <v>25</v>
      </c>
      <c r="H156" s="4">
        <v>44534</v>
      </c>
      <c r="I156" s="2" t="s">
        <v>62</v>
      </c>
      <c r="J156" s="2" t="s">
        <v>65</v>
      </c>
      <c r="M156" t="str">
        <f t="shared" si="8"/>
        <v>Male</v>
      </c>
      <c r="N156" t="str">
        <f t="shared" si="9"/>
        <v>Chennai</v>
      </c>
      <c r="O156" t="str">
        <f t="shared" si="10"/>
        <v>Gujarati</v>
      </c>
      <c r="P156" t="str">
        <f t="shared" si="11"/>
        <v>Family</v>
      </c>
    </row>
    <row r="157" spans="1:16" x14ac:dyDescent="0.3">
      <c r="A157" s="2" t="s">
        <v>200</v>
      </c>
      <c r="B157" s="2" t="s">
        <v>11</v>
      </c>
      <c r="C157" s="3">
        <v>55</v>
      </c>
      <c r="D157" t="s">
        <v>201</v>
      </c>
      <c r="E157" s="2" t="s">
        <v>19</v>
      </c>
      <c r="F157" s="2" t="s">
        <v>64</v>
      </c>
      <c r="G157">
        <v>22</v>
      </c>
      <c r="H157" s="4">
        <v>44614</v>
      </c>
      <c r="I157" s="2" t="s">
        <v>34</v>
      </c>
      <c r="J157" s="2" t="s">
        <v>16</v>
      </c>
      <c r="M157" t="str">
        <f t="shared" si="8"/>
        <v>Female</v>
      </c>
      <c r="N157" t="str">
        <f t="shared" si="9"/>
        <v>Pune</v>
      </c>
      <c r="O157" t="str">
        <f t="shared" si="10"/>
        <v>Marathi</v>
      </c>
      <c r="P157" t="str">
        <f t="shared" si="11"/>
        <v>Basic</v>
      </c>
    </row>
    <row r="158" spans="1:16" x14ac:dyDescent="0.3">
      <c r="A158" s="2" t="s">
        <v>202</v>
      </c>
      <c r="B158" s="2" t="s">
        <v>31</v>
      </c>
      <c r="C158" s="3">
        <v>18</v>
      </c>
      <c r="D158" t="s">
        <v>32</v>
      </c>
      <c r="E158" s="2" t="s">
        <v>13</v>
      </c>
      <c r="F158" s="2" t="s">
        <v>33</v>
      </c>
      <c r="G158">
        <v>7</v>
      </c>
      <c r="H158" s="4">
        <v>45072</v>
      </c>
      <c r="I158" s="2" t="s">
        <v>34</v>
      </c>
      <c r="J158" s="2" t="s">
        <v>22</v>
      </c>
      <c r="M158" t="str">
        <f t="shared" si="8"/>
        <v>Male</v>
      </c>
      <c r="N158" t="str">
        <f t="shared" si="9"/>
        <v>Jaipur</v>
      </c>
      <c r="O158" t="str">
        <f t="shared" si="10"/>
        <v>Marathi</v>
      </c>
      <c r="P158" t="str">
        <f t="shared" si="11"/>
        <v>Premium</v>
      </c>
    </row>
    <row r="159" spans="1:16" x14ac:dyDescent="0.3">
      <c r="A159" s="2" t="s">
        <v>203</v>
      </c>
      <c r="B159" s="2" t="s">
        <v>31</v>
      </c>
      <c r="C159" s="3">
        <v>35</v>
      </c>
      <c r="D159" t="s">
        <v>12</v>
      </c>
      <c r="E159" s="2" t="s">
        <v>13</v>
      </c>
      <c r="F159" s="2" t="s">
        <v>36</v>
      </c>
      <c r="G159">
        <v>10</v>
      </c>
      <c r="H159" s="4">
        <v>44964</v>
      </c>
      <c r="I159" s="2" t="s">
        <v>29</v>
      </c>
      <c r="J159" s="2" t="s">
        <v>16</v>
      </c>
      <c r="M159" t="str">
        <f t="shared" si="8"/>
        <v>Male</v>
      </c>
      <c r="N159" t="str">
        <f t="shared" si="9"/>
        <v>Ahmedabad</v>
      </c>
      <c r="O159" t="str">
        <f t="shared" si="10"/>
        <v>English</v>
      </c>
      <c r="P159" t="str">
        <f t="shared" si="11"/>
        <v>Basic</v>
      </c>
    </row>
    <row r="160" spans="1:16" x14ac:dyDescent="0.3">
      <c r="A160" s="2" t="s">
        <v>204</v>
      </c>
      <c r="B160" s="2" t="s">
        <v>61</v>
      </c>
      <c r="C160" s="3">
        <v>36</v>
      </c>
      <c r="D160" t="s">
        <v>12</v>
      </c>
      <c r="E160" s="2" t="s">
        <v>13</v>
      </c>
      <c r="F160" s="2" t="s">
        <v>88</v>
      </c>
      <c r="G160">
        <v>26</v>
      </c>
      <c r="H160" s="4">
        <v>44484</v>
      </c>
      <c r="I160" s="2" t="s">
        <v>34</v>
      </c>
      <c r="J160" s="2" t="s">
        <v>27</v>
      </c>
      <c r="M160" t="str">
        <f t="shared" si="8"/>
        <v>Male</v>
      </c>
      <c r="N160" t="str">
        <f t="shared" si="9"/>
        <v>Lucknow</v>
      </c>
      <c r="O160" t="str">
        <f t="shared" si="10"/>
        <v>Marathi</v>
      </c>
      <c r="P160" t="str">
        <f t="shared" si="11"/>
        <v>Standard</v>
      </c>
    </row>
    <row r="161" spans="1:16" x14ac:dyDescent="0.3">
      <c r="A161" s="2" t="s">
        <v>205</v>
      </c>
      <c r="B161" s="2" t="s">
        <v>61</v>
      </c>
      <c r="C161" s="3">
        <v>18</v>
      </c>
      <c r="D161" t="s">
        <v>32</v>
      </c>
      <c r="E161" s="2" t="s">
        <v>19</v>
      </c>
      <c r="F161" s="2" t="s">
        <v>14</v>
      </c>
      <c r="G161">
        <v>51</v>
      </c>
      <c r="H161" s="4">
        <v>43757</v>
      </c>
      <c r="I161" s="2" t="s">
        <v>26</v>
      </c>
      <c r="J161" s="2" t="s">
        <v>65</v>
      </c>
      <c r="M161" t="str">
        <f t="shared" si="8"/>
        <v>Female</v>
      </c>
      <c r="N161" t="str">
        <f t="shared" si="9"/>
        <v>Kolkata</v>
      </c>
      <c r="O161" t="str">
        <f t="shared" si="10"/>
        <v>Malayalam</v>
      </c>
      <c r="P161" t="str">
        <f t="shared" si="11"/>
        <v>Family</v>
      </c>
    </row>
    <row r="162" spans="1:16" x14ac:dyDescent="0.3">
      <c r="A162" s="2" t="s">
        <v>206</v>
      </c>
      <c r="B162" s="2" t="s">
        <v>31</v>
      </c>
      <c r="C162" s="3">
        <v>41</v>
      </c>
      <c r="D162" t="s">
        <v>12</v>
      </c>
      <c r="E162" s="2" t="s">
        <v>19</v>
      </c>
      <c r="F162" s="2" t="s">
        <v>20</v>
      </c>
      <c r="G162">
        <v>30</v>
      </c>
      <c r="H162" s="4">
        <v>44365</v>
      </c>
      <c r="I162" s="2" t="s">
        <v>21</v>
      </c>
      <c r="J162" s="2" t="s">
        <v>22</v>
      </c>
      <c r="M162" t="str">
        <f t="shared" si="8"/>
        <v>Female</v>
      </c>
      <c r="N162" t="str">
        <f t="shared" si="9"/>
        <v>Chennai</v>
      </c>
      <c r="O162" t="str">
        <f t="shared" si="10"/>
        <v>Bengali</v>
      </c>
      <c r="P162" t="str">
        <f t="shared" si="11"/>
        <v>Premium</v>
      </c>
    </row>
    <row r="163" spans="1:16" x14ac:dyDescent="0.3">
      <c r="A163" s="2" t="s">
        <v>207</v>
      </c>
      <c r="B163" s="2" t="s">
        <v>42</v>
      </c>
      <c r="C163" s="3">
        <v>22</v>
      </c>
      <c r="D163" t="s">
        <v>32</v>
      </c>
      <c r="E163" s="2" t="s">
        <v>13</v>
      </c>
      <c r="F163" s="2" t="s">
        <v>88</v>
      </c>
      <c r="G163">
        <v>33</v>
      </c>
      <c r="H163" s="4">
        <v>44281</v>
      </c>
      <c r="I163" s="2" t="s">
        <v>49</v>
      </c>
      <c r="J163" s="2" t="s">
        <v>27</v>
      </c>
      <c r="M163" t="str">
        <f t="shared" si="8"/>
        <v>Male</v>
      </c>
      <c r="N163" t="str">
        <f t="shared" si="9"/>
        <v>Lucknow</v>
      </c>
      <c r="O163" t="str">
        <f t="shared" si="10"/>
        <v>Kannada</v>
      </c>
      <c r="P163" t="str">
        <f t="shared" si="11"/>
        <v>Standard</v>
      </c>
    </row>
    <row r="164" spans="1:16" x14ac:dyDescent="0.3">
      <c r="A164" s="2" t="s">
        <v>208</v>
      </c>
      <c r="B164" s="2" t="s">
        <v>31</v>
      </c>
      <c r="C164" s="3">
        <v>33</v>
      </c>
      <c r="D164" t="s">
        <v>18</v>
      </c>
      <c r="E164" s="2" t="s">
        <v>19</v>
      </c>
      <c r="F164" s="2" t="s">
        <v>54</v>
      </c>
      <c r="G164">
        <v>45</v>
      </c>
      <c r="H164" s="4">
        <v>43937</v>
      </c>
      <c r="I164" s="2" t="s">
        <v>47</v>
      </c>
      <c r="J164" s="2" t="s">
        <v>27</v>
      </c>
      <c r="M164" t="str">
        <f t="shared" si="8"/>
        <v>Female</v>
      </c>
      <c r="N164" t="str">
        <f t="shared" si="9"/>
        <v>Bangalore</v>
      </c>
      <c r="O164" t="str">
        <f t="shared" si="10"/>
        <v>Hindi</v>
      </c>
      <c r="P164" t="str">
        <f t="shared" si="11"/>
        <v>Standard</v>
      </c>
    </row>
    <row r="165" spans="1:16" x14ac:dyDescent="0.3">
      <c r="A165" s="2" t="s">
        <v>209</v>
      </c>
      <c r="B165" s="2" t="s">
        <v>24</v>
      </c>
      <c r="C165" s="3">
        <v>26</v>
      </c>
      <c r="D165" t="s">
        <v>18</v>
      </c>
      <c r="E165" s="2" t="s">
        <v>19</v>
      </c>
      <c r="F165" s="2" t="s">
        <v>88</v>
      </c>
      <c r="G165">
        <v>16</v>
      </c>
      <c r="H165" s="4">
        <v>44810</v>
      </c>
      <c r="I165" s="2" t="s">
        <v>26</v>
      </c>
      <c r="J165" s="2" t="s">
        <v>27</v>
      </c>
      <c r="M165" t="str">
        <f t="shared" si="8"/>
        <v>Female</v>
      </c>
      <c r="N165" t="str">
        <f t="shared" si="9"/>
        <v>Lucknow</v>
      </c>
      <c r="O165" t="str">
        <f t="shared" si="10"/>
        <v>Malayalam</v>
      </c>
      <c r="P165" t="str">
        <f t="shared" si="11"/>
        <v>Standard</v>
      </c>
    </row>
    <row r="166" spans="1:16" x14ac:dyDescent="0.3">
      <c r="A166" s="2" t="s">
        <v>210</v>
      </c>
      <c r="B166" s="2" t="s">
        <v>31</v>
      </c>
      <c r="C166" s="3">
        <v>25</v>
      </c>
      <c r="D166" t="s">
        <v>18</v>
      </c>
      <c r="E166" s="2" t="s">
        <v>19</v>
      </c>
      <c r="F166" s="2" t="s">
        <v>54</v>
      </c>
      <c r="G166">
        <v>24</v>
      </c>
      <c r="H166" s="4">
        <v>44549</v>
      </c>
      <c r="I166" s="2" t="s">
        <v>21</v>
      </c>
      <c r="J166" s="2" t="s">
        <v>27</v>
      </c>
      <c r="M166" t="str">
        <f t="shared" si="8"/>
        <v>Female</v>
      </c>
      <c r="N166" t="str">
        <f t="shared" si="9"/>
        <v>Bangalore</v>
      </c>
      <c r="O166" t="str">
        <f t="shared" si="10"/>
        <v>Bengali</v>
      </c>
      <c r="P166" t="str">
        <f t="shared" si="11"/>
        <v>Standard</v>
      </c>
    </row>
    <row r="167" spans="1:16" x14ac:dyDescent="0.3">
      <c r="A167" s="2" t="s">
        <v>211</v>
      </c>
      <c r="B167" s="2" t="s">
        <v>31</v>
      </c>
      <c r="C167" s="3">
        <v>29</v>
      </c>
      <c r="D167" t="s">
        <v>18</v>
      </c>
      <c r="E167" s="2" t="s">
        <v>19</v>
      </c>
      <c r="F167" s="2" t="s">
        <v>38</v>
      </c>
      <c r="G167">
        <v>47</v>
      </c>
      <c r="H167" s="4">
        <v>43876</v>
      </c>
      <c r="I167" s="2" t="s">
        <v>39</v>
      </c>
      <c r="J167" s="2" t="s">
        <v>65</v>
      </c>
      <c r="M167" t="str">
        <f t="shared" si="8"/>
        <v>Female</v>
      </c>
      <c r="N167" t="str">
        <f t="shared" si="9"/>
        <v>Delhi</v>
      </c>
      <c r="O167" t="str">
        <f t="shared" si="10"/>
        <v>Tamil</v>
      </c>
      <c r="P167" t="str">
        <f t="shared" si="11"/>
        <v>Family</v>
      </c>
    </row>
    <row r="168" spans="1:16" x14ac:dyDescent="0.3">
      <c r="A168" s="2" t="s">
        <v>212</v>
      </c>
      <c r="B168" s="2" t="s">
        <v>24</v>
      </c>
      <c r="C168" s="3">
        <v>28</v>
      </c>
      <c r="D168" t="s">
        <v>18</v>
      </c>
      <c r="E168" s="2" t="s">
        <v>13</v>
      </c>
      <c r="F168" s="2" t="s">
        <v>88</v>
      </c>
      <c r="G168">
        <v>14</v>
      </c>
      <c r="H168" s="4">
        <v>44858</v>
      </c>
      <c r="I168" s="2" t="s">
        <v>26</v>
      </c>
      <c r="J168" s="2" t="s">
        <v>27</v>
      </c>
      <c r="M168" t="str">
        <f t="shared" si="8"/>
        <v>Male</v>
      </c>
      <c r="N168" t="str">
        <f t="shared" si="9"/>
        <v>Lucknow</v>
      </c>
      <c r="O168" t="str">
        <f t="shared" si="10"/>
        <v>Malayalam</v>
      </c>
      <c r="P168" t="str">
        <f t="shared" si="11"/>
        <v>Standard</v>
      </c>
    </row>
    <row r="169" spans="1:16" x14ac:dyDescent="0.3">
      <c r="A169" s="2" t="s">
        <v>213</v>
      </c>
      <c r="B169" s="2" t="s">
        <v>24</v>
      </c>
      <c r="C169" s="3">
        <v>23</v>
      </c>
      <c r="D169" t="s">
        <v>32</v>
      </c>
      <c r="E169" s="2" t="s">
        <v>13</v>
      </c>
      <c r="F169" s="2" t="s">
        <v>38</v>
      </c>
      <c r="G169">
        <v>18</v>
      </c>
      <c r="H169" s="4">
        <v>44725</v>
      </c>
      <c r="I169" s="2" t="s">
        <v>26</v>
      </c>
      <c r="J169" s="2" t="s">
        <v>27</v>
      </c>
      <c r="M169" t="str">
        <f t="shared" si="8"/>
        <v>Male</v>
      </c>
      <c r="N169" t="str">
        <f t="shared" si="9"/>
        <v>Delhi</v>
      </c>
      <c r="O169" t="str">
        <f t="shared" si="10"/>
        <v>Malayalam</v>
      </c>
      <c r="P169" t="str">
        <f t="shared" si="11"/>
        <v>Standard</v>
      </c>
    </row>
    <row r="170" spans="1:16" x14ac:dyDescent="0.3">
      <c r="A170" s="2" t="s">
        <v>214</v>
      </c>
      <c r="B170" s="2" t="s">
        <v>24</v>
      </c>
      <c r="C170" s="3">
        <v>33</v>
      </c>
      <c r="D170" t="s">
        <v>18</v>
      </c>
      <c r="E170" s="2" t="s">
        <v>19</v>
      </c>
      <c r="F170" s="2" t="s">
        <v>38</v>
      </c>
      <c r="G170">
        <v>46</v>
      </c>
      <c r="H170" s="4">
        <v>43886</v>
      </c>
      <c r="I170" s="2" t="s">
        <v>39</v>
      </c>
      <c r="J170" s="2" t="s">
        <v>27</v>
      </c>
      <c r="M170" t="str">
        <f t="shared" si="8"/>
        <v>Female</v>
      </c>
      <c r="N170" t="str">
        <f t="shared" si="9"/>
        <v>Delhi</v>
      </c>
      <c r="O170" t="str">
        <f t="shared" si="10"/>
        <v>Tamil</v>
      </c>
      <c r="P170" t="str">
        <f t="shared" si="11"/>
        <v>Standard</v>
      </c>
    </row>
    <row r="171" spans="1:16" x14ac:dyDescent="0.3">
      <c r="A171" s="2" t="s">
        <v>215</v>
      </c>
      <c r="B171" s="2" t="s">
        <v>11</v>
      </c>
      <c r="C171" s="3">
        <v>39</v>
      </c>
      <c r="D171" t="s">
        <v>12</v>
      </c>
      <c r="E171" s="2" t="s">
        <v>19</v>
      </c>
      <c r="F171" s="2" t="s">
        <v>54</v>
      </c>
      <c r="G171">
        <v>38</v>
      </c>
      <c r="H171" s="4">
        <v>44126</v>
      </c>
      <c r="I171" s="2" t="s">
        <v>39</v>
      </c>
      <c r="J171" s="2" t="s">
        <v>27</v>
      </c>
      <c r="M171" t="str">
        <f t="shared" si="8"/>
        <v>Female</v>
      </c>
      <c r="N171" t="str">
        <f t="shared" si="9"/>
        <v>Bangalore</v>
      </c>
      <c r="O171" t="str">
        <f t="shared" si="10"/>
        <v>Tamil</v>
      </c>
      <c r="P171" t="str">
        <f t="shared" si="11"/>
        <v>Standard</v>
      </c>
    </row>
    <row r="172" spans="1:16" x14ac:dyDescent="0.3">
      <c r="A172" s="2" t="s">
        <v>216</v>
      </c>
      <c r="B172" s="2" t="s">
        <v>11</v>
      </c>
      <c r="C172" s="3">
        <v>25</v>
      </c>
      <c r="D172" t="s">
        <v>18</v>
      </c>
      <c r="E172" s="2" t="s">
        <v>19</v>
      </c>
      <c r="F172" s="2" t="s">
        <v>64</v>
      </c>
      <c r="G172">
        <v>47</v>
      </c>
      <c r="H172" s="4">
        <v>43860</v>
      </c>
      <c r="I172" s="2" t="s">
        <v>26</v>
      </c>
      <c r="J172" s="2" t="s">
        <v>27</v>
      </c>
      <c r="M172" t="str">
        <f t="shared" si="8"/>
        <v>Female</v>
      </c>
      <c r="N172" t="str">
        <f t="shared" si="9"/>
        <v>Pune</v>
      </c>
      <c r="O172" t="str">
        <f t="shared" si="10"/>
        <v>Malayalam</v>
      </c>
      <c r="P172" t="str">
        <f t="shared" si="11"/>
        <v>Standard</v>
      </c>
    </row>
    <row r="173" spans="1:16" x14ac:dyDescent="0.3">
      <c r="A173" s="2" t="s">
        <v>217</v>
      </c>
      <c r="B173" s="2" t="s">
        <v>42</v>
      </c>
      <c r="C173" s="3">
        <v>52</v>
      </c>
      <c r="D173" t="s">
        <v>46</v>
      </c>
      <c r="E173" s="2" t="s">
        <v>19</v>
      </c>
      <c r="F173" s="2" t="s">
        <v>36</v>
      </c>
      <c r="G173">
        <v>38</v>
      </c>
      <c r="H173" s="4">
        <v>44137</v>
      </c>
      <c r="I173" s="2" t="s">
        <v>62</v>
      </c>
      <c r="J173" s="2" t="s">
        <v>16</v>
      </c>
      <c r="M173" t="str">
        <f t="shared" si="8"/>
        <v>Female</v>
      </c>
      <c r="N173" t="str">
        <f t="shared" si="9"/>
        <v>Ahmedabad</v>
      </c>
      <c r="O173" t="str">
        <f t="shared" si="10"/>
        <v>Gujarati</v>
      </c>
      <c r="P173" t="str">
        <f t="shared" si="11"/>
        <v>Basic</v>
      </c>
    </row>
    <row r="174" spans="1:16" x14ac:dyDescent="0.3">
      <c r="A174" s="2" t="s">
        <v>218</v>
      </c>
      <c r="B174" s="2" t="s">
        <v>24</v>
      </c>
      <c r="C174" s="3">
        <v>18</v>
      </c>
      <c r="D174" t="s">
        <v>32</v>
      </c>
      <c r="E174" s="2" t="s">
        <v>19</v>
      </c>
      <c r="F174" s="2" t="s">
        <v>20</v>
      </c>
      <c r="G174">
        <v>21</v>
      </c>
      <c r="H174" s="4">
        <v>44653</v>
      </c>
      <c r="I174" s="2" t="s">
        <v>47</v>
      </c>
      <c r="J174" s="2" t="s">
        <v>27</v>
      </c>
      <c r="M174" t="str">
        <f t="shared" si="8"/>
        <v>Female</v>
      </c>
      <c r="N174" t="str">
        <f t="shared" si="9"/>
        <v>Chennai</v>
      </c>
      <c r="O174" t="str">
        <f t="shared" si="10"/>
        <v>Hindi</v>
      </c>
      <c r="P174" t="str">
        <f t="shared" si="11"/>
        <v>Standard</v>
      </c>
    </row>
    <row r="175" spans="1:16" x14ac:dyDescent="0.3">
      <c r="A175" s="2" t="s">
        <v>219</v>
      </c>
      <c r="B175" s="2" t="s">
        <v>42</v>
      </c>
      <c r="C175" s="3">
        <v>31</v>
      </c>
      <c r="D175" t="s">
        <v>18</v>
      </c>
      <c r="E175" s="2" t="s">
        <v>19</v>
      </c>
      <c r="F175" s="2" t="s">
        <v>64</v>
      </c>
      <c r="G175">
        <v>12</v>
      </c>
      <c r="H175" s="4">
        <v>44923</v>
      </c>
      <c r="I175" s="2" t="s">
        <v>39</v>
      </c>
      <c r="J175" s="2" t="s">
        <v>22</v>
      </c>
      <c r="M175" t="str">
        <f t="shared" si="8"/>
        <v>Female</v>
      </c>
      <c r="N175" t="str">
        <f t="shared" si="9"/>
        <v>Pune</v>
      </c>
      <c r="O175" t="str">
        <f t="shared" si="10"/>
        <v>Tamil</v>
      </c>
      <c r="P175" t="str">
        <f t="shared" si="11"/>
        <v>Premium</v>
      </c>
    </row>
    <row r="176" spans="1:16" x14ac:dyDescent="0.3">
      <c r="A176" s="2" t="s">
        <v>220</v>
      </c>
      <c r="B176" s="2" t="s">
        <v>31</v>
      </c>
      <c r="C176" s="3">
        <v>47</v>
      </c>
      <c r="D176" t="s">
        <v>46</v>
      </c>
      <c r="E176" s="2" t="s">
        <v>19</v>
      </c>
      <c r="F176" s="2" t="s">
        <v>38</v>
      </c>
      <c r="G176">
        <v>10</v>
      </c>
      <c r="H176" s="4">
        <v>44985</v>
      </c>
      <c r="I176" s="2" t="s">
        <v>49</v>
      </c>
      <c r="J176" s="2" t="s">
        <v>65</v>
      </c>
      <c r="M176" t="str">
        <f t="shared" si="8"/>
        <v>Female</v>
      </c>
      <c r="N176" t="str">
        <f t="shared" si="9"/>
        <v>Delhi</v>
      </c>
      <c r="O176" t="str">
        <f t="shared" si="10"/>
        <v>Kannada</v>
      </c>
      <c r="P176" t="str">
        <f t="shared" si="11"/>
        <v>Family</v>
      </c>
    </row>
    <row r="177" spans="1:16" x14ac:dyDescent="0.3">
      <c r="A177" s="2" t="s">
        <v>221</v>
      </c>
      <c r="B177" s="2" t="s">
        <v>24</v>
      </c>
      <c r="C177" s="3">
        <v>40</v>
      </c>
      <c r="D177" t="s">
        <v>12</v>
      </c>
      <c r="E177" s="2" t="s">
        <v>19</v>
      </c>
      <c r="F177" s="2" t="s">
        <v>14</v>
      </c>
      <c r="G177">
        <v>43</v>
      </c>
      <c r="H177" s="4">
        <v>43977</v>
      </c>
      <c r="I177" s="2" t="s">
        <v>49</v>
      </c>
      <c r="J177" s="2" t="s">
        <v>27</v>
      </c>
      <c r="M177" t="str">
        <f t="shared" si="8"/>
        <v>Female</v>
      </c>
      <c r="N177" t="str">
        <f t="shared" si="9"/>
        <v>Kolkata</v>
      </c>
      <c r="O177" t="str">
        <f t="shared" si="10"/>
        <v>Kannada</v>
      </c>
      <c r="P177" t="str">
        <f t="shared" si="11"/>
        <v>Standard</v>
      </c>
    </row>
    <row r="178" spans="1:16" x14ac:dyDescent="0.3">
      <c r="A178" s="2" t="s">
        <v>222</v>
      </c>
      <c r="B178" s="2" t="s">
        <v>42</v>
      </c>
      <c r="C178" s="3">
        <v>19</v>
      </c>
      <c r="D178" t="s">
        <v>32</v>
      </c>
      <c r="E178" s="2" t="s">
        <v>19</v>
      </c>
      <c r="F178" s="2" t="s">
        <v>38</v>
      </c>
      <c r="G178">
        <v>50</v>
      </c>
      <c r="H178" s="4">
        <v>43766</v>
      </c>
      <c r="I178" s="2" t="s">
        <v>26</v>
      </c>
      <c r="J178" s="2" t="s">
        <v>27</v>
      </c>
      <c r="M178" t="str">
        <f t="shared" si="8"/>
        <v>Female</v>
      </c>
      <c r="N178" t="str">
        <f t="shared" si="9"/>
        <v>Delhi</v>
      </c>
      <c r="O178" t="str">
        <f t="shared" si="10"/>
        <v>Malayalam</v>
      </c>
      <c r="P178" t="str">
        <f t="shared" si="11"/>
        <v>Standard</v>
      </c>
    </row>
    <row r="179" spans="1:16" x14ac:dyDescent="0.3">
      <c r="A179" s="2" t="s">
        <v>223</v>
      </c>
      <c r="B179" s="2" t="s">
        <v>11</v>
      </c>
      <c r="C179" s="3">
        <v>26</v>
      </c>
      <c r="D179" t="s">
        <v>18</v>
      </c>
      <c r="E179" s="2" t="s">
        <v>13</v>
      </c>
      <c r="F179" s="2" t="s">
        <v>36</v>
      </c>
      <c r="G179">
        <v>54</v>
      </c>
      <c r="H179" s="4">
        <v>43648</v>
      </c>
      <c r="I179" s="2" t="s">
        <v>34</v>
      </c>
      <c r="J179" s="2" t="s">
        <v>22</v>
      </c>
      <c r="M179" t="str">
        <f t="shared" si="8"/>
        <v>Male</v>
      </c>
      <c r="N179" t="str">
        <f t="shared" si="9"/>
        <v>Ahmedabad</v>
      </c>
      <c r="O179" t="str">
        <f t="shared" si="10"/>
        <v>Marathi</v>
      </c>
      <c r="P179" t="str">
        <f t="shared" si="11"/>
        <v>Premium</v>
      </c>
    </row>
    <row r="180" spans="1:16" x14ac:dyDescent="0.3">
      <c r="A180" s="2" t="s">
        <v>224</v>
      </c>
      <c r="B180" s="2" t="s">
        <v>31</v>
      </c>
      <c r="C180" s="3">
        <v>33</v>
      </c>
      <c r="D180" t="s">
        <v>18</v>
      </c>
      <c r="E180" s="2" t="s">
        <v>19</v>
      </c>
      <c r="F180" s="2" t="s">
        <v>54</v>
      </c>
      <c r="G180">
        <v>45</v>
      </c>
      <c r="H180" s="4">
        <v>43931</v>
      </c>
      <c r="I180" s="2" t="s">
        <v>21</v>
      </c>
      <c r="J180" s="2" t="s">
        <v>16</v>
      </c>
      <c r="M180" t="str">
        <f t="shared" si="8"/>
        <v>Female</v>
      </c>
      <c r="N180" t="str">
        <f t="shared" si="9"/>
        <v>Bangalore</v>
      </c>
      <c r="O180" t="str">
        <f t="shared" si="10"/>
        <v>Bengali</v>
      </c>
      <c r="P180" t="str">
        <f t="shared" si="11"/>
        <v>Basic</v>
      </c>
    </row>
    <row r="181" spans="1:16" x14ac:dyDescent="0.3">
      <c r="A181" s="2" t="s">
        <v>225</v>
      </c>
      <c r="B181" s="2" t="s">
        <v>42</v>
      </c>
      <c r="C181" s="3">
        <v>31</v>
      </c>
      <c r="D181" t="s">
        <v>18</v>
      </c>
      <c r="E181" s="2" t="s">
        <v>13</v>
      </c>
      <c r="F181" s="2" t="s">
        <v>38</v>
      </c>
      <c r="G181">
        <v>49</v>
      </c>
      <c r="H181" s="4">
        <v>43821</v>
      </c>
      <c r="I181" s="2" t="s">
        <v>29</v>
      </c>
      <c r="J181" s="2" t="s">
        <v>16</v>
      </c>
      <c r="M181" t="str">
        <f t="shared" si="8"/>
        <v>Male</v>
      </c>
      <c r="N181" t="str">
        <f t="shared" si="9"/>
        <v>Delhi</v>
      </c>
      <c r="O181" t="str">
        <f t="shared" si="10"/>
        <v>English</v>
      </c>
      <c r="P181" t="str">
        <f t="shared" si="11"/>
        <v>Basic</v>
      </c>
    </row>
    <row r="182" spans="1:16" x14ac:dyDescent="0.3">
      <c r="A182" s="2" t="s">
        <v>226</v>
      </c>
      <c r="B182" s="2" t="s">
        <v>31</v>
      </c>
      <c r="C182" s="3">
        <v>23</v>
      </c>
      <c r="D182" t="s">
        <v>32</v>
      </c>
      <c r="E182" s="2" t="s">
        <v>13</v>
      </c>
      <c r="F182" s="2" t="s">
        <v>64</v>
      </c>
      <c r="G182">
        <v>7</v>
      </c>
      <c r="H182" s="4">
        <v>45080</v>
      </c>
      <c r="I182" s="2" t="s">
        <v>29</v>
      </c>
      <c r="J182" s="2" t="s">
        <v>16</v>
      </c>
      <c r="M182" t="str">
        <f t="shared" si="8"/>
        <v>Male</v>
      </c>
      <c r="N182" t="str">
        <f t="shared" si="9"/>
        <v>Pune</v>
      </c>
      <c r="O182" t="str">
        <f t="shared" si="10"/>
        <v>English</v>
      </c>
      <c r="P182" t="str">
        <f t="shared" si="11"/>
        <v>Basic</v>
      </c>
    </row>
    <row r="183" spans="1:16" x14ac:dyDescent="0.3">
      <c r="A183" s="2" t="s">
        <v>227</v>
      </c>
      <c r="B183" s="2" t="s">
        <v>31</v>
      </c>
      <c r="C183" s="3">
        <v>34</v>
      </c>
      <c r="D183" t="s">
        <v>18</v>
      </c>
      <c r="E183" s="2" t="s">
        <v>13</v>
      </c>
      <c r="F183" s="2" t="s">
        <v>20</v>
      </c>
      <c r="G183">
        <v>43</v>
      </c>
      <c r="H183" s="4">
        <v>43976</v>
      </c>
      <c r="I183" s="2" t="s">
        <v>39</v>
      </c>
      <c r="J183" s="2" t="s">
        <v>65</v>
      </c>
      <c r="M183" t="str">
        <f t="shared" si="8"/>
        <v>Male</v>
      </c>
      <c r="N183" t="str">
        <f t="shared" si="9"/>
        <v>Chennai</v>
      </c>
      <c r="O183" t="str">
        <f t="shared" si="10"/>
        <v>Tamil</v>
      </c>
      <c r="P183" t="str">
        <f t="shared" si="11"/>
        <v>Family</v>
      </c>
    </row>
    <row r="184" spans="1:16" x14ac:dyDescent="0.3">
      <c r="A184" s="2" t="s">
        <v>228</v>
      </c>
      <c r="B184" s="2" t="s">
        <v>24</v>
      </c>
      <c r="C184" s="3">
        <v>22</v>
      </c>
      <c r="D184" t="s">
        <v>32</v>
      </c>
      <c r="E184" s="2" t="s">
        <v>13</v>
      </c>
      <c r="F184" s="2" t="s">
        <v>14</v>
      </c>
      <c r="G184">
        <v>45</v>
      </c>
      <c r="H184" s="4">
        <v>43942</v>
      </c>
      <c r="I184" s="2" t="s">
        <v>29</v>
      </c>
      <c r="J184" s="2" t="s">
        <v>16</v>
      </c>
      <c r="M184" t="str">
        <f t="shared" si="8"/>
        <v>Male</v>
      </c>
      <c r="N184" t="str">
        <f t="shared" si="9"/>
        <v>Kolkata</v>
      </c>
      <c r="O184" t="str">
        <f t="shared" si="10"/>
        <v>English</v>
      </c>
      <c r="P184" t="str">
        <f t="shared" si="11"/>
        <v>Basic</v>
      </c>
    </row>
    <row r="185" spans="1:16" x14ac:dyDescent="0.3">
      <c r="A185" s="2" t="s">
        <v>229</v>
      </c>
      <c r="B185" s="2" t="s">
        <v>11</v>
      </c>
      <c r="C185" s="3">
        <v>39</v>
      </c>
      <c r="D185" t="s">
        <v>12</v>
      </c>
      <c r="E185" s="2" t="s">
        <v>19</v>
      </c>
      <c r="F185" s="2" t="s">
        <v>20</v>
      </c>
      <c r="G185">
        <v>34</v>
      </c>
      <c r="H185" s="4">
        <v>44249</v>
      </c>
      <c r="I185" s="2" t="s">
        <v>49</v>
      </c>
      <c r="J185" s="2" t="s">
        <v>16</v>
      </c>
      <c r="M185" t="str">
        <f t="shared" si="8"/>
        <v>Female</v>
      </c>
      <c r="N185" t="str">
        <f t="shared" si="9"/>
        <v>Chennai</v>
      </c>
      <c r="O185" t="str">
        <f t="shared" si="10"/>
        <v>Kannada</v>
      </c>
      <c r="P185" t="str">
        <f t="shared" si="11"/>
        <v>Basic</v>
      </c>
    </row>
    <row r="186" spans="1:16" x14ac:dyDescent="0.3">
      <c r="A186" s="2" t="s">
        <v>230</v>
      </c>
      <c r="B186" s="2" t="s">
        <v>24</v>
      </c>
      <c r="C186" s="3">
        <v>37</v>
      </c>
      <c r="D186" t="s">
        <v>12</v>
      </c>
      <c r="E186" s="2" t="s">
        <v>19</v>
      </c>
      <c r="F186" s="2" t="s">
        <v>36</v>
      </c>
      <c r="G186">
        <v>53</v>
      </c>
      <c r="H186" s="4">
        <v>43685</v>
      </c>
      <c r="I186" s="2" t="s">
        <v>29</v>
      </c>
      <c r="J186" s="2" t="s">
        <v>16</v>
      </c>
      <c r="M186" t="str">
        <f t="shared" si="8"/>
        <v>Female</v>
      </c>
      <c r="N186" t="str">
        <f t="shared" si="9"/>
        <v>Ahmedabad</v>
      </c>
      <c r="O186" t="str">
        <f t="shared" si="10"/>
        <v>English</v>
      </c>
      <c r="P186" t="str">
        <f t="shared" si="11"/>
        <v>Basic</v>
      </c>
    </row>
    <row r="187" spans="1:16" x14ac:dyDescent="0.3">
      <c r="A187" s="2" t="s">
        <v>231</v>
      </c>
      <c r="B187" s="2" t="s">
        <v>24</v>
      </c>
      <c r="C187" s="3">
        <v>19</v>
      </c>
      <c r="D187" t="s">
        <v>32</v>
      </c>
      <c r="E187" s="2" t="s">
        <v>13</v>
      </c>
      <c r="F187" s="2" t="s">
        <v>33</v>
      </c>
      <c r="G187">
        <v>37</v>
      </c>
      <c r="H187" s="4">
        <v>44161</v>
      </c>
      <c r="I187" s="2" t="s">
        <v>39</v>
      </c>
      <c r="J187" s="2" t="s">
        <v>16</v>
      </c>
      <c r="M187" t="str">
        <f t="shared" si="8"/>
        <v>Male</v>
      </c>
      <c r="N187" t="str">
        <f t="shared" si="9"/>
        <v>Jaipur</v>
      </c>
      <c r="O187" t="str">
        <f t="shared" si="10"/>
        <v>Tamil</v>
      </c>
      <c r="P187" t="str">
        <f t="shared" si="11"/>
        <v>Basic</v>
      </c>
    </row>
    <row r="188" spans="1:16" x14ac:dyDescent="0.3">
      <c r="A188" s="2" t="s">
        <v>232</v>
      </c>
      <c r="B188" s="2" t="s">
        <v>11</v>
      </c>
      <c r="C188" s="3">
        <v>42</v>
      </c>
      <c r="D188" t="s">
        <v>12</v>
      </c>
      <c r="E188" s="2" t="s">
        <v>13</v>
      </c>
      <c r="F188" s="2" t="s">
        <v>64</v>
      </c>
      <c r="G188">
        <v>50</v>
      </c>
      <c r="H188" s="4">
        <v>43768</v>
      </c>
      <c r="I188" s="2" t="s">
        <v>15</v>
      </c>
      <c r="J188" s="2" t="s">
        <v>16</v>
      </c>
      <c r="M188" t="str">
        <f t="shared" si="8"/>
        <v>Male</v>
      </c>
      <c r="N188" t="str">
        <f t="shared" si="9"/>
        <v>Pune</v>
      </c>
      <c r="O188" t="str">
        <f t="shared" si="10"/>
        <v>Telugu</v>
      </c>
      <c r="P188" t="str">
        <f t="shared" si="11"/>
        <v>Basic</v>
      </c>
    </row>
    <row r="189" spans="1:16" x14ac:dyDescent="0.3">
      <c r="A189" s="2" t="s">
        <v>233</v>
      </c>
      <c r="B189" s="2" t="s">
        <v>31</v>
      </c>
      <c r="C189" s="3">
        <v>33</v>
      </c>
      <c r="D189" t="s">
        <v>18</v>
      </c>
      <c r="E189" s="2" t="s">
        <v>19</v>
      </c>
      <c r="F189" s="2" t="s">
        <v>33</v>
      </c>
      <c r="G189">
        <v>36</v>
      </c>
      <c r="H189" s="4">
        <v>44203</v>
      </c>
      <c r="I189" s="2" t="s">
        <v>21</v>
      </c>
      <c r="J189" s="2" t="s">
        <v>16</v>
      </c>
      <c r="M189" t="str">
        <f t="shared" si="8"/>
        <v>Female</v>
      </c>
      <c r="N189" t="str">
        <f t="shared" si="9"/>
        <v>Jaipur</v>
      </c>
      <c r="O189" t="str">
        <f t="shared" si="10"/>
        <v>Bengali</v>
      </c>
      <c r="P189" t="str">
        <f t="shared" si="11"/>
        <v>Basic</v>
      </c>
    </row>
    <row r="190" spans="1:16" x14ac:dyDescent="0.3">
      <c r="A190" s="2" t="s">
        <v>234</v>
      </c>
      <c r="B190" s="2" t="s">
        <v>31</v>
      </c>
      <c r="C190" s="3">
        <v>40</v>
      </c>
      <c r="D190" t="s">
        <v>12</v>
      </c>
      <c r="E190" s="2" t="s">
        <v>105</v>
      </c>
      <c r="F190" s="2" t="s">
        <v>38</v>
      </c>
      <c r="G190">
        <v>34</v>
      </c>
      <c r="H190" s="4">
        <v>44246</v>
      </c>
      <c r="I190" s="2" t="s">
        <v>26</v>
      </c>
      <c r="J190" s="2" t="s">
        <v>27</v>
      </c>
      <c r="M190" t="str">
        <f t="shared" si="8"/>
        <v>Non-Binary</v>
      </c>
      <c r="N190" t="str">
        <f t="shared" si="9"/>
        <v>Delhi</v>
      </c>
      <c r="O190" t="str">
        <f t="shared" si="10"/>
        <v>Malayalam</v>
      </c>
      <c r="P190" t="str">
        <f t="shared" si="11"/>
        <v>Standard</v>
      </c>
    </row>
    <row r="191" spans="1:16" x14ac:dyDescent="0.3">
      <c r="A191" s="2" t="s">
        <v>235</v>
      </c>
      <c r="B191" s="2" t="s">
        <v>31</v>
      </c>
      <c r="C191" s="3">
        <v>33</v>
      </c>
      <c r="D191" t="s">
        <v>18</v>
      </c>
      <c r="E191" s="2" t="s">
        <v>19</v>
      </c>
      <c r="F191" s="2" t="s">
        <v>25</v>
      </c>
      <c r="G191">
        <v>17</v>
      </c>
      <c r="H191" s="4">
        <v>44762</v>
      </c>
      <c r="I191" s="2" t="s">
        <v>47</v>
      </c>
      <c r="J191" s="2" t="s">
        <v>27</v>
      </c>
      <c r="M191" t="str">
        <f t="shared" si="8"/>
        <v>Female</v>
      </c>
      <c r="N191" t="str">
        <f t="shared" si="9"/>
        <v>Mumbai</v>
      </c>
      <c r="O191" t="str">
        <f t="shared" si="10"/>
        <v>Hindi</v>
      </c>
      <c r="P191" t="str">
        <f t="shared" si="11"/>
        <v>Standard</v>
      </c>
    </row>
    <row r="192" spans="1:16" x14ac:dyDescent="0.3">
      <c r="A192" s="2" t="s">
        <v>236</v>
      </c>
      <c r="B192" s="2" t="s">
        <v>24</v>
      </c>
      <c r="C192" s="3">
        <v>36</v>
      </c>
      <c r="D192" t="s">
        <v>12</v>
      </c>
      <c r="E192" s="2" t="s">
        <v>19</v>
      </c>
      <c r="F192" s="2" t="s">
        <v>88</v>
      </c>
      <c r="G192">
        <v>26</v>
      </c>
      <c r="H192" s="4">
        <v>44499</v>
      </c>
      <c r="I192" s="2" t="s">
        <v>29</v>
      </c>
      <c r="J192" s="2" t="s">
        <v>27</v>
      </c>
      <c r="M192" t="str">
        <f t="shared" si="8"/>
        <v>Female</v>
      </c>
      <c r="N192" t="str">
        <f t="shared" si="9"/>
        <v>Lucknow</v>
      </c>
      <c r="O192" t="str">
        <f t="shared" si="10"/>
        <v>English</v>
      </c>
      <c r="P192" t="str">
        <f t="shared" si="11"/>
        <v>Standard</v>
      </c>
    </row>
    <row r="193" spans="1:16" x14ac:dyDescent="0.3">
      <c r="A193" s="2" t="s">
        <v>237</v>
      </c>
      <c r="B193" s="2" t="s">
        <v>24</v>
      </c>
      <c r="C193" s="3">
        <v>29</v>
      </c>
      <c r="D193" t="s">
        <v>18</v>
      </c>
      <c r="E193" s="2" t="s">
        <v>13</v>
      </c>
      <c r="F193" s="2" t="s">
        <v>36</v>
      </c>
      <c r="G193">
        <v>1</v>
      </c>
      <c r="H193" s="4">
        <v>45246</v>
      </c>
      <c r="I193" s="2" t="s">
        <v>34</v>
      </c>
      <c r="J193" s="2" t="s">
        <v>16</v>
      </c>
      <c r="M193" t="str">
        <f t="shared" si="8"/>
        <v>Male</v>
      </c>
      <c r="N193" t="str">
        <f t="shared" si="9"/>
        <v>Ahmedabad</v>
      </c>
      <c r="O193" t="str">
        <f t="shared" si="10"/>
        <v>Marathi</v>
      </c>
      <c r="P193" t="str">
        <f t="shared" si="11"/>
        <v>Basic</v>
      </c>
    </row>
    <row r="194" spans="1:16" x14ac:dyDescent="0.3">
      <c r="A194" s="2" t="s">
        <v>238</v>
      </c>
      <c r="B194" s="2" t="s">
        <v>11</v>
      </c>
      <c r="C194" s="3">
        <v>49</v>
      </c>
      <c r="D194" t="s">
        <v>46</v>
      </c>
      <c r="E194" s="2" t="s">
        <v>19</v>
      </c>
      <c r="F194" s="2" t="s">
        <v>54</v>
      </c>
      <c r="G194">
        <v>1</v>
      </c>
      <c r="H194" s="4">
        <v>45249</v>
      </c>
      <c r="I194" s="2" t="s">
        <v>49</v>
      </c>
      <c r="J194" s="2" t="s">
        <v>16</v>
      </c>
      <c r="M194" t="str">
        <f t="shared" si="8"/>
        <v>Female</v>
      </c>
      <c r="N194" t="str">
        <f t="shared" si="9"/>
        <v>Bangalore</v>
      </c>
      <c r="O194" t="str">
        <f t="shared" si="10"/>
        <v>Kannada</v>
      </c>
      <c r="P194" t="str">
        <f t="shared" si="11"/>
        <v>Basic</v>
      </c>
    </row>
    <row r="195" spans="1:16" x14ac:dyDescent="0.3">
      <c r="A195" s="2" t="s">
        <v>239</v>
      </c>
      <c r="B195" s="2" t="s">
        <v>31</v>
      </c>
      <c r="C195" s="3">
        <v>28</v>
      </c>
      <c r="D195" t="s">
        <v>18</v>
      </c>
      <c r="E195" s="2" t="s">
        <v>13</v>
      </c>
      <c r="F195" s="2" t="s">
        <v>25</v>
      </c>
      <c r="G195">
        <v>10</v>
      </c>
      <c r="H195" s="4">
        <v>44971</v>
      </c>
      <c r="I195" s="2" t="s">
        <v>21</v>
      </c>
      <c r="J195" s="2" t="s">
        <v>16</v>
      </c>
      <c r="M195" t="str">
        <f t="shared" ref="M195:M258" si="12">TRIM(E195)</f>
        <v>Male</v>
      </c>
      <c r="N195" t="str">
        <f t="shared" ref="N195:N258" si="13">TRIM(F195)</f>
        <v>Mumbai</v>
      </c>
      <c r="O195" t="str">
        <f t="shared" ref="O195:O258" si="14">TRIM(I195)</f>
        <v>Bengali</v>
      </c>
      <c r="P195" t="str">
        <f t="shared" ref="P195:P258" si="15">TRIM(J195)</f>
        <v>Basic</v>
      </c>
    </row>
    <row r="196" spans="1:16" x14ac:dyDescent="0.3">
      <c r="A196" s="2" t="s">
        <v>240</v>
      </c>
      <c r="B196" s="2" t="s">
        <v>24</v>
      </c>
      <c r="C196" s="3">
        <v>18</v>
      </c>
      <c r="D196" t="s">
        <v>32</v>
      </c>
      <c r="E196" s="2" t="s">
        <v>19</v>
      </c>
      <c r="F196" s="2" t="s">
        <v>25</v>
      </c>
      <c r="G196">
        <v>30</v>
      </c>
      <c r="H196" s="4">
        <v>44372</v>
      </c>
      <c r="I196" s="2" t="s">
        <v>39</v>
      </c>
      <c r="J196" s="2" t="s">
        <v>16</v>
      </c>
      <c r="M196" t="str">
        <f t="shared" si="12"/>
        <v>Female</v>
      </c>
      <c r="N196" t="str">
        <f t="shared" si="13"/>
        <v>Mumbai</v>
      </c>
      <c r="O196" t="str">
        <f t="shared" si="14"/>
        <v>Tamil</v>
      </c>
      <c r="P196" t="str">
        <f t="shared" si="15"/>
        <v>Basic</v>
      </c>
    </row>
    <row r="197" spans="1:16" x14ac:dyDescent="0.3">
      <c r="A197" s="2" t="s">
        <v>241</v>
      </c>
      <c r="B197" s="2" t="s">
        <v>31</v>
      </c>
      <c r="C197" s="3">
        <v>36</v>
      </c>
      <c r="D197" t="s">
        <v>12</v>
      </c>
      <c r="E197" s="2" t="s">
        <v>19</v>
      </c>
      <c r="F197" s="2" t="s">
        <v>38</v>
      </c>
      <c r="G197">
        <v>11</v>
      </c>
      <c r="H197" s="4">
        <v>44944</v>
      </c>
      <c r="I197" s="2" t="s">
        <v>29</v>
      </c>
      <c r="J197" s="2" t="s">
        <v>16</v>
      </c>
      <c r="M197" t="str">
        <f t="shared" si="12"/>
        <v>Female</v>
      </c>
      <c r="N197" t="str">
        <f t="shared" si="13"/>
        <v>Delhi</v>
      </c>
      <c r="O197" t="str">
        <f t="shared" si="14"/>
        <v>English</v>
      </c>
      <c r="P197" t="str">
        <f t="shared" si="15"/>
        <v>Basic</v>
      </c>
    </row>
    <row r="198" spans="1:16" x14ac:dyDescent="0.3">
      <c r="A198" s="2" t="s">
        <v>242</v>
      </c>
      <c r="B198" s="2" t="s">
        <v>42</v>
      </c>
      <c r="C198" s="3">
        <v>39</v>
      </c>
      <c r="D198" t="s">
        <v>12</v>
      </c>
      <c r="E198" s="2" t="s">
        <v>13</v>
      </c>
      <c r="F198" s="2" t="s">
        <v>88</v>
      </c>
      <c r="G198">
        <v>3</v>
      </c>
      <c r="H198" s="4">
        <v>45180</v>
      </c>
      <c r="I198" s="2" t="s">
        <v>15</v>
      </c>
      <c r="J198" s="2" t="s">
        <v>22</v>
      </c>
      <c r="M198" t="str">
        <f t="shared" si="12"/>
        <v>Male</v>
      </c>
      <c r="N198" t="str">
        <f t="shared" si="13"/>
        <v>Lucknow</v>
      </c>
      <c r="O198" t="str">
        <f t="shared" si="14"/>
        <v>Telugu</v>
      </c>
      <c r="P198" t="str">
        <f t="shared" si="15"/>
        <v>Premium</v>
      </c>
    </row>
    <row r="199" spans="1:16" x14ac:dyDescent="0.3">
      <c r="A199" s="2" t="s">
        <v>243</v>
      </c>
      <c r="B199" s="2" t="s">
        <v>24</v>
      </c>
      <c r="C199" s="3">
        <v>41</v>
      </c>
      <c r="D199" t="s">
        <v>12</v>
      </c>
      <c r="E199" s="2" t="s">
        <v>13</v>
      </c>
      <c r="F199" s="2" t="s">
        <v>33</v>
      </c>
      <c r="G199">
        <v>18</v>
      </c>
      <c r="H199" s="4">
        <v>44751</v>
      </c>
      <c r="I199" s="2" t="s">
        <v>29</v>
      </c>
      <c r="J199" s="2" t="s">
        <v>27</v>
      </c>
      <c r="M199" t="str">
        <f t="shared" si="12"/>
        <v>Male</v>
      </c>
      <c r="N199" t="str">
        <f t="shared" si="13"/>
        <v>Jaipur</v>
      </c>
      <c r="O199" t="str">
        <f t="shared" si="14"/>
        <v>English</v>
      </c>
      <c r="P199" t="str">
        <f t="shared" si="15"/>
        <v>Standard</v>
      </c>
    </row>
    <row r="200" spans="1:16" x14ac:dyDescent="0.3">
      <c r="A200" s="2" t="s">
        <v>244</v>
      </c>
      <c r="B200" s="2" t="s">
        <v>61</v>
      </c>
      <c r="C200" s="3">
        <v>36</v>
      </c>
      <c r="D200" t="s">
        <v>12</v>
      </c>
      <c r="E200" s="2" t="s">
        <v>13</v>
      </c>
      <c r="F200" s="2" t="s">
        <v>88</v>
      </c>
      <c r="G200">
        <v>18</v>
      </c>
      <c r="H200" s="4">
        <v>44732</v>
      </c>
      <c r="I200" s="2" t="s">
        <v>29</v>
      </c>
      <c r="J200" s="2" t="s">
        <v>16</v>
      </c>
      <c r="M200" t="str">
        <f t="shared" si="12"/>
        <v>Male</v>
      </c>
      <c r="N200" t="str">
        <f t="shared" si="13"/>
        <v>Lucknow</v>
      </c>
      <c r="O200" t="str">
        <f t="shared" si="14"/>
        <v>English</v>
      </c>
      <c r="P200" t="str">
        <f t="shared" si="15"/>
        <v>Basic</v>
      </c>
    </row>
    <row r="201" spans="1:16" x14ac:dyDescent="0.3">
      <c r="A201" s="2" t="s">
        <v>245</v>
      </c>
      <c r="B201" s="2" t="s">
        <v>24</v>
      </c>
      <c r="C201" s="3">
        <v>21</v>
      </c>
      <c r="D201" t="s">
        <v>32</v>
      </c>
      <c r="E201" s="2" t="s">
        <v>19</v>
      </c>
      <c r="F201" s="2" t="s">
        <v>36</v>
      </c>
      <c r="G201">
        <v>3</v>
      </c>
      <c r="H201" s="4">
        <v>45202</v>
      </c>
      <c r="I201" s="2" t="s">
        <v>49</v>
      </c>
      <c r="J201" s="2" t="s">
        <v>22</v>
      </c>
      <c r="M201" t="str">
        <f t="shared" si="12"/>
        <v>Female</v>
      </c>
      <c r="N201" t="str">
        <f t="shared" si="13"/>
        <v>Ahmedabad</v>
      </c>
      <c r="O201" t="str">
        <f t="shared" si="14"/>
        <v>Kannada</v>
      </c>
      <c r="P201" t="str">
        <f t="shared" si="15"/>
        <v>Premium</v>
      </c>
    </row>
    <row r="202" spans="1:16" x14ac:dyDescent="0.3">
      <c r="A202" s="2" t="s">
        <v>246</v>
      </c>
      <c r="B202" s="2" t="s">
        <v>24</v>
      </c>
      <c r="C202" s="3">
        <v>37</v>
      </c>
      <c r="D202" t="s">
        <v>12</v>
      </c>
      <c r="E202" s="2" t="s">
        <v>19</v>
      </c>
      <c r="F202" s="2" t="s">
        <v>36</v>
      </c>
      <c r="G202">
        <v>5</v>
      </c>
      <c r="H202" s="4">
        <v>45138</v>
      </c>
      <c r="I202" s="2" t="s">
        <v>29</v>
      </c>
      <c r="J202" s="2" t="s">
        <v>16</v>
      </c>
      <c r="M202" t="str">
        <f t="shared" si="12"/>
        <v>Female</v>
      </c>
      <c r="N202" t="str">
        <f t="shared" si="13"/>
        <v>Ahmedabad</v>
      </c>
      <c r="O202" t="str">
        <f t="shared" si="14"/>
        <v>English</v>
      </c>
      <c r="P202" t="str">
        <f t="shared" si="15"/>
        <v>Basic</v>
      </c>
    </row>
    <row r="203" spans="1:16" x14ac:dyDescent="0.3">
      <c r="A203" s="2" t="s">
        <v>247</v>
      </c>
      <c r="B203" s="2" t="s">
        <v>24</v>
      </c>
      <c r="C203" s="3">
        <v>32</v>
      </c>
      <c r="D203" t="s">
        <v>18</v>
      </c>
      <c r="E203" s="2" t="s">
        <v>19</v>
      </c>
      <c r="F203" s="2" t="s">
        <v>36</v>
      </c>
      <c r="G203">
        <v>24</v>
      </c>
      <c r="H203" s="4">
        <v>44558</v>
      </c>
      <c r="I203" s="2" t="s">
        <v>62</v>
      </c>
      <c r="J203" s="2" t="s">
        <v>27</v>
      </c>
      <c r="M203" t="str">
        <f t="shared" si="12"/>
        <v>Female</v>
      </c>
      <c r="N203" t="str">
        <f t="shared" si="13"/>
        <v>Ahmedabad</v>
      </c>
      <c r="O203" t="str">
        <f t="shared" si="14"/>
        <v>Gujarati</v>
      </c>
      <c r="P203" t="str">
        <f t="shared" si="15"/>
        <v>Standard</v>
      </c>
    </row>
    <row r="204" spans="1:16" x14ac:dyDescent="0.3">
      <c r="A204" s="2" t="s">
        <v>248</v>
      </c>
      <c r="B204" s="2" t="s">
        <v>42</v>
      </c>
      <c r="C204" s="3">
        <v>36</v>
      </c>
      <c r="D204" t="s">
        <v>12</v>
      </c>
      <c r="E204" s="2" t="s">
        <v>105</v>
      </c>
      <c r="F204" s="2" t="s">
        <v>54</v>
      </c>
      <c r="G204">
        <v>7</v>
      </c>
      <c r="H204" s="4">
        <v>45057</v>
      </c>
      <c r="I204" s="2" t="s">
        <v>15</v>
      </c>
      <c r="J204" s="2" t="s">
        <v>22</v>
      </c>
      <c r="M204" t="str">
        <f t="shared" si="12"/>
        <v>Non-Binary</v>
      </c>
      <c r="N204" t="str">
        <f t="shared" si="13"/>
        <v>Bangalore</v>
      </c>
      <c r="O204" t="str">
        <f t="shared" si="14"/>
        <v>Telugu</v>
      </c>
      <c r="P204" t="str">
        <f t="shared" si="15"/>
        <v>Premium</v>
      </c>
    </row>
    <row r="205" spans="1:16" x14ac:dyDescent="0.3">
      <c r="A205" s="2" t="s">
        <v>249</v>
      </c>
      <c r="B205" s="2" t="s">
        <v>61</v>
      </c>
      <c r="C205" s="3">
        <v>40</v>
      </c>
      <c r="D205" t="s">
        <v>12</v>
      </c>
      <c r="E205" s="2" t="s">
        <v>105</v>
      </c>
      <c r="F205" s="2" t="s">
        <v>54</v>
      </c>
      <c r="G205">
        <v>13</v>
      </c>
      <c r="H205" s="4">
        <v>44902</v>
      </c>
      <c r="I205" s="2" t="s">
        <v>15</v>
      </c>
      <c r="J205" s="2" t="s">
        <v>27</v>
      </c>
      <c r="M205" t="str">
        <f t="shared" si="12"/>
        <v>Non-Binary</v>
      </c>
      <c r="N205" t="str">
        <f t="shared" si="13"/>
        <v>Bangalore</v>
      </c>
      <c r="O205" t="str">
        <f t="shared" si="14"/>
        <v>Telugu</v>
      </c>
      <c r="P205" t="str">
        <f t="shared" si="15"/>
        <v>Standard</v>
      </c>
    </row>
    <row r="206" spans="1:16" x14ac:dyDescent="0.3">
      <c r="A206" s="2" t="s">
        <v>250</v>
      </c>
      <c r="B206" s="2" t="s">
        <v>61</v>
      </c>
      <c r="C206" s="3">
        <v>34</v>
      </c>
      <c r="D206" t="s">
        <v>18</v>
      </c>
      <c r="E206" s="2" t="s">
        <v>19</v>
      </c>
      <c r="F206" s="2" t="s">
        <v>36</v>
      </c>
      <c r="G206">
        <v>38</v>
      </c>
      <c r="H206" s="4">
        <v>44152</v>
      </c>
      <c r="I206" s="2" t="s">
        <v>21</v>
      </c>
      <c r="J206" s="2" t="s">
        <v>16</v>
      </c>
      <c r="M206" t="str">
        <f t="shared" si="12"/>
        <v>Female</v>
      </c>
      <c r="N206" t="str">
        <f t="shared" si="13"/>
        <v>Ahmedabad</v>
      </c>
      <c r="O206" t="str">
        <f t="shared" si="14"/>
        <v>Bengali</v>
      </c>
      <c r="P206" t="str">
        <f t="shared" si="15"/>
        <v>Basic</v>
      </c>
    </row>
    <row r="207" spans="1:16" x14ac:dyDescent="0.3">
      <c r="A207" s="2" t="s">
        <v>251</v>
      </c>
      <c r="B207" s="2" t="s">
        <v>11</v>
      </c>
      <c r="C207" s="3">
        <v>32</v>
      </c>
      <c r="D207" t="s">
        <v>18</v>
      </c>
      <c r="E207" s="2" t="s">
        <v>19</v>
      </c>
      <c r="F207" s="2" t="s">
        <v>56</v>
      </c>
      <c r="G207">
        <v>5</v>
      </c>
      <c r="H207" s="4">
        <v>45141</v>
      </c>
      <c r="I207" s="2" t="s">
        <v>47</v>
      </c>
      <c r="J207" s="2" t="s">
        <v>16</v>
      </c>
      <c r="M207" t="str">
        <f t="shared" si="12"/>
        <v>Female</v>
      </c>
      <c r="N207" t="str">
        <f t="shared" si="13"/>
        <v>Hyderabad</v>
      </c>
      <c r="O207" t="str">
        <f t="shared" si="14"/>
        <v>Hindi</v>
      </c>
      <c r="P207" t="str">
        <f t="shared" si="15"/>
        <v>Basic</v>
      </c>
    </row>
    <row r="208" spans="1:16" x14ac:dyDescent="0.3">
      <c r="A208" s="2" t="s">
        <v>252</v>
      </c>
      <c r="B208" s="2" t="s">
        <v>31</v>
      </c>
      <c r="C208" s="3">
        <v>24</v>
      </c>
      <c r="D208" t="s">
        <v>32</v>
      </c>
      <c r="E208" s="2" t="s">
        <v>13</v>
      </c>
      <c r="F208" s="2" t="s">
        <v>54</v>
      </c>
      <c r="G208">
        <v>11</v>
      </c>
      <c r="H208" s="4">
        <v>44940</v>
      </c>
      <c r="I208" s="2" t="s">
        <v>49</v>
      </c>
      <c r="J208" s="2" t="s">
        <v>22</v>
      </c>
      <c r="M208" t="str">
        <f t="shared" si="12"/>
        <v>Male</v>
      </c>
      <c r="N208" t="str">
        <f t="shared" si="13"/>
        <v>Bangalore</v>
      </c>
      <c r="O208" t="str">
        <f t="shared" si="14"/>
        <v>Kannada</v>
      </c>
      <c r="P208" t="str">
        <f t="shared" si="15"/>
        <v>Premium</v>
      </c>
    </row>
    <row r="209" spans="1:16" x14ac:dyDescent="0.3">
      <c r="A209" s="2" t="s">
        <v>253</v>
      </c>
      <c r="B209" s="2" t="s">
        <v>31</v>
      </c>
      <c r="C209" s="3">
        <v>24</v>
      </c>
      <c r="D209" t="s">
        <v>32</v>
      </c>
      <c r="E209" s="2" t="s">
        <v>13</v>
      </c>
      <c r="F209" s="2" t="s">
        <v>14</v>
      </c>
      <c r="G209">
        <v>9</v>
      </c>
      <c r="H209" s="4">
        <v>45002</v>
      </c>
      <c r="I209" s="2" t="s">
        <v>39</v>
      </c>
      <c r="J209" s="2" t="s">
        <v>22</v>
      </c>
      <c r="M209" t="str">
        <f t="shared" si="12"/>
        <v>Male</v>
      </c>
      <c r="N209" t="str">
        <f t="shared" si="13"/>
        <v>Kolkata</v>
      </c>
      <c r="O209" t="str">
        <f t="shared" si="14"/>
        <v>Tamil</v>
      </c>
      <c r="P209" t="str">
        <f t="shared" si="15"/>
        <v>Premium</v>
      </c>
    </row>
    <row r="210" spans="1:16" x14ac:dyDescent="0.3">
      <c r="A210" s="2" t="s">
        <v>254</v>
      </c>
      <c r="B210" s="2" t="s">
        <v>11</v>
      </c>
      <c r="C210" s="3">
        <v>36</v>
      </c>
      <c r="D210" t="s">
        <v>12</v>
      </c>
      <c r="E210" s="2" t="s">
        <v>19</v>
      </c>
      <c r="F210" s="2" t="s">
        <v>38</v>
      </c>
      <c r="G210">
        <v>34</v>
      </c>
      <c r="H210" s="4">
        <v>44246</v>
      </c>
      <c r="I210" s="2" t="s">
        <v>39</v>
      </c>
      <c r="J210" s="2" t="s">
        <v>27</v>
      </c>
      <c r="M210" t="str">
        <f t="shared" si="12"/>
        <v>Female</v>
      </c>
      <c r="N210" t="str">
        <f t="shared" si="13"/>
        <v>Delhi</v>
      </c>
      <c r="O210" t="str">
        <f t="shared" si="14"/>
        <v>Tamil</v>
      </c>
      <c r="P210" t="str">
        <f t="shared" si="15"/>
        <v>Standard</v>
      </c>
    </row>
    <row r="211" spans="1:16" x14ac:dyDescent="0.3">
      <c r="A211" s="2" t="s">
        <v>255</v>
      </c>
      <c r="B211" s="2" t="s">
        <v>31</v>
      </c>
      <c r="C211" s="3">
        <v>23</v>
      </c>
      <c r="D211" t="s">
        <v>32</v>
      </c>
      <c r="E211" s="2" t="s">
        <v>13</v>
      </c>
      <c r="F211" s="2" t="s">
        <v>38</v>
      </c>
      <c r="G211">
        <v>50</v>
      </c>
      <c r="H211" s="4">
        <v>43787</v>
      </c>
      <c r="I211" s="2" t="s">
        <v>47</v>
      </c>
      <c r="J211" s="2" t="s">
        <v>16</v>
      </c>
      <c r="M211" t="str">
        <f t="shared" si="12"/>
        <v>Male</v>
      </c>
      <c r="N211" t="str">
        <f t="shared" si="13"/>
        <v>Delhi</v>
      </c>
      <c r="O211" t="str">
        <f t="shared" si="14"/>
        <v>Hindi</v>
      </c>
      <c r="P211" t="str">
        <f t="shared" si="15"/>
        <v>Basic</v>
      </c>
    </row>
    <row r="212" spans="1:16" x14ac:dyDescent="0.3">
      <c r="A212" s="2" t="s">
        <v>256</v>
      </c>
      <c r="B212" s="2" t="s">
        <v>42</v>
      </c>
      <c r="C212" s="3">
        <v>52</v>
      </c>
      <c r="D212" t="s">
        <v>46</v>
      </c>
      <c r="E212" s="2" t="s">
        <v>19</v>
      </c>
      <c r="F212" s="2" t="s">
        <v>20</v>
      </c>
      <c r="G212">
        <v>12</v>
      </c>
      <c r="H212" s="4">
        <v>44929</v>
      </c>
      <c r="I212" s="2" t="s">
        <v>26</v>
      </c>
      <c r="J212" s="2" t="s">
        <v>16</v>
      </c>
      <c r="M212" t="str">
        <f t="shared" si="12"/>
        <v>Female</v>
      </c>
      <c r="N212" t="str">
        <f t="shared" si="13"/>
        <v>Chennai</v>
      </c>
      <c r="O212" t="str">
        <f t="shared" si="14"/>
        <v>Malayalam</v>
      </c>
      <c r="P212" t="str">
        <f t="shared" si="15"/>
        <v>Basic</v>
      </c>
    </row>
    <row r="213" spans="1:16" x14ac:dyDescent="0.3">
      <c r="A213" s="2" t="s">
        <v>257</v>
      </c>
      <c r="B213" s="2" t="s">
        <v>61</v>
      </c>
      <c r="C213" s="3">
        <v>41</v>
      </c>
      <c r="D213" t="s">
        <v>12</v>
      </c>
      <c r="E213" s="2" t="s">
        <v>13</v>
      </c>
      <c r="F213" s="2" t="s">
        <v>88</v>
      </c>
      <c r="G213">
        <v>33</v>
      </c>
      <c r="H213" s="4">
        <v>44274</v>
      </c>
      <c r="I213" s="2" t="s">
        <v>47</v>
      </c>
      <c r="J213" s="2" t="s">
        <v>27</v>
      </c>
      <c r="M213" t="str">
        <f t="shared" si="12"/>
        <v>Male</v>
      </c>
      <c r="N213" t="str">
        <f t="shared" si="13"/>
        <v>Lucknow</v>
      </c>
      <c r="O213" t="str">
        <f t="shared" si="14"/>
        <v>Hindi</v>
      </c>
      <c r="P213" t="str">
        <f t="shared" si="15"/>
        <v>Standard</v>
      </c>
    </row>
    <row r="214" spans="1:16" x14ac:dyDescent="0.3">
      <c r="A214" s="2" t="s">
        <v>258</v>
      </c>
      <c r="B214" s="2" t="s">
        <v>11</v>
      </c>
      <c r="C214" s="3">
        <v>31</v>
      </c>
      <c r="D214" t="s">
        <v>18</v>
      </c>
      <c r="E214" s="2" t="s">
        <v>19</v>
      </c>
      <c r="F214" s="2" t="s">
        <v>14</v>
      </c>
      <c r="G214">
        <v>17</v>
      </c>
      <c r="H214" s="4">
        <v>44776</v>
      </c>
      <c r="I214" s="2" t="s">
        <v>29</v>
      </c>
      <c r="J214" s="2" t="s">
        <v>16</v>
      </c>
      <c r="M214" t="str">
        <f t="shared" si="12"/>
        <v>Female</v>
      </c>
      <c r="N214" t="str">
        <f t="shared" si="13"/>
        <v>Kolkata</v>
      </c>
      <c r="O214" t="str">
        <f t="shared" si="14"/>
        <v>English</v>
      </c>
      <c r="P214" t="str">
        <f t="shared" si="15"/>
        <v>Basic</v>
      </c>
    </row>
    <row r="215" spans="1:16" x14ac:dyDescent="0.3">
      <c r="A215" s="2" t="s">
        <v>259</v>
      </c>
      <c r="B215" s="2" t="s">
        <v>31</v>
      </c>
      <c r="C215" s="3">
        <v>33</v>
      </c>
      <c r="D215" t="s">
        <v>18</v>
      </c>
      <c r="E215" s="2" t="s">
        <v>13</v>
      </c>
      <c r="F215" s="2" t="s">
        <v>14</v>
      </c>
      <c r="G215">
        <v>6</v>
      </c>
      <c r="H215" s="4">
        <v>45095</v>
      </c>
      <c r="I215" s="2" t="s">
        <v>26</v>
      </c>
      <c r="J215" s="2" t="s">
        <v>22</v>
      </c>
      <c r="M215" t="str">
        <f t="shared" si="12"/>
        <v>Male</v>
      </c>
      <c r="N215" t="str">
        <f t="shared" si="13"/>
        <v>Kolkata</v>
      </c>
      <c r="O215" t="str">
        <f t="shared" si="14"/>
        <v>Malayalam</v>
      </c>
      <c r="P215" t="str">
        <f t="shared" si="15"/>
        <v>Premium</v>
      </c>
    </row>
    <row r="216" spans="1:16" x14ac:dyDescent="0.3">
      <c r="A216" s="2" t="s">
        <v>260</v>
      </c>
      <c r="B216" s="2" t="s">
        <v>31</v>
      </c>
      <c r="C216" s="3">
        <v>48</v>
      </c>
      <c r="D216" t="s">
        <v>46</v>
      </c>
      <c r="E216" s="2" t="s">
        <v>13</v>
      </c>
      <c r="F216" s="2" t="s">
        <v>36</v>
      </c>
      <c r="G216">
        <v>32</v>
      </c>
      <c r="H216" s="4">
        <v>44310</v>
      </c>
      <c r="I216" s="2" t="s">
        <v>21</v>
      </c>
      <c r="J216" s="2" t="s">
        <v>16</v>
      </c>
      <c r="M216" t="str">
        <f t="shared" si="12"/>
        <v>Male</v>
      </c>
      <c r="N216" t="str">
        <f t="shared" si="13"/>
        <v>Ahmedabad</v>
      </c>
      <c r="O216" t="str">
        <f t="shared" si="14"/>
        <v>Bengali</v>
      </c>
      <c r="P216" t="str">
        <f t="shared" si="15"/>
        <v>Basic</v>
      </c>
    </row>
    <row r="217" spans="1:16" x14ac:dyDescent="0.3">
      <c r="A217" s="2" t="s">
        <v>261</v>
      </c>
      <c r="B217" s="2" t="s">
        <v>31</v>
      </c>
      <c r="C217" s="3">
        <v>21</v>
      </c>
      <c r="D217" t="s">
        <v>32</v>
      </c>
      <c r="E217" s="2" t="s">
        <v>13</v>
      </c>
      <c r="F217" s="2" t="s">
        <v>64</v>
      </c>
      <c r="G217">
        <v>56</v>
      </c>
      <c r="H217" s="4">
        <v>43586</v>
      </c>
      <c r="I217" s="2" t="s">
        <v>62</v>
      </c>
      <c r="J217" s="2" t="s">
        <v>27</v>
      </c>
      <c r="M217" t="str">
        <f t="shared" si="12"/>
        <v>Male</v>
      </c>
      <c r="N217" t="str">
        <f t="shared" si="13"/>
        <v>Pune</v>
      </c>
      <c r="O217" t="str">
        <f t="shared" si="14"/>
        <v>Gujarati</v>
      </c>
      <c r="P217" t="str">
        <f t="shared" si="15"/>
        <v>Standard</v>
      </c>
    </row>
    <row r="218" spans="1:16" x14ac:dyDescent="0.3">
      <c r="A218" s="2" t="s">
        <v>262</v>
      </c>
      <c r="B218" s="2" t="s">
        <v>24</v>
      </c>
      <c r="C218" s="3">
        <v>43</v>
      </c>
      <c r="D218" t="s">
        <v>12</v>
      </c>
      <c r="E218" s="2" t="s">
        <v>19</v>
      </c>
      <c r="F218" s="2" t="s">
        <v>88</v>
      </c>
      <c r="G218">
        <v>11</v>
      </c>
      <c r="H218" s="4">
        <v>44961</v>
      </c>
      <c r="I218" s="2" t="s">
        <v>29</v>
      </c>
      <c r="J218" s="2" t="s">
        <v>65</v>
      </c>
      <c r="M218" t="str">
        <f t="shared" si="12"/>
        <v>Female</v>
      </c>
      <c r="N218" t="str">
        <f t="shared" si="13"/>
        <v>Lucknow</v>
      </c>
      <c r="O218" t="str">
        <f t="shared" si="14"/>
        <v>English</v>
      </c>
      <c r="P218" t="str">
        <f t="shared" si="15"/>
        <v>Family</v>
      </c>
    </row>
    <row r="219" spans="1:16" x14ac:dyDescent="0.3">
      <c r="A219" s="2" t="s">
        <v>263</v>
      </c>
      <c r="B219" s="2" t="s">
        <v>61</v>
      </c>
      <c r="C219" s="3">
        <v>47</v>
      </c>
      <c r="D219" t="s">
        <v>46</v>
      </c>
      <c r="E219" s="2" t="s">
        <v>19</v>
      </c>
      <c r="F219" s="2" t="s">
        <v>88</v>
      </c>
      <c r="G219">
        <v>18</v>
      </c>
      <c r="H219" s="4">
        <v>44734</v>
      </c>
      <c r="I219" s="2" t="s">
        <v>34</v>
      </c>
      <c r="J219" s="2" t="s">
        <v>65</v>
      </c>
      <c r="M219" t="str">
        <f t="shared" si="12"/>
        <v>Female</v>
      </c>
      <c r="N219" t="str">
        <f t="shared" si="13"/>
        <v>Lucknow</v>
      </c>
      <c r="O219" t="str">
        <f t="shared" si="14"/>
        <v>Marathi</v>
      </c>
      <c r="P219" t="str">
        <f t="shared" si="15"/>
        <v>Family</v>
      </c>
    </row>
    <row r="220" spans="1:16" x14ac:dyDescent="0.3">
      <c r="A220" s="2" t="s">
        <v>264</v>
      </c>
      <c r="B220" s="2" t="s">
        <v>11</v>
      </c>
      <c r="C220" s="3">
        <v>52</v>
      </c>
      <c r="D220" t="s">
        <v>46</v>
      </c>
      <c r="E220" s="2" t="s">
        <v>19</v>
      </c>
      <c r="F220" s="2" t="s">
        <v>38</v>
      </c>
      <c r="G220">
        <v>29</v>
      </c>
      <c r="H220" s="4">
        <v>44414</v>
      </c>
      <c r="I220" s="2" t="s">
        <v>39</v>
      </c>
      <c r="J220" s="2" t="s">
        <v>16</v>
      </c>
      <c r="M220" t="str">
        <f t="shared" si="12"/>
        <v>Female</v>
      </c>
      <c r="N220" t="str">
        <f t="shared" si="13"/>
        <v>Delhi</v>
      </c>
      <c r="O220" t="str">
        <f t="shared" si="14"/>
        <v>Tamil</v>
      </c>
      <c r="P220" t="str">
        <f t="shared" si="15"/>
        <v>Basic</v>
      </c>
    </row>
    <row r="221" spans="1:16" x14ac:dyDescent="0.3">
      <c r="A221" s="2" t="s">
        <v>265</v>
      </c>
      <c r="B221" s="2" t="s">
        <v>42</v>
      </c>
      <c r="C221" s="3">
        <v>26</v>
      </c>
      <c r="D221" t="s">
        <v>18</v>
      </c>
      <c r="E221" s="2" t="s">
        <v>13</v>
      </c>
      <c r="F221" s="2" t="s">
        <v>36</v>
      </c>
      <c r="G221">
        <v>40</v>
      </c>
      <c r="H221" s="4">
        <v>44091</v>
      </c>
      <c r="I221" s="2" t="s">
        <v>26</v>
      </c>
      <c r="J221" s="2" t="s">
        <v>16</v>
      </c>
      <c r="M221" t="str">
        <f t="shared" si="12"/>
        <v>Male</v>
      </c>
      <c r="N221" t="str">
        <f t="shared" si="13"/>
        <v>Ahmedabad</v>
      </c>
      <c r="O221" t="str">
        <f t="shared" si="14"/>
        <v>Malayalam</v>
      </c>
      <c r="P221" t="str">
        <f t="shared" si="15"/>
        <v>Basic</v>
      </c>
    </row>
    <row r="222" spans="1:16" x14ac:dyDescent="0.3">
      <c r="A222" s="2" t="s">
        <v>266</v>
      </c>
      <c r="B222" s="2" t="s">
        <v>31</v>
      </c>
      <c r="C222" s="3">
        <v>30</v>
      </c>
      <c r="D222" t="s">
        <v>18</v>
      </c>
      <c r="E222" s="2" t="s">
        <v>13</v>
      </c>
      <c r="F222" s="2" t="s">
        <v>56</v>
      </c>
      <c r="G222">
        <v>56</v>
      </c>
      <c r="H222" s="4">
        <v>43588</v>
      </c>
      <c r="I222" s="2" t="s">
        <v>21</v>
      </c>
      <c r="J222" s="2" t="s">
        <v>27</v>
      </c>
      <c r="M222" t="str">
        <f t="shared" si="12"/>
        <v>Male</v>
      </c>
      <c r="N222" t="str">
        <f t="shared" si="13"/>
        <v>Hyderabad</v>
      </c>
      <c r="O222" t="str">
        <f t="shared" si="14"/>
        <v>Bengali</v>
      </c>
      <c r="P222" t="str">
        <f t="shared" si="15"/>
        <v>Standard</v>
      </c>
    </row>
    <row r="223" spans="1:16" x14ac:dyDescent="0.3">
      <c r="A223" s="2" t="s">
        <v>267</v>
      </c>
      <c r="B223" s="2" t="s">
        <v>31</v>
      </c>
      <c r="C223" s="3">
        <v>33</v>
      </c>
      <c r="D223" t="s">
        <v>18</v>
      </c>
      <c r="E223" s="2" t="s">
        <v>13</v>
      </c>
      <c r="F223" s="2" t="s">
        <v>38</v>
      </c>
      <c r="G223">
        <v>13</v>
      </c>
      <c r="H223" s="4">
        <v>44878</v>
      </c>
      <c r="I223" s="2" t="s">
        <v>26</v>
      </c>
      <c r="J223" s="2" t="s">
        <v>16</v>
      </c>
      <c r="M223" t="str">
        <f t="shared" si="12"/>
        <v>Male</v>
      </c>
      <c r="N223" t="str">
        <f t="shared" si="13"/>
        <v>Delhi</v>
      </c>
      <c r="O223" t="str">
        <f t="shared" si="14"/>
        <v>Malayalam</v>
      </c>
      <c r="P223" t="str">
        <f t="shared" si="15"/>
        <v>Basic</v>
      </c>
    </row>
    <row r="224" spans="1:16" x14ac:dyDescent="0.3">
      <c r="A224" s="2" t="s">
        <v>268</v>
      </c>
      <c r="B224" s="2" t="s">
        <v>24</v>
      </c>
      <c r="C224" s="3">
        <v>18</v>
      </c>
      <c r="D224" t="s">
        <v>32</v>
      </c>
      <c r="E224" s="2" t="s">
        <v>19</v>
      </c>
      <c r="F224" s="2" t="s">
        <v>33</v>
      </c>
      <c r="G224">
        <v>39</v>
      </c>
      <c r="H224" s="4">
        <v>44098</v>
      </c>
      <c r="I224" s="2" t="s">
        <v>47</v>
      </c>
      <c r="J224" s="2" t="s">
        <v>16</v>
      </c>
      <c r="M224" t="str">
        <f t="shared" si="12"/>
        <v>Female</v>
      </c>
      <c r="N224" t="str">
        <f t="shared" si="13"/>
        <v>Jaipur</v>
      </c>
      <c r="O224" t="str">
        <f t="shared" si="14"/>
        <v>Hindi</v>
      </c>
      <c r="P224" t="str">
        <f t="shared" si="15"/>
        <v>Basic</v>
      </c>
    </row>
    <row r="225" spans="1:16" x14ac:dyDescent="0.3">
      <c r="A225" s="2" t="s">
        <v>269</v>
      </c>
      <c r="B225" s="2" t="s">
        <v>24</v>
      </c>
      <c r="C225" s="3">
        <v>43</v>
      </c>
      <c r="D225" t="s">
        <v>12</v>
      </c>
      <c r="E225" s="2" t="s">
        <v>19</v>
      </c>
      <c r="F225" s="2" t="s">
        <v>38</v>
      </c>
      <c r="G225">
        <v>47</v>
      </c>
      <c r="H225" s="4">
        <v>43867</v>
      </c>
      <c r="I225" s="2" t="s">
        <v>47</v>
      </c>
      <c r="J225" s="2" t="s">
        <v>16</v>
      </c>
      <c r="M225" t="str">
        <f t="shared" si="12"/>
        <v>Female</v>
      </c>
      <c r="N225" t="str">
        <f t="shared" si="13"/>
        <v>Delhi</v>
      </c>
      <c r="O225" t="str">
        <f t="shared" si="14"/>
        <v>Hindi</v>
      </c>
      <c r="P225" t="str">
        <f t="shared" si="15"/>
        <v>Basic</v>
      </c>
    </row>
    <row r="226" spans="1:16" x14ac:dyDescent="0.3">
      <c r="A226" s="2" t="s">
        <v>270</v>
      </c>
      <c r="B226" s="2" t="s">
        <v>11</v>
      </c>
      <c r="C226" s="3">
        <v>29</v>
      </c>
      <c r="D226" t="s">
        <v>18</v>
      </c>
      <c r="E226" s="2" t="s">
        <v>13</v>
      </c>
      <c r="F226" s="2" t="s">
        <v>64</v>
      </c>
      <c r="G226">
        <v>4</v>
      </c>
      <c r="H226" s="4">
        <v>45161</v>
      </c>
      <c r="I226" s="2" t="s">
        <v>39</v>
      </c>
      <c r="J226" s="2" t="s">
        <v>22</v>
      </c>
      <c r="M226" t="str">
        <f t="shared" si="12"/>
        <v>Male</v>
      </c>
      <c r="N226" t="str">
        <f t="shared" si="13"/>
        <v>Pune</v>
      </c>
      <c r="O226" t="str">
        <f t="shared" si="14"/>
        <v>Tamil</v>
      </c>
      <c r="P226" t="str">
        <f t="shared" si="15"/>
        <v>Premium</v>
      </c>
    </row>
    <row r="227" spans="1:16" x14ac:dyDescent="0.3">
      <c r="A227" s="2" t="s">
        <v>271</v>
      </c>
      <c r="B227" s="2" t="s">
        <v>11</v>
      </c>
      <c r="C227" s="3">
        <v>41</v>
      </c>
      <c r="D227" t="s">
        <v>12</v>
      </c>
      <c r="E227" s="2" t="s">
        <v>13</v>
      </c>
      <c r="F227" s="2" t="s">
        <v>54</v>
      </c>
      <c r="G227">
        <v>45</v>
      </c>
      <c r="H227" s="4">
        <v>43937</v>
      </c>
      <c r="I227" s="2" t="s">
        <v>39</v>
      </c>
      <c r="J227" s="2" t="s">
        <v>27</v>
      </c>
      <c r="M227" t="str">
        <f t="shared" si="12"/>
        <v>Male</v>
      </c>
      <c r="N227" t="str">
        <f t="shared" si="13"/>
        <v>Bangalore</v>
      </c>
      <c r="O227" t="str">
        <f t="shared" si="14"/>
        <v>Tamil</v>
      </c>
      <c r="P227" t="str">
        <f t="shared" si="15"/>
        <v>Standard</v>
      </c>
    </row>
    <row r="228" spans="1:16" x14ac:dyDescent="0.3">
      <c r="A228" s="2" t="s">
        <v>272</v>
      </c>
      <c r="B228" s="2" t="s">
        <v>31</v>
      </c>
      <c r="C228" s="3">
        <v>42</v>
      </c>
      <c r="D228" t="s">
        <v>12</v>
      </c>
      <c r="E228" s="2" t="s">
        <v>13</v>
      </c>
      <c r="F228" s="2" t="s">
        <v>33</v>
      </c>
      <c r="G228">
        <v>57</v>
      </c>
      <c r="H228" s="4">
        <v>43574</v>
      </c>
      <c r="I228" s="2" t="s">
        <v>49</v>
      </c>
      <c r="J228" s="2" t="s">
        <v>27</v>
      </c>
      <c r="M228" t="str">
        <f t="shared" si="12"/>
        <v>Male</v>
      </c>
      <c r="N228" t="str">
        <f t="shared" si="13"/>
        <v>Jaipur</v>
      </c>
      <c r="O228" t="str">
        <f t="shared" si="14"/>
        <v>Kannada</v>
      </c>
      <c r="P228" t="str">
        <f t="shared" si="15"/>
        <v>Standard</v>
      </c>
    </row>
    <row r="229" spans="1:16" x14ac:dyDescent="0.3">
      <c r="A229" s="2" t="s">
        <v>273</v>
      </c>
      <c r="B229" s="2" t="s">
        <v>61</v>
      </c>
      <c r="C229" s="3">
        <v>22</v>
      </c>
      <c r="D229" t="s">
        <v>32</v>
      </c>
      <c r="E229" s="2" t="s">
        <v>19</v>
      </c>
      <c r="F229" s="2" t="s">
        <v>14</v>
      </c>
      <c r="G229">
        <v>18</v>
      </c>
      <c r="H229" s="4">
        <v>44728</v>
      </c>
      <c r="I229" s="2" t="s">
        <v>21</v>
      </c>
      <c r="J229" s="2" t="s">
        <v>16</v>
      </c>
      <c r="M229" t="str">
        <f t="shared" si="12"/>
        <v>Female</v>
      </c>
      <c r="N229" t="str">
        <f t="shared" si="13"/>
        <v>Kolkata</v>
      </c>
      <c r="O229" t="str">
        <f t="shared" si="14"/>
        <v>Bengali</v>
      </c>
      <c r="P229" t="str">
        <f t="shared" si="15"/>
        <v>Basic</v>
      </c>
    </row>
    <row r="230" spans="1:16" x14ac:dyDescent="0.3">
      <c r="A230" s="2" t="s">
        <v>274</v>
      </c>
      <c r="B230" s="2" t="s">
        <v>11</v>
      </c>
      <c r="C230" s="3">
        <v>43</v>
      </c>
      <c r="D230" t="s">
        <v>12</v>
      </c>
      <c r="E230" s="2" t="s">
        <v>105</v>
      </c>
      <c r="F230" s="2" t="s">
        <v>14</v>
      </c>
      <c r="G230">
        <v>29</v>
      </c>
      <c r="H230" s="4">
        <v>44405</v>
      </c>
      <c r="I230" s="2" t="s">
        <v>49</v>
      </c>
      <c r="J230" s="2" t="s">
        <v>27</v>
      </c>
      <c r="M230" t="str">
        <f t="shared" si="12"/>
        <v>Non-Binary</v>
      </c>
      <c r="N230" t="str">
        <f t="shared" si="13"/>
        <v>Kolkata</v>
      </c>
      <c r="O230" t="str">
        <f t="shared" si="14"/>
        <v>Kannada</v>
      </c>
      <c r="P230" t="str">
        <f t="shared" si="15"/>
        <v>Standard</v>
      </c>
    </row>
    <row r="231" spans="1:16" x14ac:dyDescent="0.3">
      <c r="A231" s="2" t="s">
        <v>275</v>
      </c>
      <c r="B231" s="2" t="s">
        <v>61</v>
      </c>
      <c r="C231" s="3">
        <v>34</v>
      </c>
      <c r="D231" t="s">
        <v>18</v>
      </c>
      <c r="E231" s="2" t="s">
        <v>13</v>
      </c>
      <c r="F231" s="2" t="s">
        <v>14</v>
      </c>
      <c r="G231">
        <v>58</v>
      </c>
      <c r="H231" s="4">
        <v>43531</v>
      </c>
      <c r="I231" s="2" t="s">
        <v>39</v>
      </c>
      <c r="J231" s="2" t="s">
        <v>22</v>
      </c>
      <c r="M231" t="str">
        <f t="shared" si="12"/>
        <v>Male</v>
      </c>
      <c r="N231" t="str">
        <f t="shared" si="13"/>
        <v>Kolkata</v>
      </c>
      <c r="O231" t="str">
        <f t="shared" si="14"/>
        <v>Tamil</v>
      </c>
      <c r="P231" t="str">
        <f t="shared" si="15"/>
        <v>Premium</v>
      </c>
    </row>
    <row r="232" spans="1:16" x14ac:dyDescent="0.3">
      <c r="A232" s="2" t="s">
        <v>276</v>
      </c>
      <c r="B232" s="2" t="s">
        <v>24</v>
      </c>
      <c r="C232" s="3">
        <v>18</v>
      </c>
      <c r="D232" t="s">
        <v>32</v>
      </c>
      <c r="E232" s="2" t="s">
        <v>13</v>
      </c>
      <c r="F232" s="2" t="s">
        <v>56</v>
      </c>
      <c r="G232">
        <v>16</v>
      </c>
      <c r="H232" s="4">
        <v>44805</v>
      </c>
      <c r="I232" s="2" t="s">
        <v>21</v>
      </c>
      <c r="J232" s="2" t="s">
        <v>27</v>
      </c>
      <c r="M232" t="str">
        <f t="shared" si="12"/>
        <v>Male</v>
      </c>
      <c r="N232" t="str">
        <f t="shared" si="13"/>
        <v>Hyderabad</v>
      </c>
      <c r="O232" t="str">
        <f t="shared" si="14"/>
        <v>Bengali</v>
      </c>
      <c r="P232" t="str">
        <f t="shared" si="15"/>
        <v>Standard</v>
      </c>
    </row>
    <row r="233" spans="1:16" x14ac:dyDescent="0.3">
      <c r="A233" s="2" t="s">
        <v>277</v>
      </c>
      <c r="B233" s="2" t="s">
        <v>31</v>
      </c>
      <c r="C233" s="3">
        <v>25</v>
      </c>
      <c r="D233" t="s">
        <v>18</v>
      </c>
      <c r="E233" s="2" t="s">
        <v>19</v>
      </c>
      <c r="F233" s="2" t="s">
        <v>33</v>
      </c>
      <c r="G233">
        <v>9</v>
      </c>
      <c r="H233" s="4">
        <v>45017</v>
      </c>
      <c r="I233" s="2" t="s">
        <v>49</v>
      </c>
      <c r="J233" s="2" t="s">
        <v>27</v>
      </c>
      <c r="M233" t="str">
        <f t="shared" si="12"/>
        <v>Female</v>
      </c>
      <c r="N233" t="str">
        <f t="shared" si="13"/>
        <v>Jaipur</v>
      </c>
      <c r="O233" t="str">
        <f t="shared" si="14"/>
        <v>Kannada</v>
      </c>
      <c r="P233" t="str">
        <f t="shared" si="15"/>
        <v>Standard</v>
      </c>
    </row>
    <row r="234" spans="1:16" x14ac:dyDescent="0.3">
      <c r="A234" s="2" t="s">
        <v>278</v>
      </c>
      <c r="B234" s="2" t="s">
        <v>42</v>
      </c>
      <c r="C234" s="3">
        <v>40</v>
      </c>
      <c r="D234" t="s">
        <v>12</v>
      </c>
      <c r="E234" s="2" t="s">
        <v>13</v>
      </c>
      <c r="F234" s="2" t="s">
        <v>38</v>
      </c>
      <c r="G234">
        <v>34</v>
      </c>
      <c r="H234" s="4">
        <v>44264</v>
      </c>
      <c r="I234" s="2" t="s">
        <v>34</v>
      </c>
      <c r="J234" s="2" t="s">
        <v>27</v>
      </c>
      <c r="M234" t="str">
        <f t="shared" si="12"/>
        <v>Male</v>
      </c>
      <c r="N234" t="str">
        <f t="shared" si="13"/>
        <v>Delhi</v>
      </c>
      <c r="O234" t="str">
        <f t="shared" si="14"/>
        <v>Marathi</v>
      </c>
      <c r="P234" t="str">
        <f t="shared" si="15"/>
        <v>Standard</v>
      </c>
    </row>
    <row r="235" spans="1:16" x14ac:dyDescent="0.3">
      <c r="A235" s="2" t="s">
        <v>279</v>
      </c>
      <c r="B235" s="2" t="s">
        <v>42</v>
      </c>
      <c r="C235" s="3">
        <v>26</v>
      </c>
      <c r="D235" t="s">
        <v>18</v>
      </c>
      <c r="E235" s="2" t="s">
        <v>13</v>
      </c>
      <c r="F235" s="2" t="s">
        <v>64</v>
      </c>
      <c r="G235">
        <v>44</v>
      </c>
      <c r="H235" s="4">
        <v>43965</v>
      </c>
      <c r="I235" s="2" t="s">
        <v>49</v>
      </c>
      <c r="J235" s="2" t="s">
        <v>27</v>
      </c>
      <c r="M235" t="str">
        <f t="shared" si="12"/>
        <v>Male</v>
      </c>
      <c r="N235" t="str">
        <f t="shared" si="13"/>
        <v>Pune</v>
      </c>
      <c r="O235" t="str">
        <f t="shared" si="14"/>
        <v>Kannada</v>
      </c>
      <c r="P235" t="str">
        <f t="shared" si="15"/>
        <v>Standard</v>
      </c>
    </row>
    <row r="236" spans="1:16" x14ac:dyDescent="0.3">
      <c r="A236" s="2" t="s">
        <v>280</v>
      </c>
      <c r="B236" s="2" t="s">
        <v>31</v>
      </c>
      <c r="C236" s="3">
        <v>35</v>
      </c>
      <c r="D236" t="s">
        <v>12</v>
      </c>
      <c r="E236" s="2" t="s">
        <v>13</v>
      </c>
      <c r="F236" s="2" t="s">
        <v>20</v>
      </c>
      <c r="G236">
        <v>16</v>
      </c>
      <c r="H236" s="4">
        <v>44799</v>
      </c>
      <c r="I236" s="2" t="s">
        <v>34</v>
      </c>
      <c r="J236" s="2" t="s">
        <v>27</v>
      </c>
      <c r="M236" t="str">
        <f t="shared" si="12"/>
        <v>Male</v>
      </c>
      <c r="N236" t="str">
        <f t="shared" si="13"/>
        <v>Chennai</v>
      </c>
      <c r="O236" t="str">
        <f t="shared" si="14"/>
        <v>Marathi</v>
      </c>
      <c r="P236" t="str">
        <f t="shared" si="15"/>
        <v>Standard</v>
      </c>
    </row>
    <row r="237" spans="1:16" x14ac:dyDescent="0.3">
      <c r="A237" s="2" t="s">
        <v>281</v>
      </c>
      <c r="B237" s="2" t="s">
        <v>24</v>
      </c>
      <c r="C237" s="3">
        <v>18</v>
      </c>
      <c r="D237" t="s">
        <v>32</v>
      </c>
      <c r="E237" s="2" t="s">
        <v>19</v>
      </c>
      <c r="F237" s="2" t="s">
        <v>54</v>
      </c>
      <c r="G237">
        <v>24</v>
      </c>
      <c r="H237" s="4">
        <v>44561</v>
      </c>
      <c r="I237" s="2" t="s">
        <v>26</v>
      </c>
      <c r="J237" s="2" t="s">
        <v>27</v>
      </c>
      <c r="M237" t="str">
        <f t="shared" si="12"/>
        <v>Female</v>
      </c>
      <c r="N237" t="str">
        <f t="shared" si="13"/>
        <v>Bangalore</v>
      </c>
      <c r="O237" t="str">
        <f t="shared" si="14"/>
        <v>Malayalam</v>
      </c>
      <c r="P237" t="str">
        <f t="shared" si="15"/>
        <v>Standard</v>
      </c>
    </row>
    <row r="238" spans="1:16" x14ac:dyDescent="0.3">
      <c r="A238" s="2" t="s">
        <v>282</v>
      </c>
      <c r="B238" s="2" t="s">
        <v>31</v>
      </c>
      <c r="C238" s="3">
        <v>41</v>
      </c>
      <c r="D238" t="s">
        <v>12</v>
      </c>
      <c r="E238" s="2" t="s">
        <v>19</v>
      </c>
      <c r="F238" s="2" t="s">
        <v>25</v>
      </c>
      <c r="G238">
        <v>26</v>
      </c>
      <c r="H238" s="4">
        <v>44494</v>
      </c>
      <c r="I238" s="2" t="s">
        <v>21</v>
      </c>
      <c r="J238" s="2" t="s">
        <v>22</v>
      </c>
      <c r="M238" t="str">
        <f t="shared" si="12"/>
        <v>Female</v>
      </c>
      <c r="N238" t="str">
        <f t="shared" si="13"/>
        <v>Mumbai</v>
      </c>
      <c r="O238" t="str">
        <f t="shared" si="14"/>
        <v>Bengali</v>
      </c>
      <c r="P238" t="str">
        <f t="shared" si="15"/>
        <v>Premium</v>
      </c>
    </row>
    <row r="239" spans="1:16" x14ac:dyDescent="0.3">
      <c r="A239" s="2" t="s">
        <v>283</v>
      </c>
      <c r="B239" s="2" t="s">
        <v>11</v>
      </c>
      <c r="C239" s="3">
        <v>23</v>
      </c>
      <c r="D239" t="s">
        <v>32</v>
      </c>
      <c r="E239" s="2" t="s">
        <v>13</v>
      </c>
      <c r="F239" s="2" t="s">
        <v>54</v>
      </c>
      <c r="G239">
        <v>15</v>
      </c>
      <c r="H239" s="4">
        <v>44842</v>
      </c>
      <c r="I239" s="2" t="s">
        <v>47</v>
      </c>
      <c r="J239" s="2" t="s">
        <v>27</v>
      </c>
      <c r="M239" t="str">
        <f t="shared" si="12"/>
        <v>Male</v>
      </c>
      <c r="N239" t="str">
        <f t="shared" si="13"/>
        <v>Bangalore</v>
      </c>
      <c r="O239" t="str">
        <f t="shared" si="14"/>
        <v>Hindi</v>
      </c>
      <c r="P239" t="str">
        <f t="shared" si="15"/>
        <v>Standard</v>
      </c>
    </row>
    <row r="240" spans="1:16" x14ac:dyDescent="0.3">
      <c r="A240" s="2" t="s">
        <v>284</v>
      </c>
      <c r="B240" s="2" t="s">
        <v>42</v>
      </c>
      <c r="C240" s="3">
        <v>38</v>
      </c>
      <c r="D240" t="s">
        <v>12</v>
      </c>
      <c r="E240" s="2" t="s">
        <v>13</v>
      </c>
      <c r="F240" s="2" t="s">
        <v>88</v>
      </c>
      <c r="G240">
        <v>14</v>
      </c>
      <c r="H240" s="4">
        <v>44853</v>
      </c>
      <c r="I240" s="2" t="s">
        <v>21</v>
      </c>
      <c r="J240" s="2" t="s">
        <v>22</v>
      </c>
      <c r="M240" t="str">
        <f t="shared" si="12"/>
        <v>Male</v>
      </c>
      <c r="N240" t="str">
        <f t="shared" si="13"/>
        <v>Lucknow</v>
      </c>
      <c r="O240" t="str">
        <f t="shared" si="14"/>
        <v>Bengali</v>
      </c>
      <c r="P240" t="str">
        <f t="shared" si="15"/>
        <v>Premium</v>
      </c>
    </row>
    <row r="241" spans="1:16" x14ac:dyDescent="0.3">
      <c r="A241" s="2" t="s">
        <v>285</v>
      </c>
      <c r="B241" s="2" t="s">
        <v>31</v>
      </c>
      <c r="C241" s="3">
        <v>25</v>
      </c>
      <c r="D241" t="s">
        <v>18</v>
      </c>
      <c r="E241" s="2" t="s">
        <v>13</v>
      </c>
      <c r="F241" s="2" t="s">
        <v>38</v>
      </c>
      <c r="G241">
        <v>58</v>
      </c>
      <c r="H241" s="4">
        <v>43552</v>
      </c>
      <c r="I241" s="2" t="s">
        <v>26</v>
      </c>
      <c r="J241" s="2" t="s">
        <v>16</v>
      </c>
      <c r="M241" t="str">
        <f t="shared" si="12"/>
        <v>Male</v>
      </c>
      <c r="N241" t="str">
        <f t="shared" si="13"/>
        <v>Delhi</v>
      </c>
      <c r="O241" t="str">
        <f t="shared" si="14"/>
        <v>Malayalam</v>
      </c>
      <c r="P241" t="str">
        <f t="shared" si="15"/>
        <v>Basic</v>
      </c>
    </row>
    <row r="242" spans="1:16" x14ac:dyDescent="0.3">
      <c r="A242" s="2" t="s">
        <v>286</v>
      </c>
      <c r="B242" s="2" t="s">
        <v>42</v>
      </c>
      <c r="C242" s="3">
        <v>34</v>
      </c>
      <c r="D242" t="s">
        <v>18</v>
      </c>
      <c r="E242" s="2" t="s">
        <v>19</v>
      </c>
      <c r="F242" s="2" t="s">
        <v>14</v>
      </c>
      <c r="G242">
        <v>25</v>
      </c>
      <c r="H242" s="4">
        <v>44525</v>
      </c>
      <c r="I242" s="2" t="s">
        <v>34</v>
      </c>
      <c r="J242" s="2" t="s">
        <v>27</v>
      </c>
      <c r="M242" t="str">
        <f t="shared" si="12"/>
        <v>Female</v>
      </c>
      <c r="N242" t="str">
        <f t="shared" si="13"/>
        <v>Kolkata</v>
      </c>
      <c r="O242" t="str">
        <f t="shared" si="14"/>
        <v>Marathi</v>
      </c>
      <c r="P242" t="str">
        <f t="shared" si="15"/>
        <v>Standard</v>
      </c>
    </row>
    <row r="243" spans="1:16" x14ac:dyDescent="0.3">
      <c r="A243" s="2" t="s">
        <v>287</v>
      </c>
      <c r="B243" s="2" t="s">
        <v>31</v>
      </c>
      <c r="C243" s="3">
        <v>21</v>
      </c>
      <c r="D243" t="s">
        <v>32</v>
      </c>
      <c r="E243" s="2" t="s">
        <v>19</v>
      </c>
      <c r="F243" s="2" t="s">
        <v>56</v>
      </c>
      <c r="G243">
        <v>56</v>
      </c>
      <c r="H243" s="4">
        <v>43593</v>
      </c>
      <c r="I243" s="2" t="s">
        <v>34</v>
      </c>
      <c r="J243" s="2" t="s">
        <v>16</v>
      </c>
      <c r="M243" t="str">
        <f t="shared" si="12"/>
        <v>Female</v>
      </c>
      <c r="N243" t="str">
        <f t="shared" si="13"/>
        <v>Hyderabad</v>
      </c>
      <c r="O243" t="str">
        <f t="shared" si="14"/>
        <v>Marathi</v>
      </c>
      <c r="P243" t="str">
        <f t="shared" si="15"/>
        <v>Basic</v>
      </c>
    </row>
    <row r="244" spans="1:16" x14ac:dyDescent="0.3">
      <c r="A244" s="2" t="s">
        <v>288</v>
      </c>
      <c r="B244" s="2" t="s">
        <v>11</v>
      </c>
      <c r="C244" s="3">
        <v>46</v>
      </c>
      <c r="D244" t="s">
        <v>46</v>
      </c>
      <c r="E244" s="2" t="s">
        <v>13</v>
      </c>
      <c r="F244" s="2" t="s">
        <v>54</v>
      </c>
      <c r="G244">
        <v>8</v>
      </c>
      <c r="H244" s="4">
        <v>45050</v>
      </c>
      <c r="I244" s="2" t="s">
        <v>49</v>
      </c>
      <c r="J244" s="2" t="s">
        <v>65</v>
      </c>
      <c r="M244" t="str">
        <f t="shared" si="12"/>
        <v>Male</v>
      </c>
      <c r="N244" t="str">
        <f t="shared" si="13"/>
        <v>Bangalore</v>
      </c>
      <c r="O244" t="str">
        <f t="shared" si="14"/>
        <v>Kannada</v>
      </c>
      <c r="P244" t="str">
        <f t="shared" si="15"/>
        <v>Family</v>
      </c>
    </row>
    <row r="245" spans="1:16" x14ac:dyDescent="0.3">
      <c r="A245" s="2" t="s">
        <v>289</v>
      </c>
      <c r="B245" s="2" t="s">
        <v>61</v>
      </c>
      <c r="C245" s="3">
        <v>34</v>
      </c>
      <c r="D245" t="s">
        <v>18</v>
      </c>
      <c r="E245" s="2" t="s">
        <v>13</v>
      </c>
      <c r="F245" s="2" t="s">
        <v>36</v>
      </c>
      <c r="G245">
        <v>8</v>
      </c>
      <c r="H245" s="4">
        <v>45031</v>
      </c>
      <c r="I245" s="2" t="s">
        <v>49</v>
      </c>
      <c r="J245" s="2" t="s">
        <v>27</v>
      </c>
      <c r="M245" t="str">
        <f t="shared" si="12"/>
        <v>Male</v>
      </c>
      <c r="N245" t="str">
        <f t="shared" si="13"/>
        <v>Ahmedabad</v>
      </c>
      <c r="O245" t="str">
        <f t="shared" si="14"/>
        <v>Kannada</v>
      </c>
      <c r="P245" t="str">
        <f t="shared" si="15"/>
        <v>Standard</v>
      </c>
    </row>
    <row r="246" spans="1:16" x14ac:dyDescent="0.3">
      <c r="A246" s="2" t="s">
        <v>290</v>
      </c>
      <c r="B246" s="2" t="s">
        <v>42</v>
      </c>
      <c r="C246" s="3">
        <v>27</v>
      </c>
      <c r="D246" t="s">
        <v>18</v>
      </c>
      <c r="E246" s="2" t="s">
        <v>19</v>
      </c>
      <c r="F246" s="2" t="s">
        <v>88</v>
      </c>
      <c r="G246">
        <v>7</v>
      </c>
      <c r="H246" s="4">
        <v>45067</v>
      </c>
      <c r="I246" s="2" t="s">
        <v>49</v>
      </c>
      <c r="J246" s="2" t="s">
        <v>22</v>
      </c>
      <c r="M246" t="str">
        <f t="shared" si="12"/>
        <v>Female</v>
      </c>
      <c r="N246" t="str">
        <f t="shared" si="13"/>
        <v>Lucknow</v>
      </c>
      <c r="O246" t="str">
        <f t="shared" si="14"/>
        <v>Kannada</v>
      </c>
      <c r="P246" t="str">
        <f t="shared" si="15"/>
        <v>Premium</v>
      </c>
    </row>
    <row r="247" spans="1:16" x14ac:dyDescent="0.3">
      <c r="A247" s="2" t="s">
        <v>291</v>
      </c>
      <c r="B247" s="2" t="s">
        <v>24</v>
      </c>
      <c r="C247" s="3">
        <v>35</v>
      </c>
      <c r="D247" t="s">
        <v>12</v>
      </c>
      <c r="E247" s="2" t="s">
        <v>13</v>
      </c>
      <c r="F247" s="2" t="s">
        <v>36</v>
      </c>
      <c r="G247">
        <v>60</v>
      </c>
      <c r="H247" s="4">
        <v>43482</v>
      </c>
      <c r="I247" s="2" t="s">
        <v>39</v>
      </c>
      <c r="J247" s="2" t="s">
        <v>16</v>
      </c>
      <c r="M247" t="str">
        <f t="shared" si="12"/>
        <v>Male</v>
      </c>
      <c r="N247" t="str">
        <f t="shared" si="13"/>
        <v>Ahmedabad</v>
      </c>
      <c r="O247" t="str">
        <f t="shared" si="14"/>
        <v>Tamil</v>
      </c>
      <c r="P247" t="str">
        <f t="shared" si="15"/>
        <v>Basic</v>
      </c>
    </row>
    <row r="248" spans="1:16" x14ac:dyDescent="0.3">
      <c r="A248" s="2" t="s">
        <v>292</v>
      </c>
      <c r="B248" s="2" t="s">
        <v>42</v>
      </c>
      <c r="C248" s="3">
        <v>18</v>
      </c>
      <c r="D248" t="s">
        <v>32</v>
      </c>
      <c r="E248" s="2" t="s">
        <v>13</v>
      </c>
      <c r="F248" s="2" t="s">
        <v>36</v>
      </c>
      <c r="G248">
        <v>31</v>
      </c>
      <c r="H248" s="4">
        <v>44347</v>
      </c>
      <c r="I248" s="2" t="s">
        <v>34</v>
      </c>
      <c r="J248" s="2" t="s">
        <v>16</v>
      </c>
      <c r="M248" t="str">
        <f t="shared" si="12"/>
        <v>Male</v>
      </c>
      <c r="N248" t="str">
        <f t="shared" si="13"/>
        <v>Ahmedabad</v>
      </c>
      <c r="O248" t="str">
        <f t="shared" si="14"/>
        <v>Marathi</v>
      </c>
      <c r="P248" t="str">
        <f t="shared" si="15"/>
        <v>Basic</v>
      </c>
    </row>
    <row r="249" spans="1:16" x14ac:dyDescent="0.3">
      <c r="A249" s="2" t="s">
        <v>293</v>
      </c>
      <c r="B249" s="2" t="s">
        <v>11</v>
      </c>
      <c r="C249" s="3">
        <v>22</v>
      </c>
      <c r="D249" t="s">
        <v>32</v>
      </c>
      <c r="E249" s="2" t="s">
        <v>19</v>
      </c>
      <c r="F249" s="2" t="s">
        <v>33</v>
      </c>
      <c r="G249">
        <v>15</v>
      </c>
      <c r="H249" s="4">
        <v>44839</v>
      </c>
      <c r="I249" s="2" t="s">
        <v>26</v>
      </c>
      <c r="J249" s="2" t="s">
        <v>65</v>
      </c>
      <c r="M249" t="str">
        <f t="shared" si="12"/>
        <v>Female</v>
      </c>
      <c r="N249" t="str">
        <f t="shared" si="13"/>
        <v>Jaipur</v>
      </c>
      <c r="O249" t="str">
        <f t="shared" si="14"/>
        <v>Malayalam</v>
      </c>
      <c r="P249" t="str">
        <f t="shared" si="15"/>
        <v>Family</v>
      </c>
    </row>
    <row r="250" spans="1:16" x14ac:dyDescent="0.3">
      <c r="A250" s="2" t="s">
        <v>294</v>
      </c>
      <c r="B250" s="2" t="s">
        <v>24</v>
      </c>
      <c r="C250" s="3">
        <v>52</v>
      </c>
      <c r="D250" t="s">
        <v>46</v>
      </c>
      <c r="E250" s="2" t="s">
        <v>13</v>
      </c>
      <c r="F250" s="2" t="s">
        <v>20</v>
      </c>
      <c r="G250">
        <v>1</v>
      </c>
      <c r="H250" s="4">
        <v>45258</v>
      </c>
      <c r="I250" s="2" t="s">
        <v>34</v>
      </c>
      <c r="J250" s="2" t="s">
        <v>27</v>
      </c>
      <c r="M250" t="str">
        <f t="shared" si="12"/>
        <v>Male</v>
      </c>
      <c r="N250" t="str">
        <f t="shared" si="13"/>
        <v>Chennai</v>
      </c>
      <c r="O250" t="str">
        <f t="shared" si="14"/>
        <v>Marathi</v>
      </c>
      <c r="P250" t="str">
        <f t="shared" si="15"/>
        <v>Standard</v>
      </c>
    </row>
    <row r="251" spans="1:16" x14ac:dyDescent="0.3">
      <c r="A251" s="2" t="s">
        <v>295</v>
      </c>
      <c r="B251" s="2" t="s">
        <v>24</v>
      </c>
      <c r="C251" s="3">
        <v>28</v>
      </c>
      <c r="D251" t="s">
        <v>18</v>
      </c>
      <c r="E251" s="2" t="s">
        <v>13</v>
      </c>
      <c r="F251" s="2" t="s">
        <v>20</v>
      </c>
      <c r="G251">
        <v>13</v>
      </c>
      <c r="H251" s="4">
        <v>44878</v>
      </c>
      <c r="I251" s="2" t="s">
        <v>29</v>
      </c>
      <c r="J251" s="2" t="s">
        <v>65</v>
      </c>
      <c r="M251" t="str">
        <f t="shared" si="12"/>
        <v>Male</v>
      </c>
      <c r="N251" t="str">
        <f t="shared" si="13"/>
        <v>Chennai</v>
      </c>
      <c r="O251" t="str">
        <f t="shared" si="14"/>
        <v>English</v>
      </c>
      <c r="P251" t="str">
        <f t="shared" si="15"/>
        <v>Family</v>
      </c>
    </row>
    <row r="252" spans="1:16" x14ac:dyDescent="0.3">
      <c r="A252" s="2" t="s">
        <v>296</v>
      </c>
      <c r="B252" s="2" t="s">
        <v>31</v>
      </c>
      <c r="C252" s="3">
        <v>44</v>
      </c>
      <c r="D252" t="s">
        <v>12</v>
      </c>
      <c r="E252" s="2" t="s">
        <v>19</v>
      </c>
      <c r="F252" s="2" t="s">
        <v>36</v>
      </c>
      <c r="G252">
        <v>45</v>
      </c>
      <c r="H252" s="4">
        <v>43914</v>
      </c>
      <c r="I252" s="2" t="s">
        <v>62</v>
      </c>
      <c r="J252" s="2" t="s">
        <v>16</v>
      </c>
      <c r="M252" t="str">
        <f t="shared" si="12"/>
        <v>Female</v>
      </c>
      <c r="N252" t="str">
        <f t="shared" si="13"/>
        <v>Ahmedabad</v>
      </c>
      <c r="O252" t="str">
        <f t="shared" si="14"/>
        <v>Gujarati</v>
      </c>
      <c r="P252" t="str">
        <f t="shared" si="15"/>
        <v>Basic</v>
      </c>
    </row>
    <row r="253" spans="1:16" x14ac:dyDescent="0.3">
      <c r="A253" s="2" t="s">
        <v>297</v>
      </c>
      <c r="B253" s="2" t="s">
        <v>11</v>
      </c>
      <c r="C253" s="3">
        <v>32</v>
      </c>
      <c r="D253" t="s">
        <v>18</v>
      </c>
      <c r="E253" s="2" t="s">
        <v>13</v>
      </c>
      <c r="F253" s="2" t="s">
        <v>54</v>
      </c>
      <c r="G253">
        <v>8</v>
      </c>
      <c r="H253" s="4">
        <v>45050</v>
      </c>
      <c r="I253" s="2" t="s">
        <v>49</v>
      </c>
      <c r="J253" s="2" t="s">
        <v>22</v>
      </c>
      <c r="M253" t="str">
        <f t="shared" si="12"/>
        <v>Male</v>
      </c>
      <c r="N253" t="str">
        <f t="shared" si="13"/>
        <v>Bangalore</v>
      </c>
      <c r="O253" t="str">
        <f t="shared" si="14"/>
        <v>Kannada</v>
      </c>
      <c r="P253" t="str">
        <f t="shared" si="15"/>
        <v>Premium</v>
      </c>
    </row>
    <row r="254" spans="1:16" x14ac:dyDescent="0.3">
      <c r="A254" s="2" t="s">
        <v>298</v>
      </c>
      <c r="B254" s="2" t="s">
        <v>24</v>
      </c>
      <c r="C254" s="3">
        <v>36</v>
      </c>
      <c r="D254" t="s">
        <v>12</v>
      </c>
      <c r="E254" s="2" t="s">
        <v>13</v>
      </c>
      <c r="F254" s="2" t="s">
        <v>64</v>
      </c>
      <c r="G254">
        <v>42</v>
      </c>
      <c r="H254" s="4">
        <v>44029</v>
      </c>
      <c r="I254" s="2" t="s">
        <v>62</v>
      </c>
      <c r="J254" s="2" t="s">
        <v>16</v>
      </c>
      <c r="M254" t="str">
        <f t="shared" si="12"/>
        <v>Male</v>
      </c>
      <c r="N254" t="str">
        <f t="shared" si="13"/>
        <v>Pune</v>
      </c>
      <c r="O254" t="str">
        <f t="shared" si="14"/>
        <v>Gujarati</v>
      </c>
      <c r="P254" t="str">
        <f t="shared" si="15"/>
        <v>Basic</v>
      </c>
    </row>
    <row r="255" spans="1:16" x14ac:dyDescent="0.3">
      <c r="A255" s="2" t="s">
        <v>299</v>
      </c>
      <c r="B255" s="2" t="s">
        <v>61</v>
      </c>
      <c r="C255" s="3">
        <v>29</v>
      </c>
      <c r="D255" t="s">
        <v>18</v>
      </c>
      <c r="E255" s="2" t="s">
        <v>13</v>
      </c>
      <c r="F255" s="2" t="s">
        <v>54</v>
      </c>
      <c r="G255">
        <v>35</v>
      </c>
      <c r="H255" s="4">
        <v>44231</v>
      </c>
      <c r="I255" s="2" t="s">
        <v>62</v>
      </c>
      <c r="J255" s="2" t="s">
        <v>22</v>
      </c>
      <c r="M255" t="str">
        <f t="shared" si="12"/>
        <v>Male</v>
      </c>
      <c r="N255" t="str">
        <f t="shared" si="13"/>
        <v>Bangalore</v>
      </c>
      <c r="O255" t="str">
        <f t="shared" si="14"/>
        <v>Gujarati</v>
      </c>
      <c r="P255" t="str">
        <f t="shared" si="15"/>
        <v>Premium</v>
      </c>
    </row>
    <row r="256" spans="1:16" x14ac:dyDescent="0.3">
      <c r="A256" s="2" t="s">
        <v>300</v>
      </c>
      <c r="B256" s="2" t="s">
        <v>42</v>
      </c>
      <c r="C256" s="3">
        <v>31</v>
      </c>
      <c r="D256" t="s">
        <v>18</v>
      </c>
      <c r="E256" s="2" t="s">
        <v>13</v>
      </c>
      <c r="F256" s="2" t="s">
        <v>25</v>
      </c>
      <c r="G256">
        <v>36</v>
      </c>
      <c r="H256" s="4">
        <v>44192</v>
      </c>
      <c r="I256" s="2" t="s">
        <v>29</v>
      </c>
      <c r="J256" s="2" t="s">
        <v>16</v>
      </c>
      <c r="M256" t="str">
        <f t="shared" si="12"/>
        <v>Male</v>
      </c>
      <c r="N256" t="str">
        <f t="shared" si="13"/>
        <v>Mumbai</v>
      </c>
      <c r="O256" t="str">
        <f t="shared" si="14"/>
        <v>English</v>
      </c>
      <c r="P256" t="str">
        <f t="shared" si="15"/>
        <v>Basic</v>
      </c>
    </row>
    <row r="257" spans="1:16" x14ac:dyDescent="0.3">
      <c r="A257" s="2" t="s">
        <v>301</v>
      </c>
      <c r="B257" s="2" t="s">
        <v>31</v>
      </c>
      <c r="C257" s="3">
        <v>39</v>
      </c>
      <c r="D257" t="s">
        <v>12</v>
      </c>
      <c r="E257" s="2" t="s">
        <v>19</v>
      </c>
      <c r="F257" s="2" t="s">
        <v>56</v>
      </c>
      <c r="G257">
        <v>56</v>
      </c>
      <c r="H257" s="4">
        <v>43595</v>
      </c>
      <c r="I257" s="2" t="s">
        <v>26</v>
      </c>
      <c r="J257" s="2" t="s">
        <v>16</v>
      </c>
      <c r="M257" t="str">
        <f t="shared" si="12"/>
        <v>Female</v>
      </c>
      <c r="N257" t="str">
        <f t="shared" si="13"/>
        <v>Hyderabad</v>
      </c>
      <c r="O257" t="str">
        <f t="shared" si="14"/>
        <v>Malayalam</v>
      </c>
      <c r="P257" t="str">
        <f t="shared" si="15"/>
        <v>Basic</v>
      </c>
    </row>
    <row r="258" spans="1:16" x14ac:dyDescent="0.3">
      <c r="A258" s="2" t="s">
        <v>302</v>
      </c>
      <c r="B258" s="2" t="s">
        <v>11</v>
      </c>
      <c r="C258" s="3">
        <v>35</v>
      </c>
      <c r="D258" t="s">
        <v>12</v>
      </c>
      <c r="E258" s="2" t="s">
        <v>13</v>
      </c>
      <c r="F258" s="2" t="s">
        <v>64</v>
      </c>
      <c r="G258">
        <v>27</v>
      </c>
      <c r="H258" s="4">
        <v>44469</v>
      </c>
      <c r="I258" s="2" t="s">
        <v>49</v>
      </c>
      <c r="J258" s="2" t="s">
        <v>65</v>
      </c>
      <c r="M258" t="str">
        <f t="shared" si="12"/>
        <v>Male</v>
      </c>
      <c r="N258" t="str">
        <f t="shared" si="13"/>
        <v>Pune</v>
      </c>
      <c r="O258" t="str">
        <f t="shared" si="14"/>
        <v>Kannada</v>
      </c>
      <c r="P258" t="str">
        <f t="shared" si="15"/>
        <v>Family</v>
      </c>
    </row>
    <row r="259" spans="1:16" x14ac:dyDescent="0.3">
      <c r="A259" s="2" t="s">
        <v>303</v>
      </c>
      <c r="B259" s="2" t="s">
        <v>31</v>
      </c>
      <c r="C259" s="3">
        <v>22</v>
      </c>
      <c r="D259" t="s">
        <v>32</v>
      </c>
      <c r="E259" s="2" t="s">
        <v>19</v>
      </c>
      <c r="F259" s="2" t="s">
        <v>56</v>
      </c>
      <c r="G259">
        <v>52</v>
      </c>
      <c r="H259" s="4">
        <v>43716</v>
      </c>
      <c r="I259" s="2" t="s">
        <v>62</v>
      </c>
      <c r="J259" s="2" t="s">
        <v>22</v>
      </c>
      <c r="M259" t="str">
        <f t="shared" ref="M259:M322" si="16">TRIM(E259)</f>
        <v>Female</v>
      </c>
      <c r="N259" t="str">
        <f t="shared" ref="N259:N322" si="17">TRIM(F259)</f>
        <v>Hyderabad</v>
      </c>
      <c r="O259" t="str">
        <f t="shared" ref="O259:O322" si="18">TRIM(I259)</f>
        <v>Gujarati</v>
      </c>
      <c r="P259" t="str">
        <f t="shared" ref="P259:P322" si="19">TRIM(J259)</f>
        <v>Premium</v>
      </c>
    </row>
    <row r="260" spans="1:16" x14ac:dyDescent="0.3">
      <c r="A260" s="2" t="s">
        <v>304</v>
      </c>
      <c r="B260" s="2" t="s">
        <v>24</v>
      </c>
      <c r="C260" s="3">
        <v>44</v>
      </c>
      <c r="D260" t="s">
        <v>12</v>
      </c>
      <c r="E260" s="2" t="s">
        <v>13</v>
      </c>
      <c r="F260" s="2" t="s">
        <v>33</v>
      </c>
      <c r="G260">
        <v>19</v>
      </c>
      <c r="H260" s="4">
        <v>44721</v>
      </c>
      <c r="I260" s="2" t="s">
        <v>39</v>
      </c>
      <c r="J260" s="2" t="s">
        <v>16</v>
      </c>
      <c r="M260" t="str">
        <f t="shared" si="16"/>
        <v>Male</v>
      </c>
      <c r="N260" t="str">
        <f t="shared" si="17"/>
        <v>Jaipur</v>
      </c>
      <c r="O260" t="str">
        <f t="shared" si="18"/>
        <v>Tamil</v>
      </c>
      <c r="P260" t="str">
        <f t="shared" si="19"/>
        <v>Basic</v>
      </c>
    </row>
    <row r="261" spans="1:16" x14ac:dyDescent="0.3">
      <c r="A261" s="2" t="s">
        <v>305</v>
      </c>
      <c r="B261" s="2" t="s">
        <v>42</v>
      </c>
      <c r="C261" s="3">
        <v>34</v>
      </c>
      <c r="D261" t="s">
        <v>18</v>
      </c>
      <c r="E261" s="2" t="s">
        <v>13</v>
      </c>
      <c r="F261" s="2" t="s">
        <v>88</v>
      </c>
      <c r="G261">
        <v>38</v>
      </c>
      <c r="H261" s="4">
        <v>44136</v>
      </c>
      <c r="I261" s="2" t="s">
        <v>34</v>
      </c>
      <c r="J261" s="2" t="s">
        <v>16</v>
      </c>
      <c r="M261" t="str">
        <f t="shared" si="16"/>
        <v>Male</v>
      </c>
      <c r="N261" t="str">
        <f t="shared" si="17"/>
        <v>Lucknow</v>
      </c>
      <c r="O261" t="str">
        <f t="shared" si="18"/>
        <v>Marathi</v>
      </c>
      <c r="P261" t="str">
        <f t="shared" si="19"/>
        <v>Basic</v>
      </c>
    </row>
    <row r="262" spans="1:16" x14ac:dyDescent="0.3">
      <c r="A262" s="2" t="s">
        <v>306</v>
      </c>
      <c r="B262" s="2" t="s">
        <v>31</v>
      </c>
      <c r="C262" s="3">
        <v>35</v>
      </c>
      <c r="D262" t="s">
        <v>12</v>
      </c>
      <c r="E262" s="2" t="s">
        <v>13</v>
      </c>
      <c r="F262" s="2" t="s">
        <v>56</v>
      </c>
      <c r="G262">
        <v>23</v>
      </c>
      <c r="H262" s="4">
        <v>44584</v>
      </c>
      <c r="I262" s="2" t="s">
        <v>34</v>
      </c>
      <c r="J262" s="2" t="s">
        <v>16</v>
      </c>
      <c r="M262" t="str">
        <f t="shared" si="16"/>
        <v>Male</v>
      </c>
      <c r="N262" t="str">
        <f t="shared" si="17"/>
        <v>Hyderabad</v>
      </c>
      <c r="O262" t="str">
        <f t="shared" si="18"/>
        <v>Marathi</v>
      </c>
      <c r="P262" t="str">
        <f t="shared" si="19"/>
        <v>Basic</v>
      </c>
    </row>
    <row r="263" spans="1:16" x14ac:dyDescent="0.3">
      <c r="A263" s="2" t="s">
        <v>307</v>
      </c>
      <c r="B263" s="2" t="s">
        <v>11</v>
      </c>
      <c r="C263" s="3">
        <v>32</v>
      </c>
      <c r="D263" t="s">
        <v>18</v>
      </c>
      <c r="E263" s="2" t="s">
        <v>19</v>
      </c>
      <c r="F263" s="2" t="s">
        <v>20</v>
      </c>
      <c r="G263">
        <v>3</v>
      </c>
      <c r="H263" s="4">
        <v>45181</v>
      </c>
      <c r="I263" s="2" t="s">
        <v>34</v>
      </c>
      <c r="J263" s="2" t="s">
        <v>27</v>
      </c>
      <c r="M263" t="str">
        <f t="shared" si="16"/>
        <v>Female</v>
      </c>
      <c r="N263" t="str">
        <f t="shared" si="17"/>
        <v>Chennai</v>
      </c>
      <c r="O263" t="str">
        <f t="shared" si="18"/>
        <v>Marathi</v>
      </c>
      <c r="P263" t="str">
        <f t="shared" si="19"/>
        <v>Standard</v>
      </c>
    </row>
    <row r="264" spans="1:16" x14ac:dyDescent="0.3">
      <c r="A264" s="2" t="s">
        <v>308</v>
      </c>
      <c r="B264" s="2" t="s">
        <v>24</v>
      </c>
      <c r="C264" s="3">
        <v>30</v>
      </c>
      <c r="D264" t="s">
        <v>18</v>
      </c>
      <c r="E264" s="2" t="s">
        <v>13</v>
      </c>
      <c r="F264" s="2" t="s">
        <v>20</v>
      </c>
      <c r="G264">
        <v>22</v>
      </c>
      <c r="H264" s="4">
        <v>44606</v>
      </c>
      <c r="I264" s="2" t="s">
        <v>62</v>
      </c>
      <c r="J264" s="2" t="s">
        <v>16</v>
      </c>
      <c r="M264" t="str">
        <f t="shared" si="16"/>
        <v>Male</v>
      </c>
      <c r="N264" t="str">
        <f t="shared" si="17"/>
        <v>Chennai</v>
      </c>
      <c r="O264" t="str">
        <f t="shared" si="18"/>
        <v>Gujarati</v>
      </c>
      <c r="P264" t="str">
        <f t="shared" si="19"/>
        <v>Basic</v>
      </c>
    </row>
    <row r="265" spans="1:16" x14ac:dyDescent="0.3">
      <c r="A265" s="2" t="s">
        <v>309</v>
      </c>
      <c r="B265" s="2" t="s">
        <v>24</v>
      </c>
      <c r="C265" s="3">
        <v>27</v>
      </c>
      <c r="D265" t="s">
        <v>18</v>
      </c>
      <c r="E265" s="2" t="s">
        <v>13</v>
      </c>
      <c r="F265" s="2" t="s">
        <v>33</v>
      </c>
      <c r="G265">
        <v>57</v>
      </c>
      <c r="H265" s="4">
        <v>43565</v>
      </c>
      <c r="I265" s="2" t="s">
        <v>49</v>
      </c>
      <c r="J265" s="2" t="s">
        <v>27</v>
      </c>
      <c r="M265" t="str">
        <f t="shared" si="16"/>
        <v>Male</v>
      </c>
      <c r="N265" t="str">
        <f t="shared" si="17"/>
        <v>Jaipur</v>
      </c>
      <c r="O265" t="str">
        <f t="shared" si="18"/>
        <v>Kannada</v>
      </c>
      <c r="P265" t="str">
        <f t="shared" si="19"/>
        <v>Standard</v>
      </c>
    </row>
    <row r="266" spans="1:16" x14ac:dyDescent="0.3">
      <c r="A266" s="2" t="s">
        <v>310</v>
      </c>
      <c r="B266" s="2" t="s">
        <v>31</v>
      </c>
      <c r="C266" s="3">
        <v>36</v>
      </c>
      <c r="D266" t="s">
        <v>12</v>
      </c>
      <c r="E266" s="2" t="s">
        <v>19</v>
      </c>
      <c r="F266" s="2" t="s">
        <v>14</v>
      </c>
      <c r="G266">
        <v>28</v>
      </c>
      <c r="H266" s="4">
        <v>44428</v>
      </c>
      <c r="I266" s="2" t="s">
        <v>49</v>
      </c>
      <c r="J266" s="2" t="s">
        <v>27</v>
      </c>
      <c r="M266" t="str">
        <f t="shared" si="16"/>
        <v>Female</v>
      </c>
      <c r="N266" t="str">
        <f t="shared" si="17"/>
        <v>Kolkata</v>
      </c>
      <c r="O266" t="str">
        <f t="shared" si="18"/>
        <v>Kannada</v>
      </c>
      <c r="P266" t="str">
        <f t="shared" si="19"/>
        <v>Standard</v>
      </c>
    </row>
    <row r="267" spans="1:16" x14ac:dyDescent="0.3">
      <c r="A267" s="2" t="s">
        <v>311</v>
      </c>
      <c r="B267" s="2" t="s">
        <v>24</v>
      </c>
      <c r="C267" s="3">
        <v>22</v>
      </c>
      <c r="D267" t="s">
        <v>32</v>
      </c>
      <c r="E267" s="2" t="s">
        <v>19</v>
      </c>
      <c r="F267" s="2" t="s">
        <v>14</v>
      </c>
      <c r="G267">
        <v>54</v>
      </c>
      <c r="H267" s="4">
        <v>43651</v>
      </c>
      <c r="I267" s="2" t="s">
        <v>21</v>
      </c>
      <c r="J267" s="2" t="s">
        <v>27</v>
      </c>
      <c r="M267" t="str">
        <f t="shared" si="16"/>
        <v>Female</v>
      </c>
      <c r="N267" t="str">
        <f t="shared" si="17"/>
        <v>Kolkata</v>
      </c>
      <c r="O267" t="str">
        <f t="shared" si="18"/>
        <v>Bengali</v>
      </c>
      <c r="P267" t="str">
        <f t="shared" si="19"/>
        <v>Standard</v>
      </c>
    </row>
    <row r="268" spans="1:16" x14ac:dyDescent="0.3">
      <c r="A268" s="2" t="s">
        <v>312</v>
      </c>
      <c r="B268" s="2" t="s">
        <v>42</v>
      </c>
      <c r="C268" s="3">
        <v>22</v>
      </c>
      <c r="D268" t="s">
        <v>32</v>
      </c>
      <c r="E268" s="2" t="s">
        <v>19</v>
      </c>
      <c r="F268" s="2" t="s">
        <v>54</v>
      </c>
      <c r="G268">
        <v>21</v>
      </c>
      <c r="H268" s="4">
        <v>44652</v>
      </c>
      <c r="I268" s="2" t="s">
        <v>34</v>
      </c>
      <c r="J268" s="2" t="s">
        <v>65</v>
      </c>
      <c r="M268" t="str">
        <f t="shared" si="16"/>
        <v>Female</v>
      </c>
      <c r="N268" t="str">
        <f t="shared" si="17"/>
        <v>Bangalore</v>
      </c>
      <c r="O268" t="str">
        <f t="shared" si="18"/>
        <v>Marathi</v>
      </c>
      <c r="P268" t="str">
        <f t="shared" si="19"/>
        <v>Family</v>
      </c>
    </row>
    <row r="269" spans="1:16" x14ac:dyDescent="0.3">
      <c r="A269" s="2" t="s">
        <v>313</v>
      </c>
      <c r="B269" s="2" t="s">
        <v>61</v>
      </c>
      <c r="C269" s="3">
        <v>37</v>
      </c>
      <c r="D269" t="s">
        <v>12</v>
      </c>
      <c r="E269" s="2" t="s">
        <v>13</v>
      </c>
      <c r="F269" s="2" t="s">
        <v>64</v>
      </c>
      <c r="G269">
        <v>45</v>
      </c>
      <c r="H269" s="4">
        <v>43940</v>
      </c>
      <c r="I269" s="2" t="s">
        <v>62</v>
      </c>
      <c r="J269" s="2" t="s">
        <v>16</v>
      </c>
      <c r="M269" t="str">
        <f t="shared" si="16"/>
        <v>Male</v>
      </c>
      <c r="N269" t="str">
        <f t="shared" si="17"/>
        <v>Pune</v>
      </c>
      <c r="O269" t="str">
        <f t="shared" si="18"/>
        <v>Gujarati</v>
      </c>
      <c r="P269" t="str">
        <f t="shared" si="19"/>
        <v>Basic</v>
      </c>
    </row>
    <row r="270" spans="1:16" x14ac:dyDescent="0.3">
      <c r="A270" s="2" t="s">
        <v>314</v>
      </c>
      <c r="B270" s="2" t="s">
        <v>61</v>
      </c>
      <c r="C270" s="3">
        <v>34</v>
      </c>
      <c r="D270" t="s">
        <v>18</v>
      </c>
      <c r="E270" s="2" t="s">
        <v>13</v>
      </c>
      <c r="F270" s="2" t="s">
        <v>33</v>
      </c>
      <c r="G270">
        <v>5</v>
      </c>
      <c r="H270" s="4">
        <v>45113</v>
      </c>
      <c r="I270" s="2" t="s">
        <v>21</v>
      </c>
      <c r="J270" s="2" t="s">
        <v>22</v>
      </c>
      <c r="M270" t="str">
        <f t="shared" si="16"/>
        <v>Male</v>
      </c>
      <c r="N270" t="str">
        <f t="shared" si="17"/>
        <v>Jaipur</v>
      </c>
      <c r="O270" t="str">
        <f t="shared" si="18"/>
        <v>Bengali</v>
      </c>
      <c r="P270" t="str">
        <f t="shared" si="19"/>
        <v>Premium</v>
      </c>
    </row>
    <row r="271" spans="1:16" x14ac:dyDescent="0.3">
      <c r="A271" s="2" t="s">
        <v>315</v>
      </c>
      <c r="B271" s="2" t="s">
        <v>24</v>
      </c>
      <c r="C271" s="3">
        <v>37</v>
      </c>
      <c r="D271" t="s">
        <v>12</v>
      </c>
      <c r="E271" s="2" t="s">
        <v>13</v>
      </c>
      <c r="F271" s="2" t="s">
        <v>88</v>
      </c>
      <c r="G271">
        <v>46</v>
      </c>
      <c r="H271" s="4">
        <v>43912</v>
      </c>
      <c r="I271" s="2" t="s">
        <v>21</v>
      </c>
      <c r="J271" s="2" t="s">
        <v>22</v>
      </c>
      <c r="M271" t="str">
        <f t="shared" si="16"/>
        <v>Male</v>
      </c>
      <c r="N271" t="str">
        <f t="shared" si="17"/>
        <v>Lucknow</v>
      </c>
      <c r="O271" t="str">
        <f t="shared" si="18"/>
        <v>Bengali</v>
      </c>
      <c r="P271" t="str">
        <f t="shared" si="19"/>
        <v>Premium</v>
      </c>
    </row>
    <row r="272" spans="1:16" x14ac:dyDescent="0.3">
      <c r="A272" s="2" t="s">
        <v>316</v>
      </c>
      <c r="B272" s="2" t="s">
        <v>24</v>
      </c>
      <c r="C272" s="3">
        <v>18</v>
      </c>
      <c r="D272" t="s">
        <v>32</v>
      </c>
      <c r="E272" s="2" t="s">
        <v>19</v>
      </c>
      <c r="F272" s="2" t="s">
        <v>54</v>
      </c>
      <c r="G272">
        <v>47</v>
      </c>
      <c r="H272" s="4">
        <v>43871</v>
      </c>
      <c r="I272" s="2" t="s">
        <v>34</v>
      </c>
      <c r="J272" s="2" t="s">
        <v>22</v>
      </c>
      <c r="M272" t="str">
        <f t="shared" si="16"/>
        <v>Female</v>
      </c>
      <c r="N272" t="str">
        <f t="shared" si="17"/>
        <v>Bangalore</v>
      </c>
      <c r="O272" t="str">
        <f t="shared" si="18"/>
        <v>Marathi</v>
      </c>
      <c r="P272" t="str">
        <f t="shared" si="19"/>
        <v>Premium</v>
      </c>
    </row>
    <row r="273" spans="1:16" x14ac:dyDescent="0.3">
      <c r="A273" s="2" t="s">
        <v>317</v>
      </c>
      <c r="B273" s="2" t="s">
        <v>61</v>
      </c>
      <c r="C273" s="3">
        <v>33</v>
      </c>
      <c r="D273" t="s">
        <v>18</v>
      </c>
      <c r="E273" s="2" t="s">
        <v>13</v>
      </c>
      <c r="F273" s="2" t="s">
        <v>38</v>
      </c>
      <c r="G273">
        <v>50</v>
      </c>
      <c r="H273" s="4">
        <v>43773</v>
      </c>
      <c r="I273" s="2" t="s">
        <v>29</v>
      </c>
      <c r="J273" s="2" t="s">
        <v>22</v>
      </c>
      <c r="M273" t="str">
        <f t="shared" si="16"/>
        <v>Male</v>
      </c>
      <c r="N273" t="str">
        <f t="shared" si="17"/>
        <v>Delhi</v>
      </c>
      <c r="O273" t="str">
        <f t="shared" si="18"/>
        <v>English</v>
      </c>
      <c r="P273" t="str">
        <f t="shared" si="19"/>
        <v>Premium</v>
      </c>
    </row>
    <row r="274" spans="1:16" x14ac:dyDescent="0.3">
      <c r="A274" s="2" t="s">
        <v>318</v>
      </c>
      <c r="B274" s="2" t="s">
        <v>61</v>
      </c>
      <c r="C274" s="3">
        <v>36</v>
      </c>
      <c r="D274" t="s">
        <v>12</v>
      </c>
      <c r="E274" s="2" t="s">
        <v>13</v>
      </c>
      <c r="F274" s="2" t="s">
        <v>54</v>
      </c>
      <c r="G274">
        <v>25</v>
      </c>
      <c r="H274" s="4">
        <v>44513</v>
      </c>
      <c r="I274" s="2" t="s">
        <v>49</v>
      </c>
      <c r="J274" s="2" t="s">
        <v>16</v>
      </c>
      <c r="M274" t="str">
        <f t="shared" si="16"/>
        <v>Male</v>
      </c>
      <c r="N274" t="str">
        <f t="shared" si="17"/>
        <v>Bangalore</v>
      </c>
      <c r="O274" t="str">
        <f t="shared" si="18"/>
        <v>Kannada</v>
      </c>
      <c r="P274" t="str">
        <f t="shared" si="19"/>
        <v>Basic</v>
      </c>
    </row>
    <row r="275" spans="1:16" x14ac:dyDescent="0.3">
      <c r="A275" s="2" t="s">
        <v>319</v>
      </c>
      <c r="B275" s="2" t="s">
        <v>61</v>
      </c>
      <c r="C275" s="3">
        <v>26</v>
      </c>
      <c r="D275" t="s">
        <v>18</v>
      </c>
      <c r="E275" s="2" t="s">
        <v>105</v>
      </c>
      <c r="F275" s="2" t="s">
        <v>54</v>
      </c>
      <c r="G275">
        <v>52</v>
      </c>
      <c r="H275" s="4">
        <v>43712</v>
      </c>
      <c r="I275" s="2" t="s">
        <v>62</v>
      </c>
      <c r="J275" s="2" t="s">
        <v>16</v>
      </c>
      <c r="M275" t="str">
        <f t="shared" si="16"/>
        <v>Non-Binary</v>
      </c>
      <c r="N275" t="str">
        <f t="shared" si="17"/>
        <v>Bangalore</v>
      </c>
      <c r="O275" t="str">
        <f t="shared" si="18"/>
        <v>Gujarati</v>
      </c>
      <c r="P275" t="str">
        <f t="shared" si="19"/>
        <v>Basic</v>
      </c>
    </row>
    <row r="276" spans="1:16" x14ac:dyDescent="0.3">
      <c r="A276" s="2" t="s">
        <v>320</v>
      </c>
      <c r="B276" s="2" t="s">
        <v>31</v>
      </c>
      <c r="C276" s="3">
        <v>19</v>
      </c>
      <c r="D276" t="s">
        <v>32</v>
      </c>
      <c r="E276" s="2" t="s">
        <v>13</v>
      </c>
      <c r="F276" s="2" t="s">
        <v>20</v>
      </c>
      <c r="G276">
        <v>3</v>
      </c>
      <c r="H276" s="4">
        <v>45175</v>
      </c>
      <c r="I276" s="2" t="s">
        <v>15</v>
      </c>
      <c r="J276" s="2" t="s">
        <v>27</v>
      </c>
      <c r="M276" t="str">
        <f t="shared" si="16"/>
        <v>Male</v>
      </c>
      <c r="N276" t="str">
        <f t="shared" si="17"/>
        <v>Chennai</v>
      </c>
      <c r="O276" t="str">
        <f t="shared" si="18"/>
        <v>Telugu</v>
      </c>
      <c r="P276" t="str">
        <f t="shared" si="19"/>
        <v>Standard</v>
      </c>
    </row>
    <row r="277" spans="1:16" x14ac:dyDescent="0.3">
      <c r="A277" s="2" t="s">
        <v>321</v>
      </c>
      <c r="B277" s="2" t="s">
        <v>31</v>
      </c>
      <c r="C277" s="3">
        <v>38</v>
      </c>
      <c r="D277" t="s">
        <v>12</v>
      </c>
      <c r="E277" s="2" t="s">
        <v>19</v>
      </c>
      <c r="F277" s="2" t="s">
        <v>88</v>
      </c>
      <c r="G277">
        <v>38</v>
      </c>
      <c r="H277" s="4">
        <v>44148</v>
      </c>
      <c r="I277" s="2" t="s">
        <v>39</v>
      </c>
      <c r="J277" s="2" t="s">
        <v>27</v>
      </c>
      <c r="M277" t="str">
        <f t="shared" si="16"/>
        <v>Female</v>
      </c>
      <c r="N277" t="str">
        <f t="shared" si="17"/>
        <v>Lucknow</v>
      </c>
      <c r="O277" t="str">
        <f t="shared" si="18"/>
        <v>Tamil</v>
      </c>
      <c r="P277" t="str">
        <f t="shared" si="19"/>
        <v>Standard</v>
      </c>
    </row>
    <row r="278" spans="1:16" x14ac:dyDescent="0.3">
      <c r="A278" s="2" t="s">
        <v>322</v>
      </c>
      <c r="B278" s="2" t="s">
        <v>24</v>
      </c>
      <c r="C278" s="3">
        <v>18</v>
      </c>
      <c r="D278" t="s">
        <v>32</v>
      </c>
      <c r="E278" s="2" t="s">
        <v>13</v>
      </c>
      <c r="F278" s="2" t="s">
        <v>88</v>
      </c>
      <c r="G278">
        <v>1</v>
      </c>
      <c r="H278" s="4">
        <v>45249</v>
      </c>
      <c r="I278" s="2" t="s">
        <v>62</v>
      </c>
      <c r="J278" s="2" t="s">
        <v>22</v>
      </c>
      <c r="M278" t="str">
        <f t="shared" si="16"/>
        <v>Male</v>
      </c>
      <c r="N278" t="str">
        <f t="shared" si="17"/>
        <v>Lucknow</v>
      </c>
      <c r="O278" t="str">
        <f t="shared" si="18"/>
        <v>Gujarati</v>
      </c>
      <c r="P278" t="str">
        <f t="shared" si="19"/>
        <v>Premium</v>
      </c>
    </row>
    <row r="279" spans="1:16" x14ac:dyDescent="0.3">
      <c r="A279" s="2" t="s">
        <v>323</v>
      </c>
      <c r="B279" s="2" t="s">
        <v>31</v>
      </c>
      <c r="C279" s="3">
        <v>22</v>
      </c>
      <c r="D279" t="s">
        <v>32</v>
      </c>
      <c r="E279" s="2" t="s">
        <v>19</v>
      </c>
      <c r="F279" s="2" t="s">
        <v>38</v>
      </c>
      <c r="G279">
        <v>33</v>
      </c>
      <c r="H279" s="4">
        <v>44276</v>
      </c>
      <c r="I279" s="2" t="s">
        <v>26</v>
      </c>
      <c r="J279" s="2" t="s">
        <v>27</v>
      </c>
      <c r="M279" t="str">
        <f t="shared" si="16"/>
        <v>Female</v>
      </c>
      <c r="N279" t="str">
        <f t="shared" si="17"/>
        <v>Delhi</v>
      </c>
      <c r="O279" t="str">
        <f t="shared" si="18"/>
        <v>Malayalam</v>
      </c>
      <c r="P279" t="str">
        <f t="shared" si="19"/>
        <v>Standard</v>
      </c>
    </row>
    <row r="280" spans="1:16" x14ac:dyDescent="0.3">
      <c r="A280" s="2" t="s">
        <v>324</v>
      </c>
      <c r="B280" s="2" t="s">
        <v>31</v>
      </c>
      <c r="C280" s="3">
        <v>19</v>
      </c>
      <c r="D280" t="s">
        <v>32</v>
      </c>
      <c r="E280" s="2" t="s">
        <v>13</v>
      </c>
      <c r="F280" s="2" t="s">
        <v>54</v>
      </c>
      <c r="G280">
        <v>36</v>
      </c>
      <c r="H280" s="4">
        <v>44204</v>
      </c>
      <c r="I280" s="2" t="s">
        <v>49</v>
      </c>
      <c r="J280" s="2" t="s">
        <v>27</v>
      </c>
      <c r="M280" t="str">
        <f t="shared" si="16"/>
        <v>Male</v>
      </c>
      <c r="N280" t="str">
        <f t="shared" si="17"/>
        <v>Bangalore</v>
      </c>
      <c r="O280" t="str">
        <f t="shared" si="18"/>
        <v>Kannada</v>
      </c>
      <c r="P280" t="str">
        <f t="shared" si="19"/>
        <v>Standard</v>
      </c>
    </row>
    <row r="281" spans="1:16" x14ac:dyDescent="0.3">
      <c r="A281" s="2" t="s">
        <v>325</v>
      </c>
      <c r="B281" s="2" t="s">
        <v>24</v>
      </c>
      <c r="C281" s="3">
        <v>31</v>
      </c>
      <c r="D281" t="s">
        <v>18</v>
      </c>
      <c r="E281" s="2" t="s">
        <v>13</v>
      </c>
      <c r="F281" s="2" t="s">
        <v>64</v>
      </c>
      <c r="G281">
        <v>42</v>
      </c>
      <c r="H281" s="4">
        <v>44032</v>
      </c>
      <c r="I281" s="2" t="s">
        <v>39</v>
      </c>
      <c r="J281" s="2" t="s">
        <v>22</v>
      </c>
      <c r="M281" t="str">
        <f t="shared" si="16"/>
        <v>Male</v>
      </c>
      <c r="N281" t="str">
        <f t="shared" si="17"/>
        <v>Pune</v>
      </c>
      <c r="O281" t="str">
        <f t="shared" si="18"/>
        <v>Tamil</v>
      </c>
      <c r="P281" t="str">
        <f t="shared" si="19"/>
        <v>Premium</v>
      </c>
    </row>
    <row r="282" spans="1:16" x14ac:dyDescent="0.3">
      <c r="A282" s="2" t="s">
        <v>326</v>
      </c>
      <c r="B282" s="2" t="s">
        <v>24</v>
      </c>
      <c r="C282" s="3">
        <v>21</v>
      </c>
      <c r="D282" t="s">
        <v>32</v>
      </c>
      <c r="E282" s="2" t="s">
        <v>13</v>
      </c>
      <c r="F282" s="2" t="s">
        <v>25</v>
      </c>
      <c r="G282">
        <v>14</v>
      </c>
      <c r="H282" s="4">
        <v>44848</v>
      </c>
      <c r="I282" s="2" t="s">
        <v>62</v>
      </c>
      <c r="J282" s="2" t="s">
        <v>22</v>
      </c>
      <c r="M282" t="str">
        <f t="shared" si="16"/>
        <v>Male</v>
      </c>
      <c r="N282" t="str">
        <f t="shared" si="17"/>
        <v>Mumbai</v>
      </c>
      <c r="O282" t="str">
        <f t="shared" si="18"/>
        <v>Gujarati</v>
      </c>
      <c r="P282" t="str">
        <f t="shared" si="19"/>
        <v>Premium</v>
      </c>
    </row>
    <row r="283" spans="1:16" x14ac:dyDescent="0.3">
      <c r="A283" s="2" t="s">
        <v>327</v>
      </c>
      <c r="B283" s="2" t="s">
        <v>42</v>
      </c>
      <c r="C283" s="3">
        <v>28</v>
      </c>
      <c r="D283" t="s">
        <v>18</v>
      </c>
      <c r="E283" s="2" t="s">
        <v>13</v>
      </c>
      <c r="F283" s="2" t="s">
        <v>54</v>
      </c>
      <c r="G283">
        <v>42</v>
      </c>
      <c r="H283" s="4">
        <v>44027</v>
      </c>
      <c r="I283" s="2" t="s">
        <v>62</v>
      </c>
      <c r="J283" s="2" t="s">
        <v>22</v>
      </c>
      <c r="M283" t="str">
        <f t="shared" si="16"/>
        <v>Male</v>
      </c>
      <c r="N283" t="str">
        <f t="shared" si="17"/>
        <v>Bangalore</v>
      </c>
      <c r="O283" t="str">
        <f t="shared" si="18"/>
        <v>Gujarati</v>
      </c>
      <c r="P283" t="str">
        <f t="shared" si="19"/>
        <v>Premium</v>
      </c>
    </row>
    <row r="284" spans="1:16" x14ac:dyDescent="0.3">
      <c r="A284" s="2" t="s">
        <v>328</v>
      </c>
      <c r="B284" s="2" t="s">
        <v>24</v>
      </c>
      <c r="C284" s="3">
        <v>38</v>
      </c>
      <c r="D284" t="s">
        <v>12</v>
      </c>
      <c r="E284" s="2" t="s">
        <v>19</v>
      </c>
      <c r="F284" s="2" t="s">
        <v>56</v>
      </c>
      <c r="G284">
        <v>41</v>
      </c>
      <c r="H284" s="4">
        <v>44056</v>
      </c>
      <c r="I284" s="2" t="s">
        <v>29</v>
      </c>
      <c r="J284" s="2" t="s">
        <v>27</v>
      </c>
      <c r="M284" t="str">
        <f t="shared" si="16"/>
        <v>Female</v>
      </c>
      <c r="N284" t="str">
        <f t="shared" si="17"/>
        <v>Hyderabad</v>
      </c>
      <c r="O284" t="str">
        <f t="shared" si="18"/>
        <v>English</v>
      </c>
      <c r="P284" t="str">
        <f t="shared" si="19"/>
        <v>Standard</v>
      </c>
    </row>
    <row r="285" spans="1:16" x14ac:dyDescent="0.3">
      <c r="A285" s="2" t="s">
        <v>329</v>
      </c>
      <c r="B285" s="2" t="s">
        <v>42</v>
      </c>
      <c r="C285" s="3">
        <v>20</v>
      </c>
      <c r="D285" t="s">
        <v>32</v>
      </c>
      <c r="E285" s="2" t="s">
        <v>19</v>
      </c>
      <c r="F285" s="2" t="s">
        <v>38</v>
      </c>
      <c r="G285">
        <v>36</v>
      </c>
      <c r="H285" s="4">
        <v>44198</v>
      </c>
      <c r="I285" s="2" t="s">
        <v>47</v>
      </c>
      <c r="J285" s="2" t="s">
        <v>27</v>
      </c>
      <c r="M285" t="str">
        <f t="shared" si="16"/>
        <v>Female</v>
      </c>
      <c r="N285" t="str">
        <f t="shared" si="17"/>
        <v>Delhi</v>
      </c>
      <c r="O285" t="str">
        <f t="shared" si="18"/>
        <v>Hindi</v>
      </c>
      <c r="P285" t="str">
        <f t="shared" si="19"/>
        <v>Standard</v>
      </c>
    </row>
    <row r="286" spans="1:16" x14ac:dyDescent="0.3">
      <c r="A286" s="2" t="s">
        <v>330</v>
      </c>
      <c r="B286" s="2" t="s">
        <v>24</v>
      </c>
      <c r="C286" s="3">
        <v>38</v>
      </c>
      <c r="D286" t="s">
        <v>12</v>
      </c>
      <c r="E286" s="2" t="s">
        <v>13</v>
      </c>
      <c r="F286" s="2" t="s">
        <v>64</v>
      </c>
      <c r="G286">
        <v>52</v>
      </c>
      <c r="H286" s="4">
        <v>43716</v>
      </c>
      <c r="I286" s="2" t="s">
        <v>15</v>
      </c>
      <c r="J286" s="2" t="s">
        <v>27</v>
      </c>
      <c r="M286" t="str">
        <f t="shared" si="16"/>
        <v>Male</v>
      </c>
      <c r="N286" t="str">
        <f t="shared" si="17"/>
        <v>Pune</v>
      </c>
      <c r="O286" t="str">
        <f t="shared" si="18"/>
        <v>Telugu</v>
      </c>
      <c r="P286" t="str">
        <f t="shared" si="19"/>
        <v>Standard</v>
      </c>
    </row>
    <row r="287" spans="1:16" x14ac:dyDescent="0.3">
      <c r="A287" s="2" t="s">
        <v>331</v>
      </c>
      <c r="B287" s="2" t="s">
        <v>31</v>
      </c>
      <c r="C287" s="3">
        <v>33</v>
      </c>
      <c r="D287" t="s">
        <v>18</v>
      </c>
      <c r="E287" s="2" t="s">
        <v>19</v>
      </c>
      <c r="F287" s="2" t="s">
        <v>38</v>
      </c>
      <c r="G287">
        <v>52</v>
      </c>
      <c r="H287" s="4">
        <v>43731</v>
      </c>
      <c r="I287" s="2" t="s">
        <v>15</v>
      </c>
      <c r="J287" s="2" t="s">
        <v>27</v>
      </c>
      <c r="M287" t="str">
        <f t="shared" si="16"/>
        <v>Female</v>
      </c>
      <c r="N287" t="str">
        <f t="shared" si="17"/>
        <v>Delhi</v>
      </c>
      <c r="O287" t="str">
        <f t="shared" si="18"/>
        <v>Telugu</v>
      </c>
      <c r="P287" t="str">
        <f t="shared" si="19"/>
        <v>Standard</v>
      </c>
    </row>
    <row r="288" spans="1:16" x14ac:dyDescent="0.3">
      <c r="A288" s="2" t="s">
        <v>332</v>
      </c>
      <c r="B288" s="2" t="s">
        <v>11</v>
      </c>
      <c r="C288" s="3">
        <v>36</v>
      </c>
      <c r="D288" t="s">
        <v>12</v>
      </c>
      <c r="E288" s="2" t="s">
        <v>19</v>
      </c>
      <c r="F288" s="2" t="s">
        <v>54</v>
      </c>
      <c r="G288">
        <v>33</v>
      </c>
      <c r="H288" s="4">
        <v>44297</v>
      </c>
      <c r="I288" s="2" t="s">
        <v>49</v>
      </c>
      <c r="J288" s="2" t="s">
        <v>16</v>
      </c>
      <c r="M288" t="str">
        <f t="shared" si="16"/>
        <v>Female</v>
      </c>
      <c r="N288" t="str">
        <f t="shared" si="17"/>
        <v>Bangalore</v>
      </c>
      <c r="O288" t="str">
        <f t="shared" si="18"/>
        <v>Kannada</v>
      </c>
      <c r="P288" t="str">
        <f t="shared" si="19"/>
        <v>Basic</v>
      </c>
    </row>
    <row r="289" spans="1:16" x14ac:dyDescent="0.3">
      <c r="A289" s="2" t="s">
        <v>333</v>
      </c>
      <c r="B289" s="2" t="s">
        <v>11</v>
      </c>
      <c r="C289" s="3">
        <v>37</v>
      </c>
      <c r="D289" t="s">
        <v>12</v>
      </c>
      <c r="E289" s="2" t="s">
        <v>19</v>
      </c>
      <c r="F289" s="2" t="s">
        <v>54</v>
      </c>
      <c r="G289">
        <v>44</v>
      </c>
      <c r="H289" s="4">
        <v>43951</v>
      </c>
      <c r="I289" s="2" t="s">
        <v>26</v>
      </c>
      <c r="J289" s="2" t="s">
        <v>27</v>
      </c>
      <c r="M289" t="str">
        <f t="shared" si="16"/>
        <v>Female</v>
      </c>
      <c r="N289" t="str">
        <f t="shared" si="17"/>
        <v>Bangalore</v>
      </c>
      <c r="O289" t="str">
        <f t="shared" si="18"/>
        <v>Malayalam</v>
      </c>
      <c r="P289" t="str">
        <f t="shared" si="19"/>
        <v>Standard</v>
      </c>
    </row>
    <row r="290" spans="1:16" x14ac:dyDescent="0.3">
      <c r="A290" s="2" t="s">
        <v>334</v>
      </c>
      <c r="B290" s="2" t="s">
        <v>11</v>
      </c>
      <c r="C290" s="3">
        <v>29</v>
      </c>
      <c r="D290" t="s">
        <v>18</v>
      </c>
      <c r="E290" s="2" t="s">
        <v>13</v>
      </c>
      <c r="F290" s="2" t="s">
        <v>25</v>
      </c>
      <c r="G290">
        <v>11</v>
      </c>
      <c r="H290" s="4">
        <v>44940</v>
      </c>
      <c r="I290" s="2" t="s">
        <v>29</v>
      </c>
      <c r="J290" s="2" t="s">
        <v>65</v>
      </c>
      <c r="M290" t="str">
        <f t="shared" si="16"/>
        <v>Male</v>
      </c>
      <c r="N290" t="str">
        <f t="shared" si="17"/>
        <v>Mumbai</v>
      </c>
      <c r="O290" t="str">
        <f t="shared" si="18"/>
        <v>English</v>
      </c>
      <c r="P290" t="str">
        <f t="shared" si="19"/>
        <v>Family</v>
      </c>
    </row>
    <row r="291" spans="1:16" x14ac:dyDescent="0.3">
      <c r="A291" s="2" t="s">
        <v>335</v>
      </c>
      <c r="B291" s="2" t="s">
        <v>11</v>
      </c>
      <c r="C291" s="3">
        <v>46</v>
      </c>
      <c r="D291" t="s">
        <v>46</v>
      </c>
      <c r="E291" s="2" t="s">
        <v>19</v>
      </c>
      <c r="F291" s="2" t="s">
        <v>56</v>
      </c>
      <c r="G291">
        <v>56</v>
      </c>
      <c r="H291" s="4">
        <v>43592</v>
      </c>
      <c r="I291" s="2" t="s">
        <v>21</v>
      </c>
      <c r="J291" s="2" t="s">
        <v>16</v>
      </c>
      <c r="M291" t="str">
        <f t="shared" si="16"/>
        <v>Female</v>
      </c>
      <c r="N291" t="str">
        <f t="shared" si="17"/>
        <v>Hyderabad</v>
      </c>
      <c r="O291" t="str">
        <f t="shared" si="18"/>
        <v>Bengali</v>
      </c>
      <c r="P291" t="str">
        <f t="shared" si="19"/>
        <v>Basic</v>
      </c>
    </row>
    <row r="292" spans="1:16" x14ac:dyDescent="0.3">
      <c r="A292" s="2" t="s">
        <v>336</v>
      </c>
      <c r="B292" s="2" t="s">
        <v>61</v>
      </c>
      <c r="C292" s="3">
        <v>29</v>
      </c>
      <c r="D292" t="s">
        <v>18</v>
      </c>
      <c r="E292" s="2" t="s">
        <v>19</v>
      </c>
      <c r="F292" s="2" t="s">
        <v>14</v>
      </c>
      <c r="G292">
        <v>60</v>
      </c>
      <c r="H292" s="4">
        <v>43468</v>
      </c>
      <c r="I292" s="2" t="s">
        <v>62</v>
      </c>
      <c r="J292" s="2" t="s">
        <v>22</v>
      </c>
      <c r="M292" t="str">
        <f t="shared" si="16"/>
        <v>Female</v>
      </c>
      <c r="N292" t="str">
        <f t="shared" si="17"/>
        <v>Kolkata</v>
      </c>
      <c r="O292" t="str">
        <f t="shared" si="18"/>
        <v>Gujarati</v>
      </c>
      <c r="P292" t="str">
        <f t="shared" si="19"/>
        <v>Premium</v>
      </c>
    </row>
    <row r="293" spans="1:16" x14ac:dyDescent="0.3">
      <c r="A293" s="2" t="s">
        <v>337</v>
      </c>
      <c r="B293" s="2" t="s">
        <v>11</v>
      </c>
      <c r="C293" s="3">
        <v>18</v>
      </c>
      <c r="D293" t="s">
        <v>32</v>
      </c>
      <c r="E293" s="2" t="s">
        <v>13</v>
      </c>
      <c r="F293" s="2" t="s">
        <v>38</v>
      </c>
      <c r="G293">
        <v>18</v>
      </c>
      <c r="H293" s="4">
        <v>44734</v>
      </c>
      <c r="I293" s="2" t="s">
        <v>29</v>
      </c>
      <c r="J293" s="2" t="s">
        <v>27</v>
      </c>
      <c r="M293" t="str">
        <f t="shared" si="16"/>
        <v>Male</v>
      </c>
      <c r="N293" t="str">
        <f t="shared" si="17"/>
        <v>Delhi</v>
      </c>
      <c r="O293" t="str">
        <f t="shared" si="18"/>
        <v>English</v>
      </c>
      <c r="P293" t="str">
        <f t="shared" si="19"/>
        <v>Standard</v>
      </c>
    </row>
    <row r="294" spans="1:16" x14ac:dyDescent="0.3">
      <c r="A294" s="2" t="s">
        <v>338</v>
      </c>
      <c r="B294" s="2" t="s">
        <v>31</v>
      </c>
      <c r="C294" s="3">
        <v>43</v>
      </c>
      <c r="D294" t="s">
        <v>12</v>
      </c>
      <c r="E294" s="2" t="s">
        <v>13</v>
      </c>
      <c r="F294" s="2" t="s">
        <v>56</v>
      </c>
      <c r="G294">
        <v>6</v>
      </c>
      <c r="H294" s="4">
        <v>45107</v>
      </c>
      <c r="I294" s="2" t="s">
        <v>62</v>
      </c>
      <c r="J294" s="2" t="s">
        <v>65</v>
      </c>
      <c r="M294" t="str">
        <f t="shared" si="16"/>
        <v>Male</v>
      </c>
      <c r="N294" t="str">
        <f t="shared" si="17"/>
        <v>Hyderabad</v>
      </c>
      <c r="O294" t="str">
        <f t="shared" si="18"/>
        <v>Gujarati</v>
      </c>
      <c r="P294" t="str">
        <f t="shared" si="19"/>
        <v>Family</v>
      </c>
    </row>
    <row r="295" spans="1:16" x14ac:dyDescent="0.3">
      <c r="A295" s="2" t="s">
        <v>339</v>
      </c>
      <c r="B295" s="2" t="s">
        <v>42</v>
      </c>
      <c r="C295" s="3">
        <v>19</v>
      </c>
      <c r="D295" t="s">
        <v>32</v>
      </c>
      <c r="E295" s="2" t="s">
        <v>13</v>
      </c>
      <c r="F295" s="2" t="s">
        <v>20</v>
      </c>
      <c r="G295">
        <v>57</v>
      </c>
      <c r="H295" s="4">
        <v>43553</v>
      </c>
      <c r="I295" s="2" t="s">
        <v>15</v>
      </c>
      <c r="J295" s="2" t="s">
        <v>22</v>
      </c>
      <c r="M295" t="str">
        <f t="shared" si="16"/>
        <v>Male</v>
      </c>
      <c r="N295" t="str">
        <f t="shared" si="17"/>
        <v>Chennai</v>
      </c>
      <c r="O295" t="str">
        <f t="shared" si="18"/>
        <v>Telugu</v>
      </c>
      <c r="P295" t="str">
        <f t="shared" si="19"/>
        <v>Premium</v>
      </c>
    </row>
    <row r="296" spans="1:16" x14ac:dyDescent="0.3">
      <c r="A296" s="2" t="s">
        <v>340</v>
      </c>
      <c r="B296" s="2" t="s">
        <v>31</v>
      </c>
      <c r="C296" s="3">
        <v>40</v>
      </c>
      <c r="D296" t="s">
        <v>12</v>
      </c>
      <c r="E296" s="2" t="s">
        <v>13</v>
      </c>
      <c r="F296" s="2" t="s">
        <v>88</v>
      </c>
      <c r="G296">
        <v>22</v>
      </c>
      <c r="H296" s="4">
        <v>44617</v>
      </c>
      <c r="I296" s="2" t="s">
        <v>26</v>
      </c>
      <c r="J296" s="2" t="s">
        <v>22</v>
      </c>
      <c r="M296" t="str">
        <f t="shared" si="16"/>
        <v>Male</v>
      </c>
      <c r="N296" t="str">
        <f t="shared" si="17"/>
        <v>Lucknow</v>
      </c>
      <c r="O296" t="str">
        <f t="shared" si="18"/>
        <v>Malayalam</v>
      </c>
      <c r="P296" t="str">
        <f t="shared" si="19"/>
        <v>Premium</v>
      </c>
    </row>
    <row r="297" spans="1:16" x14ac:dyDescent="0.3">
      <c r="A297" s="2" t="s">
        <v>341</v>
      </c>
      <c r="B297" s="2" t="s">
        <v>31</v>
      </c>
      <c r="C297" s="3">
        <v>24</v>
      </c>
      <c r="D297" t="s">
        <v>32</v>
      </c>
      <c r="E297" s="2" t="s">
        <v>19</v>
      </c>
      <c r="F297" s="2" t="s">
        <v>36</v>
      </c>
      <c r="G297">
        <v>37</v>
      </c>
      <c r="H297" s="4">
        <v>44155</v>
      </c>
      <c r="I297" s="2" t="s">
        <v>47</v>
      </c>
      <c r="J297" s="2" t="s">
        <v>27</v>
      </c>
      <c r="M297" t="str">
        <f t="shared" si="16"/>
        <v>Female</v>
      </c>
      <c r="N297" t="str">
        <f t="shared" si="17"/>
        <v>Ahmedabad</v>
      </c>
      <c r="O297" t="str">
        <f t="shared" si="18"/>
        <v>Hindi</v>
      </c>
      <c r="P297" t="str">
        <f t="shared" si="19"/>
        <v>Standard</v>
      </c>
    </row>
    <row r="298" spans="1:16" x14ac:dyDescent="0.3">
      <c r="A298" s="2" t="s">
        <v>342</v>
      </c>
      <c r="B298" s="2" t="s">
        <v>24</v>
      </c>
      <c r="C298" s="3">
        <v>18</v>
      </c>
      <c r="D298" t="s">
        <v>32</v>
      </c>
      <c r="E298" s="2" t="s">
        <v>13</v>
      </c>
      <c r="F298" s="2" t="s">
        <v>56</v>
      </c>
      <c r="G298">
        <v>42</v>
      </c>
      <c r="H298" s="4">
        <v>44008</v>
      </c>
      <c r="I298" s="2" t="s">
        <v>21</v>
      </c>
      <c r="J298" s="2" t="s">
        <v>16</v>
      </c>
      <c r="M298" t="str">
        <f t="shared" si="16"/>
        <v>Male</v>
      </c>
      <c r="N298" t="str">
        <f t="shared" si="17"/>
        <v>Hyderabad</v>
      </c>
      <c r="O298" t="str">
        <f t="shared" si="18"/>
        <v>Bengali</v>
      </c>
      <c r="P298" t="str">
        <f t="shared" si="19"/>
        <v>Basic</v>
      </c>
    </row>
    <row r="299" spans="1:16" x14ac:dyDescent="0.3">
      <c r="A299" s="2" t="s">
        <v>343</v>
      </c>
      <c r="B299" s="2" t="s">
        <v>42</v>
      </c>
      <c r="C299" s="3">
        <v>35</v>
      </c>
      <c r="D299" t="s">
        <v>12</v>
      </c>
      <c r="E299" s="2" t="s">
        <v>13</v>
      </c>
      <c r="F299" s="2" t="s">
        <v>54</v>
      </c>
      <c r="G299">
        <v>40</v>
      </c>
      <c r="H299" s="4">
        <v>44092</v>
      </c>
      <c r="I299" s="2" t="s">
        <v>39</v>
      </c>
      <c r="J299" s="2" t="s">
        <v>65</v>
      </c>
      <c r="M299" t="str">
        <f t="shared" si="16"/>
        <v>Male</v>
      </c>
      <c r="N299" t="str">
        <f t="shared" si="17"/>
        <v>Bangalore</v>
      </c>
      <c r="O299" t="str">
        <f t="shared" si="18"/>
        <v>Tamil</v>
      </c>
      <c r="P299" t="str">
        <f t="shared" si="19"/>
        <v>Family</v>
      </c>
    </row>
    <row r="300" spans="1:16" x14ac:dyDescent="0.3">
      <c r="A300" s="2" t="s">
        <v>344</v>
      </c>
      <c r="B300" s="2" t="s">
        <v>24</v>
      </c>
      <c r="C300" s="3">
        <v>39</v>
      </c>
      <c r="D300" t="s">
        <v>12</v>
      </c>
      <c r="E300" s="2" t="s">
        <v>13</v>
      </c>
      <c r="F300" s="2" t="s">
        <v>64</v>
      </c>
      <c r="G300">
        <v>35</v>
      </c>
      <c r="H300" s="4">
        <v>44239</v>
      </c>
      <c r="I300" s="2" t="s">
        <v>39</v>
      </c>
      <c r="J300" s="2" t="s">
        <v>65</v>
      </c>
      <c r="M300" t="str">
        <f t="shared" si="16"/>
        <v>Male</v>
      </c>
      <c r="N300" t="str">
        <f t="shared" si="17"/>
        <v>Pune</v>
      </c>
      <c r="O300" t="str">
        <f t="shared" si="18"/>
        <v>Tamil</v>
      </c>
      <c r="P300" t="str">
        <f t="shared" si="19"/>
        <v>Family</v>
      </c>
    </row>
    <row r="301" spans="1:16" x14ac:dyDescent="0.3">
      <c r="A301" s="2" t="s">
        <v>345</v>
      </c>
      <c r="B301" s="2" t="s">
        <v>31</v>
      </c>
      <c r="C301" s="3">
        <v>28</v>
      </c>
      <c r="D301" t="s">
        <v>18</v>
      </c>
      <c r="E301" s="2" t="s">
        <v>13</v>
      </c>
      <c r="F301" s="2" t="s">
        <v>38</v>
      </c>
      <c r="G301">
        <v>31</v>
      </c>
      <c r="H301" s="4">
        <v>44341</v>
      </c>
      <c r="I301" s="2" t="s">
        <v>34</v>
      </c>
      <c r="J301" s="2" t="s">
        <v>16</v>
      </c>
      <c r="M301" t="str">
        <f t="shared" si="16"/>
        <v>Male</v>
      </c>
      <c r="N301" t="str">
        <f t="shared" si="17"/>
        <v>Delhi</v>
      </c>
      <c r="O301" t="str">
        <f t="shared" si="18"/>
        <v>Marathi</v>
      </c>
      <c r="P301" t="str">
        <f t="shared" si="19"/>
        <v>Basic</v>
      </c>
    </row>
    <row r="302" spans="1:16" x14ac:dyDescent="0.3">
      <c r="A302" s="2" t="s">
        <v>346</v>
      </c>
      <c r="B302" s="2" t="s">
        <v>11</v>
      </c>
      <c r="C302" s="3">
        <v>36</v>
      </c>
      <c r="D302" t="s">
        <v>12</v>
      </c>
      <c r="E302" s="2" t="s">
        <v>13</v>
      </c>
      <c r="F302" s="2" t="s">
        <v>14</v>
      </c>
      <c r="G302">
        <v>25</v>
      </c>
      <c r="H302" s="4">
        <v>44535</v>
      </c>
      <c r="I302" s="2" t="s">
        <v>34</v>
      </c>
      <c r="J302" s="2" t="s">
        <v>22</v>
      </c>
      <c r="M302" t="str">
        <f t="shared" si="16"/>
        <v>Male</v>
      </c>
      <c r="N302" t="str">
        <f t="shared" si="17"/>
        <v>Kolkata</v>
      </c>
      <c r="O302" t="str">
        <f t="shared" si="18"/>
        <v>Marathi</v>
      </c>
      <c r="P302" t="str">
        <f t="shared" si="19"/>
        <v>Premium</v>
      </c>
    </row>
    <row r="303" spans="1:16" x14ac:dyDescent="0.3">
      <c r="A303" s="2" t="s">
        <v>347</v>
      </c>
      <c r="B303" s="2" t="s">
        <v>24</v>
      </c>
      <c r="C303" s="3">
        <v>42</v>
      </c>
      <c r="D303" t="s">
        <v>12</v>
      </c>
      <c r="E303" s="2" t="s">
        <v>19</v>
      </c>
      <c r="F303" s="2" t="s">
        <v>64</v>
      </c>
      <c r="G303">
        <v>58</v>
      </c>
      <c r="H303" s="4">
        <v>43524</v>
      </c>
      <c r="I303" s="2" t="s">
        <v>29</v>
      </c>
      <c r="J303" s="2" t="s">
        <v>16</v>
      </c>
      <c r="M303" t="str">
        <f t="shared" si="16"/>
        <v>Female</v>
      </c>
      <c r="N303" t="str">
        <f t="shared" si="17"/>
        <v>Pune</v>
      </c>
      <c r="O303" t="str">
        <f t="shared" si="18"/>
        <v>English</v>
      </c>
      <c r="P303" t="str">
        <f t="shared" si="19"/>
        <v>Basic</v>
      </c>
    </row>
    <row r="304" spans="1:16" x14ac:dyDescent="0.3">
      <c r="A304" s="2" t="s">
        <v>348</v>
      </c>
      <c r="B304" s="2" t="s">
        <v>24</v>
      </c>
      <c r="C304" s="3">
        <v>31</v>
      </c>
      <c r="D304" t="s">
        <v>18</v>
      </c>
      <c r="E304" s="2" t="s">
        <v>19</v>
      </c>
      <c r="F304" s="2" t="s">
        <v>36</v>
      </c>
      <c r="G304">
        <v>29</v>
      </c>
      <c r="H304" s="4">
        <v>44415</v>
      </c>
      <c r="I304" s="2" t="s">
        <v>39</v>
      </c>
      <c r="J304" s="2" t="s">
        <v>16</v>
      </c>
      <c r="M304" t="str">
        <f t="shared" si="16"/>
        <v>Female</v>
      </c>
      <c r="N304" t="str">
        <f t="shared" si="17"/>
        <v>Ahmedabad</v>
      </c>
      <c r="O304" t="str">
        <f t="shared" si="18"/>
        <v>Tamil</v>
      </c>
      <c r="P304" t="str">
        <f t="shared" si="19"/>
        <v>Basic</v>
      </c>
    </row>
    <row r="305" spans="1:16" x14ac:dyDescent="0.3">
      <c r="A305" s="2" t="s">
        <v>349</v>
      </c>
      <c r="B305" s="2" t="s">
        <v>24</v>
      </c>
      <c r="C305" s="3">
        <v>41</v>
      </c>
      <c r="D305" t="s">
        <v>12</v>
      </c>
      <c r="E305" s="2" t="s">
        <v>13</v>
      </c>
      <c r="F305" s="2" t="s">
        <v>64</v>
      </c>
      <c r="G305">
        <v>36</v>
      </c>
      <c r="H305" s="4">
        <v>44189</v>
      </c>
      <c r="I305" s="2" t="s">
        <v>29</v>
      </c>
      <c r="J305" s="2" t="s">
        <v>16</v>
      </c>
      <c r="M305" t="str">
        <f t="shared" si="16"/>
        <v>Male</v>
      </c>
      <c r="N305" t="str">
        <f t="shared" si="17"/>
        <v>Pune</v>
      </c>
      <c r="O305" t="str">
        <f t="shared" si="18"/>
        <v>English</v>
      </c>
      <c r="P305" t="str">
        <f t="shared" si="19"/>
        <v>Basic</v>
      </c>
    </row>
    <row r="306" spans="1:16" x14ac:dyDescent="0.3">
      <c r="A306" s="2" t="s">
        <v>350</v>
      </c>
      <c r="B306" s="2" t="s">
        <v>31</v>
      </c>
      <c r="C306" s="3">
        <v>46</v>
      </c>
      <c r="D306" t="s">
        <v>46</v>
      </c>
      <c r="E306" s="2" t="s">
        <v>13</v>
      </c>
      <c r="F306" s="2" t="s">
        <v>56</v>
      </c>
      <c r="G306">
        <v>59</v>
      </c>
      <c r="H306" s="4">
        <v>43500</v>
      </c>
      <c r="I306" s="2" t="s">
        <v>34</v>
      </c>
      <c r="J306" s="2" t="s">
        <v>22</v>
      </c>
      <c r="M306" t="str">
        <f t="shared" si="16"/>
        <v>Male</v>
      </c>
      <c r="N306" t="str">
        <f t="shared" si="17"/>
        <v>Hyderabad</v>
      </c>
      <c r="O306" t="str">
        <f t="shared" si="18"/>
        <v>Marathi</v>
      </c>
      <c r="P306" t="str">
        <f t="shared" si="19"/>
        <v>Premium</v>
      </c>
    </row>
    <row r="307" spans="1:16" x14ac:dyDescent="0.3">
      <c r="A307" s="2" t="s">
        <v>351</v>
      </c>
      <c r="B307" s="2" t="s">
        <v>11</v>
      </c>
      <c r="C307" s="3">
        <v>22</v>
      </c>
      <c r="D307" t="s">
        <v>32</v>
      </c>
      <c r="E307" s="2" t="s">
        <v>19</v>
      </c>
      <c r="F307" s="2" t="s">
        <v>33</v>
      </c>
      <c r="G307">
        <v>44</v>
      </c>
      <c r="H307" s="4">
        <v>43952</v>
      </c>
      <c r="I307" s="2" t="s">
        <v>62</v>
      </c>
      <c r="J307" s="2" t="s">
        <v>27</v>
      </c>
      <c r="M307" t="str">
        <f t="shared" si="16"/>
        <v>Female</v>
      </c>
      <c r="N307" t="str">
        <f t="shared" si="17"/>
        <v>Jaipur</v>
      </c>
      <c r="O307" t="str">
        <f t="shared" si="18"/>
        <v>Gujarati</v>
      </c>
      <c r="P307" t="str">
        <f t="shared" si="19"/>
        <v>Standard</v>
      </c>
    </row>
    <row r="308" spans="1:16" x14ac:dyDescent="0.3">
      <c r="A308" s="2" t="s">
        <v>352</v>
      </c>
      <c r="B308" s="2" t="s">
        <v>42</v>
      </c>
      <c r="C308" s="3">
        <v>29</v>
      </c>
      <c r="D308" t="s">
        <v>18</v>
      </c>
      <c r="E308" s="2" t="s">
        <v>13</v>
      </c>
      <c r="F308" s="2" t="s">
        <v>14</v>
      </c>
      <c r="G308">
        <v>33</v>
      </c>
      <c r="H308" s="4">
        <v>44302</v>
      </c>
      <c r="I308" s="2" t="s">
        <v>62</v>
      </c>
      <c r="J308" s="2" t="s">
        <v>16</v>
      </c>
      <c r="M308" t="str">
        <f t="shared" si="16"/>
        <v>Male</v>
      </c>
      <c r="N308" t="str">
        <f t="shared" si="17"/>
        <v>Kolkata</v>
      </c>
      <c r="O308" t="str">
        <f t="shared" si="18"/>
        <v>Gujarati</v>
      </c>
      <c r="P308" t="str">
        <f t="shared" si="19"/>
        <v>Basic</v>
      </c>
    </row>
    <row r="309" spans="1:16" x14ac:dyDescent="0.3">
      <c r="A309" s="2" t="s">
        <v>353</v>
      </c>
      <c r="B309" s="2" t="s">
        <v>31</v>
      </c>
      <c r="C309" s="3">
        <v>19</v>
      </c>
      <c r="D309" t="s">
        <v>32</v>
      </c>
      <c r="E309" s="2" t="s">
        <v>19</v>
      </c>
      <c r="F309" s="2" t="s">
        <v>64</v>
      </c>
      <c r="G309">
        <v>27</v>
      </c>
      <c r="H309" s="4">
        <v>44454</v>
      </c>
      <c r="I309" s="2" t="s">
        <v>15</v>
      </c>
      <c r="J309" s="2" t="s">
        <v>16</v>
      </c>
      <c r="M309" t="str">
        <f t="shared" si="16"/>
        <v>Female</v>
      </c>
      <c r="N309" t="str">
        <f t="shared" si="17"/>
        <v>Pune</v>
      </c>
      <c r="O309" t="str">
        <f t="shared" si="18"/>
        <v>Telugu</v>
      </c>
      <c r="P309" t="str">
        <f t="shared" si="19"/>
        <v>Basic</v>
      </c>
    </row>
    <row r="310" spans="1:16" x14ac:dyDescent="0.3">
      <c r="A310" s="2" t="s">
        <v>354</v>
      </c>
      <c r="B310" s="2" t="s">
        <v>11</v>
      </c>
      <c r="C310" s="3">
        <v>24</v>
      </c>
      <c r="D310" t="s">
        <v>32</v>
      </c>
      <c r="E310" s="2" t="s">
        <v>13</v>
      </c>
      <c r="F310" s="2" t="s">
        <v>33</v>
      </c>
      <c r="G310">
        <v>56</v>
      </c>
      <c r="H310" s="4">
        <v>43606</v>
      </c>
      <c r="I310" s="2" t="s">
        <v>21</v>
      </c>
      <c r="J310" s="2" t="s">
        <v>27</v>
      </c>
      <c r="M310" t="str">
        <f t="shared" si="16"/>
        <v>Male</v>
      </c>
      <c r="N310" t="str">
        <f t="shared" si="17"/>
        <v>Jaipur</v>
      </c>
      <c r="O310" t="str">
        <f t="shared" si="18"/>
        <v>Bengali</v>
      </c>
      <c r="P310" t="str">
        <f t="shared" si="19"/>
        <v>Standard</v>
      </c>
    </row>
    <row r="311" spans="1:16" x14ac:dyDescent="0.3">
      <c r="A311" s="2" t="s">
        <v>355</v>
      </c>
      <c r="B311" s="2" t="s">
        <v>31</v>
      </c>
      <c r="C311" s="3">
        <v>18</v>
      </c>
      <c r="D311" t="s">
        <v>32</v>
      </c>
      <c r="E311" s="2" t="s">
        <v>19</v>
      </c>
      <c r="F311" s="2" t="s">
        <v>25</v>
      </c>
      <c r="G311">
        <v>13</v>
      </c>
      <c r="H311" s="4">
        <v>44882</v>
      </c>
      <c r="I311" s="2" t="s">
        <v>29</v>
      </c>
      <c r="J311" s="2" t="s">
        <v>16</v>
      </c>
      <c r="M311" t="str">
        <f t="shared" si="16"/>
        <v>Female</v>
      </c>
      <c r="N311" t="str">
        <f t="shared" si="17"/>
        <v>Mumbai</v>
      </c>
      <c r="O311" t="str">
        <f t="shared" si="18"/>
        <v>English</v>
      </c>
      <c r="P311" t="str">
        <f t="shared" si="19"/>
        <v>Basic</v>
      </c>
    </row>
    <row r="312" spans="1:16" x14ac:dyDescent="0.3">
      <c r="A312" s="2" t="s">
        <v>356</v>
      </c>
      <c r="B312" s="2" t="s">
        <v>61</v>
      </c>
      <c r="C312" s="3">
        <v>41</v>
      </c>
      <c r="D312" t="s">
        <v>12</v>
      </c>
      <c r="E312" s="2" t="s">
        <v>13</v>
      </c>
      <c r="F312" s="2" t="s">
        <v>25</v>
      </c>
      <c r="G312">
        <v>23</v>
      </c>
      <c r="H312" s="4">
        <v>44586</v>
      </c>
      <c r="I312" s="2" t="s">
        <v>29</v>
      </c>
      <c r="J312" s="2" t="s">
        <v>22</v>
      </c>
      <c r="M312" t="str">
        <f t="shared" si="16"/>
        <v>Male</v>
      </c>
      <c r="N312" t="str">
        <f t="shared" si="17"/>
        <v>Mumbai</v>
      </c>
      <c r="O312" t="str">
        <f t="shared" si="18"/>
        <v>English</v>
      </c>
      <c r="P312" t="str">
        <f t="shared" si="19"/>
        <v>Premium</v>
      </c>
    </row>
    <row r="313" spans="1:16" x14ac:dyDescent="0.3">
      <c r="A313" s="2" t="s">
        <v>357</v>
      </c>
      <c r="B313" s="2" t="s">
        <v>31</v>
      </c>
      <c r="C313" s="3">
        <v>30</v>
      </c>
      <c r="D313" t="s">
        <v>18</v>
      </c>
      <c r="E313" s="2" t="s">
        <v>105</v>
      </c>
      <c r="F313" s="2" t="s">
        <v>20</v>
      </c>
      <c r="G313">
        <v>27</v>
      </c>
      <c r="H313" s="4">
        <v>44474</v>
      </c>
      <c r="I313" s="2" t="s">
        <v>26</v>
      </c>
      <c r="J313" s="2" t="s">
        <v>16</v>
      </c>
      <c r="M313" t="str">
        <f t="shared" si="16"/>
        <v>Non-Binary</v>
      </c>
      <c r="N313" t="str">
        <f t="shared" si="17"/>
        <v>Chennai</v>
      </c>
      <c r="O313" t="str">
        <f t="shared" si="18"/>
        <v>Malayalam</v>
      </c>
      <c r="P313" t="str">
        <f t="shared" si="19"/>
        <v>Basic</v>
      </c>
    </row>
    <row r="314" spans="1:16" x14ac:dyDescent="0.3">
      <c r="A314" s="2" t="s">
        <v>358</v>
      </c>
      <c r="B314" s="2" t="s">
        <v>24</v>
      </c>
      <c r="C314" s="3">
        <v>29</v>
      </c>
      <c r="D314" t="s">
        <v>18</v>
      </c>
      <c r="E314" s="2" t="s">
        <v>19</v>
      </c>
      <c r="F314" s="2" t="s">
        <v>25</v>
      </c>
      <c r="G314">
        <v>51</v>
      </c>
      <c r="H314" s="4">
        <v>43737</v>
      </c>
      <c r="I314" s="2" t="s">
        <v>62</v>
      </c>
      <c r="J314" s="2" t="s">
        <v>27</v>
      </c>
      <c r="M314" t="str">
        <f t="shared" si="16"/>
        <v>Female</v>
      </c>
      <c r="N314" t="str">
        <f t="shared" si="17"/>
        <v>Mumbai</v>
      </c>
      <c r="O314" t="str">
        <f t="shared" si="18"/>
        <v>Gujarati</v>
      </c>
      <c r="P314" t="str">
        <f t="shared" si="19"/>
        <v>Standard</v>
      </c>
    </row>
    <row r="315" spans="1:16" x14ac:dyDescent="0.3">
      <c r="A315" s="2" t="s">
        <v>359</v>
      </c>
      <c r="B315" s="2" t="s">
        <v>31</v>
      </c>
      <c r="C315" s="3">
        <v>37</v>
      </c>
      <c r="D315" t="s">
        <v>12</v>
      </c>
      <c r="E315" s="2" t="s">
        <v>19</v>
      </c>
      <c r="F315" s="2" t="s">
        <v>88</v>
      </c>
      <c r="G315">
        <v>9</v>
      </c>
      <c r="H315" s="4">
        <v>45017</v>
      </c>
      <c r="I315" s="2" t="s">
        <v>49</v>
      </c>
      <c r="J315" s="2" t="s">
        <v>22</v>
      </c>
      <c r="M315" t="str">
        <f t="shared" si="16"/>
        <v>Female</v>
      </c>
      <c r="N315" t="str">
        <f t="shared" si="17"/>
        <v>Lucknow</v>
      </c>
      <c r="O315" t="str">
        <f t="shared" si="18"/>
        <v>Kannada</v>
      </c>
      <c r="P315" t="str">
        <f t="shared" si="19"/>
        <v>Premium</v>
      </c>
    </row>
    <row r="316" spans="1:16" x14ac:dyDescent="0.3">
      <c r="A316" s="2" t="s">
        <v>360</v>
      </c>
      <c r="B316" s="2" t="s">
        <v>11</v>
      </c>
      <c r="C316" s="3">
        <v>42</v>
      </c>
      <c r="D316" t="s">
        <v>12</v>
      </c>
      <c r="E316" s="2" t="s">
        <v>13</v>
      </c>
      <c r="F316" s="2" t="s">
        <v>25</v>
      </c>
      <c r="G316">
        <v>5</v>
      </c>
      <c r="H316" s="4">
        <v>45140</v>
      </c>
      <c r="I316" s="2" t="s">
        <v>34</v>
      </c>
      <c r="J316" s="2" t="s">
        <v>27</v>
      </c>
      <c r="M316" t="str">
        <f t="shared" si="16"/>
        <v>Male</v>
      </c>
      <c r="N316" t="str">
        <f t="shared" si="17"/>
        <v>Mumbai</v>
      </c>
      <c r="O316" t="str">
        <f t="shared" si="18"/>
        <v>Marathi</v>
      </c>
      <c r="P316" t="str">
        <f t="shared" si="19"/>
        <v>Standard</v>
      </c>
    </row>
    <row r="317" spans="1:16" x14ac:dyDescent="0.3">
      <c r="A317" s="2" t="s">
        <v>361</v>
      </c>
      <c r="B317" s="2" t="s">
        <v>24</v>
      </c>
      <c r="C317" s="3">
        <v>35</v>
      </c>
      <c r="D317" t="s">
        <v>12</v>
      </c>
      <c r="E317" s="2" t="s">
        <v>13</v>
      </c>
      <c r="F317" s="2" t="s">
        <v>25</v>
      </c>
      <c r="G317">
        <v>34</v>
      </c>
      <c r="H317" s="4">
        <v>44269</v>
      </c>
      <c r="I317" s="2" t="s">
        <v>26</v>
      </c>
      <c r="J317" s="2" t="s">
        <v>27</v>
      </c>
      <c r="M317" t="str">
        <f t="shared" si="16"/>
        <v>Male</v>
      </c>
      <c r="N317" t="str">
        <f t="shared" si="17"/>
        <v>Mumbai</v>
      </c>
      <c r="O317" t="str">
        <f t="shared" si="18"/>
        <v>Malayalam</v>
      </c>
      <c r="P317" t="str">
        <f t="shared" si="19"/>
        <v>Standard</v>
      </c>
    </row>
    <row r="318" spans="1:16" x14ac:dyDescent="0.3">
      <c r="A318" s="2" t="s">
        <v>362</v>
      </c>
      <c r="B318" s="2" t="s">
        <v>11</v>
      </c>
      <c r="C318" s="3">
        <v>40</v>
      </c>
      <c r="D318" t="s">
        <v>12</v>
      </c>
      <c r="E318" s="2" t="s">
        <v>13</v>
      </c>
      <c r="F318" s="2" t="s">
        <v>54</v>
      </c>
      <c r="G318">
        <v>31</v>
      </c>
      <c r="H318" s="4">
        <v>44342</v>
      </c>
      <c r="I318" s="2" t="s">
        <v>21</v>
      </c>
      <c r="J318" s="2" t="s">
        <v>22</v>
      </c>
      <c r="M318" t="str">
        <f t="shared" si="16"/>
        <v>Male</v>
      </c>
      <c r="N318" t="str">
        <f t="shared" si="17"/>
        <v>Bangalore</v>
      </c>
      <c r="O318" t="str">
        <f t="shared" si="18"/>
        <v>Bengali</v>
      </c>
      <c r="P318" t="str">
        <f t="shared" si="19"/>
        <v>Premium</v>
      </c>
    </row>
    <row r="319" spans="1:16" x14ac:dyDescent="0.3">
      <c r="A319" s="2" t="s">
        <v>363</v>
      </c>
      <c r="B319" s="2" t="s">
        <v>24</v>
      </c>
      <c r="C319" s="3">
        <v>33</v>
      </c>
      <c r="D319" t="s">
        <v>18</v>
      </c>
      <c r="E319" s="2" t="s">
        <v>13</v>
      </c>
      <c r="F319" s="2" t="s">
        <v>33</v>
      </c>
      <c r="G319">
        <v>56</v>
      </c>
      <c r="H319" s="4">
        <v>43585</v>
      </c>
      <c r="I319" s="2" t="s">
        <v>49</v>
      </c>
      <c r="J319" s="2" t="s">
        <v>16</v>
      </c>
      <c r="M319" t="str">
        <f t="shared" si="16"/>
        <v>Male</v>
      </c>
      <c r="N319" t="str">
        <f t="shared" si="17"/>
        <v>Jaipur</v>
      </c>
      <c r="O319" t="str">
        <f t="shared" si="18"/>
        <v>Kannada</v>
      </c>
      <c r="P319" t="str">
        <f t="shared" si="19"/>
        <v>Basic</v>
      </c>
    </row>
    <row r="320" spans="1:16" x14ac:dyDescent="0.3">
      <c r="A320" s="2" t="s">
        <v>364</v>
      </c>
      <c r="B320" s="2" t="s">
        <v>31</v>
      </c>
      <c r="C320" s="3">
        <v>33</v>
      </c>
      <c r="D320" t="s">
        <v>18</v>
      </c>
      <c r="E320" s="2" t="s">
        <v>19</v>
      </c>
      <c r="F320" s="2" t="s">
        <v>20</v>
      </c>
      <c r="G320">
        <v>8</v>
      </c>
      <c r="H320" s="4">
        <v>45043</v>
      </c>
      <c r="I320" s="2" t="s">
        <v>26</v>
      </c>
      <c r="J320" s="2" t="s">
        <v>16</v>
      </c>
      <c r="M320" t="str">
        <f t="shared" si="16"/>
        <v>Female</v>
      </c>
      <c r="N320" t="str">
        <f t="shared" si="17"/>
        <v>Chennai</v>
      </c>
      <c r="O320" t="str">
        <f t="shared" si="18"/>
        <v>Malayalam</v>
      </c>
      <c r="P320" t="str">
        <f t="shared" si="19"/>
        <v>Basic</v>
      </c>
    </row>
    <row r="321" spans="1:16" x14ac:dyDescent="0.3">
      <c r="A321" s="2" t="s">
        <v>365</v>
      </c>
      <c r="B321" s="2" t="s">
        <v>31</v>
      </c>
      <c r="C321" s="3">
        <v>30</v>
      </c>
      <c r="D321" t="s">
        <v>18</v>
      </c>
      <c r="E321" s="2" t="s">
        <v>19</v>
      </c>
      <c r="F321" s="2" t="s">
        <v>20</v>
      </c>
      <c r="G321">
        <v>45</v>
      </c>
      <c r="H321" s="4">
        <v>43920</v>
      </c>
      <c r="I321" s="2" t="s">
        <v>26</v>
      </c>
      <c r="J321" s="2" t="s">
        <v>65</v>
      </c>
      <c r="M321" t="str">
        <f t="shared" si="16"/>
        <v>Female</v>
      </c>
      <c r="N321" t="str">
        <f t="shared" si="17"/>
        <v>Chennai</v>
      </c>
      <c r="O321" t="str">
        <f t="shared" si="18"/>
        <v>Malayalam</v>
      </c>
      <c r="P321" t="str">
        <f t="shared" si="19"/>
        <v>Family</v>
      </c>
    </row>
    <row r="322" spans="1:16" x14ac:dyDescent="0.3">
      <c r="A322" s="2" t="s">
        <v>366</v>
      </c>
      <c r="B322" s="2" t="s">
        <v>24</v>
      </c>
      <c r="C322" s="3">
        <v>30</v>
      </c>
      <c r="D322" t="s">
        <v>18</v>
      </c>
      <c r="E322" s="2" t="s">
        <v>19</v>
      </c>
      <c r="F322" s="2" t="s">
        <v>14</v>
      </c>
      <c r="G322">
        <v>6</v>
      </c>
      <c r="H322" s="4">
        <v>45103</v>
      </c>
      <c r="I322" s="2" t="s">
        <v>15</v>
      </c>
      <c r="J322" s="2" t="s">
        <v>65</v>
      </c>
      <c r="M322" t="str">
        <f t="shared" si="16"/>
        <v>Female</v>
      </c>
      <c r="N322" t="str">
        <f t="shared" si="17"/>
        <v>Kolkata</v>
      </c>
      <c r="O322" t="str">
        <f t="shared" si="18"/>
        <v>Telugu</v>
      </c>
      <c r="P322" t="str">
        <f t="shared" si="19"/>
        <v>Family</v>
      </c>
    </row>
    <row r="323" spans="1:16" x14ac:dyDescent="0.3">
      <c r="A323" s="2" t="s">
        <v>367</v>
      </c>
      <c r="B323" s="2" t="s">
        <v>11</v>
      </c>
      <c r="C323" s="3">
        <v>43</v>
      </c>
      <c r="D323" t="s">
        <v>12</v>
      </c>
      <c r="E323" s="2" t="s">
        <v>19</v>
      </c>
      <c r="F323" s="2" t="s">
        <v>88</v>
      </c>
      <c r="G323">
        <v>25</v>
      </c>
      <c r="H323" s="4">
        <v>44529</v>
      </c>
      <c r="I323" s="2" t="s">
        <v>26</v>
      </c>
      <c r="J323" s="2" t="s">
        <v>22</v>
      </c>
      <c r="M323" t="str">
        <f t="shared" ref="M323:M386" si="20">TRIM(E323)</f>
        <v>Female</v>
      </c>
      <c r="N323" t="str">
        <f t="shared" ref="N323:N386" si="21">TRIM(F323)</f>
        <v>Lucknow</v>
      </c>
      <c r="O323" t="str">
        <f t="shared" ref="O323:O386" si="22">TRIM(I323)</f>
        <v>Malayalam</v>
      </c>
      <c r="P323" t="str">
        <f t="shared" ref="P323:P386" si="23">TRIM(J323)</f>
        <v>Premium</v>
      </c>
    </row>
    <row r="324" spans="1:16" x14ac:dyDescent="0.3">
      <c r="A324" s="2" t="s">
        <v>368</v>
      </c>
      <c r="B324" s="2" t="s">
        <v>61</v>
      </c>
      <c r="C324" s="3">
        <v>33</v>
      </c>
      <c r="D324" t="s">
        <v>18</v>
      </c>
      <c r="E324" s="2" t="s">
        <v>19</v>
      </c>
      <c r="F324" s="2" t="s">
        <v>56</v>
      </c>
      <c r="G324">
        <v>58</v>
      </c>
      <c r="H324" s="4">
        <v>43532</v>
      </c>
      <c r="I324" s="2" t="s">
        <v>34</v>
      </c>
      <c r="J324" s="2" t="s">
        <v>27</v>
      </c>
      <c r="M324" t="str">
        <f t="shared" si="20"/>
        <v>Female</v>
      </c>
      <c r="N324" t="str">
        <f t="shared" si="21"/>
        <v>Hyderabad</v>
      </c>
      <c r="O324" t="str">
        <f t="shared" si="22"/>
        <v>Marathi</v>
      </c>
      <c r="P324" t="str">
        <f t="shared" si="23"/>
        <v>Standard</v>
      </c>
    </row>
    <row r="325" spans="1:16" x14ac:dyDescent="0.3">
      <c r="A325" s="2" t="s">
        <v>369</v>
      </c>
      <c r="B325" s="2" t="s">
        <v>61</v>
      </c>
      <c r="C325" s="3">
        <v>47</v>
      </c>
      <c r="D325" t="s">
        <v>46</v>
      </c>
      <c r="E325" s="2" t="s">
        <v>13</v>
      </c>
      <c r="F325" s="2" t="s">
        <v>64</v>
      </c>
      <c r="G325">
        <v>1</v>
      </c>
      <c r="H325" s="4">
        <v>45262</v>
      </c>
      <c r="I325" s="2" t="s">
        <v>47</v>
      </c>
      <c r="J325" s="2" t="s">
        <v>65</v>
      </c>
      <c r="M325" t="str">
        <f t="shared" si="20"/>
        <v>Male</v>
      </c>
      <c r="N325" t="str">
        <f t="shared" si="21"/>
        <v>Pune</v>
      </c>
      <c r="O325" t="str">
        <f t="shared" si="22"/>
        <v>Hindi</v>
      </c>
      <c r="P325" t="str">
        <f t="shared" si="23"/>
        <v>Family</v>
      </c>
    </row>
    <row r="326" spans="1:16" x14ac:dyDescent="0.3">
      <c r="A326" s="2" t="s">
        <v>370</v>
      </c>
      <c r="B326" s="2" t="s">
        <v>61</v>
      </c>
      <c r="C326" s="3">
        <v>45</v>
      </c>
      <c r="D326" t="s">
        <v>46</v>
      </c>
      <c r="E326" s="2" t="s">
        <v>19</v>
      </c>
      <c r="F326" s="2" t="s">
        <v>33</v>
      </c>
      <c r="G326">
        <v>35</v>
      </c>
      <c r="H326" s="4">
        <v>44215</v>
      </c>
      <c r="I326" s="2" t="s">
        <v>62</v>
      </c>
      <c r="J326" s="2" t="s">
        <v>27</v>
      </c>
      <c r="M326" t="str">
        <f t="shared" si="20"/>
        <v>Female</v>
      </c>
      <c r="N326" t="str">
        <f t="shared" si="21"/>
        <v>Jaipur</v>
      </c>
      <c r="O326" t="str">
        <f t="shared" si="22"/>
        <v>Gujarati</v>
      </c>
      <c r="P326" t="str">
        <f t="shared" si="23"/>
        <v>Standard</v>
      </c>
    </row>
    <row r="327" spans="1:16" x14ac:dyDescent="0.3">
      <c r="A327" s="2" t="s">
        <v>371</v>
      </c>
      <c r="B327" s="2" t="s">
        <v>11</v>
      </c>
      <c r="C327" s="3">
        <v>38</v>
      </c>
      <c r="D327" t="s">
        <v>12</v>
      </c>
      <c r="E327" s="2" t="s">
        <v>19</v>
      </c>
      <c r="F327" s="2" t="s">
        <v>20</v>
      </c>
      <c r="G327">
        <v>51</v>
      </c>
      <c r="H327" s="4">
        <v>43759</v>
      </c>
      <c r="I327" s="2" t="s">
        <v>29</v>
      </c>
      <c r="J327" s="2" t="s">
        <v>22</v>
      </c>
      <c r="M327" t="str">
        <f t="shared" si="20"/>
        <v>Female</v>
      </c>
      <c r="N327" t="str">
        <f t="shared" si="21"/>
        <v>Chennai</v>
      </c>
      <c r="O327" t="str">
        <f t="shared" si="22"/>
        <v>English</v>
      </c>
      <c r="P327" t="str">
        <f t="shared" si="23"/>
        <v>Premium</v>
      </c>
    </row>
    <row r="328" spans="1:16" x14ac:dyDescent="0.3">
      <c r="A328" s="2" t="s">
        <v>372</v>
      </c>
      <c r="B328" s="2" t="s">
        <v>11</v>
      </c>
      <c r="C328" s="3">
        <v>20</v>
      </c>
      <c r="D328" t="s">
        <v>32</v>
      </c>
      <c r="E328" s="2" t="s">
        <v>13</v>
      </c>
      <c r="F328" s="2" t="s">
        <v>25</v>
      </c>
      <c r="G328">
        <v>53</v>
      </c>
      <c r="H328" s="4">
        <v>43684</v>
      </c>
      <c r="I328" s="2" t="s">
        <v>34</v>
      </c>
      <c r="J328" s="2" t="s">
        <v>27</v>
      </c>
      <c r="M328" t="str">
        <f t="shared" si="20"/>
        <v>Male</v>
      </c>
      <c r="N328" t="str">
        <f t="shared" si="21"/>
        <v>Mumbai</v>
      </c>
      <c r="O328" t="str">
        <f t="shared" si="22"/>
        <v>Marathi</v>
      </c>
      <c r="P328" t="str">
        <f t="shared" si="23"/>
        <v>Standard</v>
      </c>
    </row>
    <row r="329" spans="1:16" x14ac:dyDescent="0.3">
      <c r="A329" s="2" t="s">
        <v>373</v>
      </c>
      <c r="B329" s="2" t="s">
        <v>31</v>
      </c>
      <c r="C329" s="3">
        <v>30</v>
      </c>
      <c r="D329" t="s">
        <v>18</v>
      </c>
      <c r="E329" s="2" t="s">
        <v>19</v>
      </c>
      <c r="F329" s="2" t="s">
        <v>56</v>
      </c>
      <c r="G329">
        <v>37</v>
      </c>
      <c r="H329" s="4">
        <v>44157</v>
      </c>
      <c r="I329" s="2" t="s">
        <v>39</v>
      </c>
      <c r="J329" s="2" t="s">
        <v>27</v>
      </c>
      <c r="M329" t="str">
        <f t="shared" si="20"/>
        <v>Female</v>
      </c>
      <c r="N329" t="str">
        <f t="shared" si="21"/>
        <v>Hyderabad</v>
      </c>
      <c r="O329" t="str">
        <f t="shared" si="22"/>
        <v>Tamil</v>
      </c>
      <c r="P329" t="str">
        <f t="shared" si="23"/>
        <v>Standard</v>
      </c>
    </row>
    <row r="330" spans="1:16" x14ac:dyDescent="0.3">
      <c r="A330" s="2" t="s">
        <v>374</v>
      </c>
      <c r="B330" s="2" t="s">
        <v>42</v>
      </c>
      <c r="C330" s="3">
        <v>18</v>
      </c>
      <c r="D330" t="s">
        <v>32</v>
      </c>
      <c r="E330" s="2" t="s">
        <v>13</v>
      </c>
      <c r="F330" s="2" t="s">
        <v>56</v>
      </c>
      <c r="G330">
        <v>6</v>
      </c>
      <c r="H330" s="4">
        <v>45093</v>
      </c>
      <c r="I330" s="2" t="s">
        <v>26</v>
      </c>
      <c r="J330" s="2" t="s">
        <v>27</v>
      </c>
      <c r="M330" t="str">
        <f t="shared" si="20"/>
        <v>Male</v>
      </c>
      <c r="N330" t="str">
        <f t="shared" si="21"/>
        <v>Hyderabad</v>
      </c>
      <c r="O330" t="str">
        <f t="shared" si="22"/>
        <v>Malayalam</v>
      </c>
      <c r="P330" t="str">
        <f t="shared" si="23"/>
        <v>Standard</v>
      </c>
    </row>
    <row r="331" spans="1:16" x14ac:dyDescent="0.3">
      <c r="A331" s="2" t="s">
        <v>375</v>
      </c>
      <c r="B331" s="2" t="s">
        <v>24</v>
      </c>
      <c r="C331" s="3">
        <v>38</v>
      </c>
      <c r="D331" t="s">
        <v>12</v>
      </c>
      <c r="E331" s="2" t="s">
        <v>19</v>
      </c>
      <c r="F331" s="2" t="s">
        <v>33</v>
      </c>
      <c r="G331">
        <v>43</v>
      </c>
      <c r="H331" s="4">
        <v>44001</v>
      </c>
      <c r="I331" s="2" t="s">
        <v>62</v>
      </c>
      <c r="J331" s="2" t="s">
        <v>16</v>
      </c>
      <c r="M331" t="str">
        <f t="shared" si="20"/>
        <v>Female</v>
      </c>
      <c r="N331" t="str">
        <f t="shared" si="21"/>
        <v>Jaipur</v>
      </c>
      <c r="O331" t="str">
        <f t="shared" si="22"/>
        <v>Gujarati</v>
      </c>
      <c r="P331" t="str">
        <f t="shared" si="23"/>
        <v>Basic</v>
      </c>
    </row>
    <row r="332" spans="1:16" x14ac:dyDescent="0.3">
      <c r="A332" s="2" t="s">
        <v>376</v>
      </c>
      <c r="B332" s="2" t="s">
        <v>11</v>
      </c>
      <c r="C332" s="3">
        <v>45</v>
      </c>
      <c r="D332" t="s">
        <v>46</v>
      </c>
      <c r="E332" s="2" t="s">
        <v>13</v>
      </c>
      <c r="F332" s="2" t="s">
        <v>14</v>
      </c>
      <c r="G332">
        <v>12</v>
      </c>
      <c r="H332" s="4">
        <v>44916</v>
      </c>
      <c r="I332" s="2" t="s">
        <v>34</v>
      </c>
      <c r="J332" s="2" t="s">
        <v>27</v>
      </c>
      <c r="M332" t="str">
        <f t="shared" si="20"/>
        <v>Male</v>
      </c>
      <c r="N332" t="str">
        <f t="shared" si="21"/>
        <v>Kolkata</v>
      </c>
      <c r="O332" t="str">
        <f t="shared" si="22"/>
        <v>Marathi</v>
      </c>
      <c r="P332" t="str">
        <f t="shared" si="23"/>
        <v>Standard</v>
      </c>
    </row>
    <row r="333" spans="1:16" x14ac:dyDescent="0.3">
      <c r="A333" s="2" t="s">
        <v>377</v>
      </c>
      <c r="B333" s="2" t="s">
        <v>31</v>
      </c>
      <c r="C333" s="3">
        <v>20</v>
      </c>
      <c r="D333" t="s">
        <v>32</v>
      </c>
      <c r="E333" s="2" t="s">
        <v>19</v>
      </c>
      <c r="F333" s="2" t="s">
        <v>20</v>
      </c>
      <c r="G333">
        <v>43</v>
      </c>
      <c r="H333" s="4">
        <v>43991</v>
      </c>
      <c r="I333" s="2" t="s">
        <v>39</v>
      </c>
      <c r="J333" s="2" t="s">
        <v>22</v>
      </c>
      <c r="M333" t="str">
        <f t="shared" si="20"/>
        <v>Female</v>
      </c>
      <c r="N333" t="str">
        <f t="shared" si="21"/>
        <v>Chennai</v>
      </c>
      <c r="O333" t="str">
        <f t="shared" si="22"/>
        <v>Tamil</v>
      </c>
      <c r="P333" t="str">
        <f t="shared" si="23"/>
        <v>Premium</v>
      </c>
    </row>
    <row r="334" spans="1:16" x14ac:dyDescent="0.3">
      <c r="A334" s="2" t="s">
        <v>378</v>
      </c>
      <c r="B334" s="2" t="s">
        <v>42</v>
      </c>
      <c r="C334" s="3">
        <v>36</v>
      </c>
      <c r="D334" t="s">
        <v>12</v>
      </c>
      <c r="E334" s="2" t="s">
        <v>19</v>
      </c>
      <c r="F334" s="2" t="s">
        <v>88</v>
      </c>
      <c r="G334">
        <v>50</v>
      </c>
      <c r="H334" s="4">
        <v>43768</v>
      </c>
      <c r="I334" s="2" t="s">
        <v>39</v>
      </c>
      <c r="J334" s="2" t="s">
        <v>22</v>
      </c>
      <c r="M334" t="str">
        <f t="shared" si="20"/>
        <v>Female</v>
      </c>
      <c r="N334" t="str">
        <f t="shared" si="21"/>
        <v>Lucknow</v>
      </c>
      <c r="O334" t="str">
        <f t="shared" si="22"/>
        <v>Tamil</v>
      </c>
      <c r="P334" t="str">
        <f t="shared" si="23"/>
        <v>Premium</v>
      </c>
    </row>
    <row r="335" spans="1:16" x14ac:dyDescent="0.3">
      <c r="A335" s="2" t="s">
        <v>379</v>
      </c>
      <c r="B335" s="2" t="s">
        <v>31</v>
      </c>
      <c r="C335" s="3">
        <v>27</v>
      </c>
      <c r="D335" t="s">
        <v>18</v>
      </c>
      <c r="E335" s="2" t="s">
        <v>19</v>
      </c>
      <c r="F335" s="2" t="s">
        <v>25</v>
      </c>
      <c r="G335">
        <v>5</v>
      </c>
      <c r="H335" s="4">
        <v>45126</v>
      </c>
      <c r="I335" s="2" t="s">
        <v>49</v>
      </c>
      <c r="J335" s="2" t="s">
        <v>22</v>
      </c>
      <c r="M335" t="str">
        <f t="shared" si="20"/>
        <v>Female</v>
      </c>
      <c r="N335" t="str">
        <f t="shared" si="21"/>
        <v>Mumbai</v>
      </c>
      <c r="O335" t="str">
        <f t="shared" si="22"/>
        <v>Kannada</v>
      </c>
      <c r="P335" t="str">
        <f t="shared" si="23"/>
        <v>Premium</v>
      </c>
    </row>
    <row r="336" spans="1:16" x14ac:dyDescent="0.3">
      <c r="A336" s="2" t="s">
        <v>380</v>
      </c>
      <c r="B336" s="2" t="s">
        <v>31</v>
      </c>
      <c r="C336" s="3">
        <v>28</v>
      </c>
      <c r="D336" t="s">
        <v>18</v>
      </c>
      <c r="E336" s="2" t="s">
        <v>13</v>
      </c>
      <c r="F336" s="2" t="s">
        <v>88</v>
      </c>
      <c r="G336">
        <v>37</v>
      </c>
      <c r="H336" s="4">
        <v>44174</v>
      </c>
      <c r="I336" s="2" t="s">
        <v>29</v>
      </c>
      <c r="J336" s="2" t="s">
        <v>16</v>
      </c>
      <c r="M336" t="str">
        <f t="shared" si="20"/>
        <v>Male</v>
      </c>
      <c r="N336" t="str">
        <f t="shared" si="21"/>
        <v>Lucknow</v>
      </c>
      <c r="O336" t="str">
        <f t="shared" si="22"/>
        <v>English</v>
      </c>
      <c r="P336" t="str">
        <f t="shared" si="23"/>
        <v>Basic</v>
      </c>
    </row>
    <row r="337" spans="1:16" x14ac:dyDescent="0.3">
      <c r="A337" s="2" t="s">
        <v>381</v>
      </c>
      <c r="B337" s="2" t="s">
        <v>31</v>
      </c>
      <c r="C337" s="3">
        <v>35</v>
      </c>
      <c r="D337" t="s">
        <v>12</v>
      </c>
      <c r="E337" s="2" t="s">
        <v>19</v>
      </c>
      <c r="F337" s="2" t="s">
        <v>56</v>
      </c>
      <c r="G337">
        <v>43</v>
      </c>
      <c r="H337" s="4">
        <v>43982</v>
      </c>
      <c r="I337" s="2" t="s">
        <v>21</v>
      </c>
      <c r="J337" s="2" t="s">
        <v>16</v>
      </c>
      <c r="M337" t="str">
        <f t="shared" si="20"/>
        <v>Female</v>
      </c>
      <c r="N337" t="str">
        <f t="shared" si="21"/>
        <v>Hyderabad</v>
      </c>
      <c r="O337" t="str">
        <f t="shared" si="22"/>
        <v>Bengali</v>
      </c>
      <c r="P337" t="str">
        <f t="shared" si="23"/>
        <v>Basic</v>
      </c>
    </row>
    <row r="338" spans="1:16" x14ac:dyDescent="0.3">
      <c r="A338" s="2" t="s">
        <v>382</v>
      </c>
      <c r="B338" s="2" t="s">
        <v>24</v>
      </c>
      <c r="C338" s="3">
        <v>29</v>
      </c>
      <c r="D338" t="s">
        <v>18</v>
      </c>
      <c r="E338" s="2" t="s">
        <v>13</v>
      </c>
      <c r="F338" s="2" t="s">
        <v>64</v>
      </c>
      <c r="G338">
        <v>36</v>
      </c>
      <c r="H338" s="4">
        <v>44196</v>
      </c>
      <c r="I338" s="2" t="s">
        <v>15</v>
      </c>
      <c r="J338" s="2" t="s">
        <v>27</v>
      </c>
      <c r="M338" t="str">
        <f t="shared" si="20"/>
        <v>Male</v>
      </c>
      <c r="N338" t="str">
        <f t="shared" si="21"/>
        <v>Pune</v>
      </c>
      <c r="O338" t="str">
        <f t="shared" si="22"/>
        <v>Telugu</v>
      </c>
      <c r="P338" t="str">
        <f t="shared" si="23"/>
        <v>Standard</v>
      </c>
    </row>
    <row r="339" spans="1:16" x14ac:dyDescent="0.3">
      <c r="A339" s="2" t="s">
        <v>383</v>
      </c>
      <c r="B339" s="2" t="s">
        <v>42</v>
      </c>
      <c r="C339" s="3">
        <v>32</v>
      </c>
      <c r="D339" t="s">
        <v>18</v>
      </c>
      <c r="E339" s="2" t="s">
        <v>19</v>
      </c>
      <c r="F339" s="2" t="s">
        <v>14</v>
      </c>
      <c r="G339">
        <v>48</v>
      </c>
      <c r="H339" s="4">
        <v>43852</v>
      </c>
      <c r="I339" s="2" t="s">
        <v>62</v>
      </c>
      <c r="J339" s="2" t="s">
        <v>65</v>
      </c>
      <c r="M339" t="str">
        <f t="shared" si="20"/>
        <v>Female</v>
      </c>
      <c r="N339" t="str">
        <f t="shared" si="21"/>
        <v>Kolkata</v>
      </c>
      <c r="O339" t="str">
        <f t="shared" si="22"/>
        <v>Gujarati</v>
      </c>
      <c r="P339" t="str">
        <f t="shared" si="23"/>
        <v>Family</v>
      </c>
    </row>
    <row r="340" spans="1:16" x14ac:dyDescent="0.3">
      <c r="A340" s="2" t="s">
        <v>384</v>
      </c>
      <c r="B340" s="2" t="s">
        <v>31</v>
      </c>
      <c r="C340" s="3">
        <v>31</v>
      </c>
      <c r="D340" t="s">
        <v>18</v>
      </c>
      <c r="E340" s="2" t="s">
        <v>13</v>
      </c>
      <c r="F340" s="2" t="s">
        <v>54</v>
      </c>
      <c r="G340">
        <v>50</v>
      </c>
      <c r="H340" s="4">
        <v>43773</v>
      </c>
      <c r="I340" s="2" t="s">
        <v>47</v>
      </c>
      <c r="J340" s="2" t="s">
        <v>22</v>
      </c>
      <c r="M340" t="str">
        <f t="shared" si="20"/>
        <v>Male</v>
      </c>
      <c r="N340" t="str">
        <f t="shared" si="21"/>
        <v>Bangalore</v>
      </c>
      <c r="O340" t="str">
        <f t="shared" si="22"/>
        <v>Hindi</v>
      </c>
      <c r="P340" t="str">
        <f t="shared" si="23"/>
        <v>Premium</v>
      </c>
    </row>
    <row r="341" spans="1:16" x14ac:dyDescent="0.3">
      <c r="A341" s="2" t="s">
        <v>385</v>
      </c>
      <c r="B341" s="2" t="s">
        <v>31</v>
      </c>
      <c r="C341" s="3">
        <v>33</v>
      </c>
      <c r="D341" t="s">
        <v>18</v>
      </c>
      <c r="E341" s="2" t="s">
        <v>105</v>
      </c>
      <c r="F341" s="2" t="s">
        <v>88</v>
      </c>
      <c r="G341">
        <v>19</v>
      </c>
      <c r="H341" s="4">
        <v>44716</v>
      </c>
      <c r="I341" s="2" t="s">
        <v>15</v>
      </c>
      <c r="J341" s="2" t="s">
        <v>27</v>
      </c>
      <c r="M341" t="str">
        <f t="shared" si="20"/>
        <v>Non-Binary</v>
      </c>
      <c r="N341" t="str">
        <f t="shared" si="21"/>
        <v>Lucknow</v>
      </c>
      <c r="O341" t="str">
        <f t="shared" si="22"/>
        <v>Telugu</v>
      </c>
      <c r="P341" t="str">
        <f t="shared" si="23"/>
        <v>Standard</v>
      </c>
    </row>
    <row r="342" spans="1:16" x14ac:dyDescent="0.3">
      <c r="A342" s="2" t="s">
        <v>386</v>
      </c>
      <c r="B342" s="2" t="s">
        <v>24</v>
      </c>
      <c r="C342" s="3">
        <v>37</v>
      </c>
      <c r="D342" t="s">
        <v>12</v>
      </c>
      <c r="E342" s="2" t="s">
        <v>13</v>
      </c>
      <c r="F342" s="2" t="s">
        <v>54</v>
      </c>
      <c r="G342">
        <v>14</v>
      </c>
      <c r="H342" s="4">
        <v>44867</v>
      </c>
      <c r="I342" s="2" t="s">
        <v>15</v>
      </c>
      <c r="J342" s="2" t="s">
        <v>16</v>
      </c>
      <c r="M342" t="str">
        <f t="shared" si="20"/>
        <v>Male</v>
      </c>
      <c r="N342" t="str">
        <f t="shared" si="21"/>
        <v>Bangalore</v>
      </c>
      <c r="O342" t="str">
        <f t="shared" si="22"/>
        <v>Telugu</v>
      </c>
      <c r="P342" t="str">
        <f t="shared" si="23"/>
        <v>Basic</v>
      </c>
    </row>
    <row r="343" spans="1:16" x14ac:dyDescent="0.3">
      <c r="A343" s="2" t="s">
        <v>387</v>
      </c>
      <c r="B343" s="2" t="s">
        <v>61</v>
      </c>
      <c r="C343" s="3">
        <v>30</v>
      </c>
      <c r="D343" t="s">
        <v>18</v>
      </c>
      <c r="E343" s="2" t="s">
        <v>19</v>
      </c>
      <c r="F343" s="2" t="s">
        <v>36</v>
      </c>
      <c r="G343">
        <v>47</v>
      </c>
      <c r="H343" s="4">
        <v>43854</v>
      </c>
      <c r="I343" s="2" t="s">
        <v>34</v>
      </c>
      <c r="J343" s="2" t="s">
        <v>22</v>
      </c>
      <c r="M343" t="str">
        <f t="shared" si="20"/>
        <v>Female</v>
      </c>
      <c r="N343" t="str">
        <f t="shared" si="21"/>
        <v>Ahmedabad</v>
      </c>
      <c r="O343" t="str">
        <f t="shared" si="22"/>
        <v>Marathi</v>
      </c>
      <c r="P343" t="str">
        <f t="shared" si="23"/>
        <v>Premium</v>
      </c>
    </row>
    <row r="344" spans="1:16" x14ac:dyDescent="0.3">
      <c r="A344" s="2" t="s">
        <v>388</v>
      </c>
      <c r="B344" s="2" t="s">
        <v>11</v>
      </c>
      <c r="C344" s="3">
        <v>21</v>
      </c>
      <c r="D344" t="s">
        <v>32</v>
      </c>
      <c r="E344" s="2" t="s">
        <v>19</v>
      </c>
      <c r="F344" s="2" t="s">
        <v>25</v>
      </c>
      <c r="G344">
        <v>36</v>
      </c>
      <c r="H344" s="4">
        <v>44196</v>
      </c>
      <c r="I344" s="2" t="s">
        <v>29</v>
      </c>
      <c r="J344" s="2" t="s">
        <v>27</v>
      </c>
      <c r="M344" t="str">
        <f t="shared" si="20"/>
        <v>Female</v>
      </c>
      <c r="N344" t="str">
        <f t="shared" si="21"/>
        <v>Mumbai</v>
      </c>
      <c r="O344" t="str">
        <f t="shared" si="22"/>
        <v>English</v>
      </c>
      <c r="P344" t="str">
        <f t="shared" si="23"/>
        <v>Standard</v>
      </c>
    </row>
    <row r="345" spans="1:16" x14ac:dyDescent="0.3">
      <c r="A345" s="2" t="s">
        <v>389</v>
      </c>
      <c r="B345" s="2" t="s">
        <v>31</v>
      </c>
      <c r="C345" s="3">
        <v>37</v>
      </c>
      <c r="D345" t="s">
        <v>12</v>
      </c>
      <c r="E345" s="2" t="s">
        <v>13</v>
      </c>
      <c r="F345" s="2" t="s">
        <v>64</v>
      </c>
      <c r="G345">
        <v>21</v>
      </c>
      <c r="H345" s="4">
        <v>44639</v>
      </c>
      <c r="I345" s="2" t="s">
        <v>21</v>
      </c>
      <c r="J345" s="2" t="s">
        <v>27</v>
      </c>
      <c r="M345" t="str">
        <f t="shared" si="20"/>
        <v>Male</v>
      </c>
      <c r="N345" t="str">
        <f t="shared" si="21"/>
        <v>Pune</v>
      </c>
      <c r="O345" t="str">
        <f t="shared" si="22"/>
        <v>Bengali</v>
      </c>
      <c r="P345" t="str">
        <f t="shared" si="23"/>
        <v>Standard</v>
      </c>
    </row>
    <row r="346" spans="1:16" x14ac:dyDescent="0.3">
      <c r="A346" s="2" t="s">
        <v>390</v>
      </c>
      <c r="B346" s="2" t="s">
        <v>61</v>
      </c>
      <c r="C346" s="3">
        <v>35</v>
      </c>
      <c r="D346" t="s">
        <v>12</v>
      </c>
      <c r="E346" s="2" t="s">
        <v>19</v>
      </c>
      <c r="F346" s="2" t="s">
        <v>64</v>
      </c>
      <c r="G346">
        <v>29</v>
      </c>
      <c r="H346" s="4">
        <v>44416</v>
      </c>
      <c r="I346" s="2" t="s">
        <v>34</v>
      </c>
      <c r="J346" s="2" t="s">
        <v>27</v>
      </c>
      <c r="M346" t="str">
        <f t="shared" si="20"/>
        <v>Female</v>
      </c>
      <c r="N346" t="str">
        <f t="shared" si="21"/>
        <v>Pune</v>
      </c>
      <c r="O346" t="str">
        <f t="shared" si="22"/>
        <v>Marathi</v>
      </c>
      <c r="P346" t="str">
        <f t="shared" si="23"/>
        <v>Standard</v>
      </c>
    </row>
    <row r="347" spans="1:16" x14ac:dyDescent="0.3">
      <c r="A347" s="2" t="s">
        <v>391</v>
      </c>
      <c r="B347" s="2" t="s">
        <v>31</v>
      </c>
      <c r="C347" s="3">
        <v>18</v>
      </c>
      <c r="D347" t="s">
        <v>32</v>
      </c>
      <c r="E347" s="2" t="s">
        <v>19</v>
      </c>
      <c r="F347" s="2" t="s">
        <v>38</v>
      </c>
      <c r="G347">
        <v>8</v>
      </c>
      <c r="H347" s="4">
        <v>45029</v>
      </c>
      <c r="I347" s="2" t="s">
        <v>26</v>
      </c>
      <c r="J347" s="2" t="s">
        <v>27</v>
      </c>
      <c r="M347" t="str">
        <f t="shared" si="20"/>
        <v>Female</v>
      </c>
      <c r="N347" t="str">
        <f t="shared" si="21"/>
        <v>Delhi</v>
      </c>
      <c r="O347" t="str">
        <f t="shared" si="22"/>
        <v>Malayalam</v>
      </c>
      <c r="P347" t="str">
        <f t="shared" si="23"/>
        <v>Standard</v>
      </c>
    </row>
    <row r="348" spans="1:16" x14ac:dyDescent="0.3">
      <c r="A348" s="2" t="s">
        <v>392</v>
      </c>
      <c r="B348" s="2" t="s">
        <v>61</v>
      </c>
      <c r="C348" s="3">
        <v>36</v>
      </c>
      <c r="D348" t="s">
        <v>12</v>
      </c>
      <c r="E348" s="2" t="s">
        <v>19</v>
      </c>
      <c r="F348" s="2" t="s">
        <v>54</v>
      </c>
      <c r="G348">
        <v>12</v>
      </c>
      <c r="H348" s="4">
        <v>44930</v>
      </c>
      <c r="I348" s="2" t="s">
        <v>39</v>
      </c>
      <c r="J348" s="2" t="s">
        <v>16</v>
      </c>
      <c r="M348" t="str">
        <f t="shared" si="20"/>
        <v>Female</v>
      </c>
      <c r="N348" t="str">
        <f t="shared" si="21"/>
        <v>Bangalore</v>
      </c>
      <c r="O348" t="str">
        <f t="shared" si="22"/>
        <v>Tamil</v>
      </c>
      <c r="P348" t="str">
        <f t="shared" si="23"/>
        <v>Basic</v>
      </c>
    </row>
    <row r="349" spans="1:16" x14ac:dyDescent="0.3">
      <c r="A349" s="2" t="s">
        <v>393</v>
      </c>
      <c r="B349" s="2" t="s">
        <v>11</v>
      </c>
      <c r="C349" s="3">
        <v>34</v>
      </c>
      <c r="D349" t="s">
        <v>18</v>
      </c>
      <c r="E349" s="2" t="s">
        <v>13</v>
      </c>
      <c r="F349" s="2" t="s">
        <v>36</v>
      </c>
      <c r="G349">
        <v>34</v>
      </c>
      <c r="H349" s="4">
        <v>44243</v>
      </c>
      <c r="I349" s="2" t="s">
        <v>26</v>
      </c>
      <c r="J349" s="2" t="s">
        <v>27</v>
      </c>
      <c r="M349" t="str">
        <f t="shared" si="20"/>
        <v>Male</v>
      </c>
      <c r="N349" t="str">
        <f t="shared" si="21"/>
        <v>Ahmedabad</v>
      </c>
      <c r="O349" t="str">
        <f t="shared" si="22"/>
        <v>Malayalam</v>
      </c>
      <c r="P349" t="str">
        <f t="shared" si="23"/>
        <v>Standard</v>
      </c>
    </row>
    <row r="350" spans="1:16" x14ac:dyDescent="0.3">
      <c r="A350" s="2" t="s">
        <v>394</v>
      </c>
      <c r="B350" s="2" t="s">
        <v>31</v>
      </c>
      <c r="C350" s="3">
        <v>36</v>
      </c>
      <c r="D350" t="s">
        <v>12</v>
      </c>
      <c r="E350" s="2" t="s">
        <v>19</v>
      </c>
      <c r="F350" s="2" t="s">
        <v>20</v>
      </c>
      <c r="G350">
        <v>4</v>
      </c>
      <c r="H350" s="4">
        <v>45162</v>
      </c>
      <c r="I350" s="2" t="s">
        <v>39</v>
      </c>
      <c r="J350" s="2" t="s">
        <v>16</v>
      </c>
      <c r="M350" t="str">
        <f t="shared" si="20"/>
        <v>Female</v>
      </c>
      <c r="N350" t="str">
        <f t="shared" si="21"/>
        <v>Chennai</v>
      </c>
      <c r="O350" t="str">
        <f t="shared" si="22"/>
        <v>Tamil</v>
      </c>
      <c r="P350" t="str">
        <f t="shared" si="23"/>
        <v>Basic</v>
      </c>
    </row>
    <row r="351" spans="1:16" x14ac:dyDescent="0.3">
      <c r="A351" s="2" t="s">
        <v>395</v>
      </c>
      <c r="B351" s="2" t="s">
        <v>61</v>
      </c>
      <c r="C351" s="3">
        <v>34</v>
      </c>
      <c r="D351" t="s">
        <v>18</v>
      </c>
      <c r="E351" s="2" t="s">
        <v>13</v>
      </c>
      <c r="F351" s="2" t="s">
        <v>14</v>
      </c>
      <c r="G351">
        <v>42</v>
      </c>
      <c r="H351" s="4">
        <v>44011</v>
      </c>
      <c r="I351" s="2" t="s">
        <v>62</v>
      </c>
      <c r="J351" s="2" t="s">
        <v>16</v>
      </c>
      <c r="M351" t="str">
        <f t="shared" si="20"/>
        <v>Male</v>
      </c>
      <c r="N351" t="str">
        <f t="shared" si="21"/>
        <v>Kolkata</v>
      </c>
      <c r="O351" t="str">
        <f t="shared" si="22"/>
        <v>Gujarati</v>
      </c>
      <c r="P351" t="str">
        <f t="shared" si="23"/>
        <v>Basic</v>
      </c>
    </row>
    <row r="352" spans="1:16" x14ac:dyDescent="0.3">
      <c r="A352" s="2" t="s">
        <v>396</v>
      </c>
      <c r="B352" s="2" t="s">
        <v>42</v>
      </c>
      <c r="C352" s="3">
        <v>18</v>
      </c>
      <c r="D352" t="s">
        <v>32</v>
      </c>
      <c r="E352" s="2" t="s">
        <v>13</v>
      </c>
      <c r="F352" s="2" t="s">
        <v>36</v>
      </c>
      <c r="G352">
        <v>10</v>
      </c>
      <c r="H352" s="4">
        <v>44987</v>
      </c>
      <c r="I352" s="2" t="s">
        <v>29</v>
      </c>
      <c r="J352" s="2" t="s">
        <v>22</v>
      </c>
      <c r="M352" t="str">
        <f t="shared" si="20"/>
        <v>Male</v>
      </c>
      <c r="N352" t="str">
        <f t="shared" si="21"/>
        <v>Ahmedabad</v>
      </c>
      <c r="O352" t="str">
        <f t="shared" si="22"/>
        <v>English</v>
      </c>
      <c r="P352" t="str">
        <f t="shared" si="23"/>
        <v>Premium</v>
      </c>
    </row>
    <row r="353" spans="1:16" x14ac:dyDescent="0.3">
      <c r="A353" s="2" t="s">
        <v>397</v>
      </c>
      <c r="B353" s="2" t="s">
        <v>31</v>
      </c>
      <c r="C353" s="3">
        <v>38</v>
      </c>
      <c r="D353" t="s">
        <v>12</v>
      </c>
      <c r="E353" s="2" t="s">
        <v>19</v>
      </c>
      <c r="F353" s="2" t="s">
        <v>88</v>
      </c>
      <c r="G353">
        <v>54</v>
      </c>
      <c r="H353" s="4">
        <v>43648</v>
      </c>
      <c r="I353" s="2" t="s">
        <v>21</v>
      </c>
      <c r="J353" s="2" t="s">
        <v>27</v>
      </c>
      <c r="M353" t="str">
        <f t="shared" si="20"/>
        <v>Female</v>
      </c>
      <c r="N353" t="str">
        <f t="shared" si="21"/>
        <v>Lucknow</v>
      </c>
      <c r="O353" t="str">
        <f t="shared" si="22"/>
        <v>Bengali</v>
      </c>
      <c r="P353" t="str">
        <f t="shared" si="23"/>
        <v>Standard</v>
      </c>
    </row>
    <row r="354" spans="1:16" x14ac:dyDescent="0.3">
      <c r="A354" s="2" t="s">
        <v>398</v>
      </c>
      <c r="B354" s="2" t="s">
        <v>24</v>
      </c>
      <c r="C354" s="3">
        <v>33</v>
      </c>
      <c r="D354" t="s">
        <v>18</v>
      </c>
      <c r="E354" s="2" t="s">
        <v>13</v>
      </c>
      <c r="F354" s="2" t="s">
        <v>88</v>
      </c>
      <c r="G354">
        <v>16</v>
      </c>
      <c r="H354" s="4">
        <v>44786</v>
      </c>
      <c r="I354" s="2" t="s">
        <v>21</v>
      </c>
      <c r="J354" s="2" t="s">
        <v>65</v>
      </c>
      <c r="M354" t="str">
        <f t="shared" si="20"/>
        <v>Male</v>
      </c>
      <c r="N354" t="str">
        <f t="shared" si="21"/>
        <v>Lucknow</v>
      </c>
      <c r="O354" t="str">
        <f t="shared" si="22"/>
        <v>Bengali</v>
      </c>
      <c r="P354" t="str">
        <f t="shared" si="23"/>
        <v>Family</v>
      </c>
    </row>
    <row r="355" spans="1:16" x14ac:dyDescent="0.3">
      <c r="A355" s="2" t="s">
        <v>399</v>
      </c>
      <c r="B355" s="2" t="s">
        <v>11</v>
      </c>
      <c r="C355" s="3">
        <v>37</v>
      </c>
      <c r="D355" t="s">
        <v>12</v>
      </c>
      <c r="E355" s="2" t="s">
        <v>19</v>
      </c>
      <c r="F355" s="2" t="s">
        <v>25</v>
      </c>
      <c r="G355">
        <v>44</v>
      </c>
      <c r="H355" s="4">
        <v>43951</v>
      </c>
      <c r="I355" s="2" t="s">
        <v>15</v>
      </c>
      <c r="J355" s="2" t="s">
        <v>22</v>
      </c>
      <c r="M355" t="str">
        <f t="shared" si="20"/>
        <v>Female</v>
      </c>
      <c r="N355" t="str">
        <f t="shared" si="21"/>
        <v>Mumbai</v>
      </c>
      <c r="O355" t="str">
        <f t="shared" si="22"/>
        <v>Telugu</v>
      </c>
      <c r="P355" t="str">
        <f t="shared" si="23"/>
        <v>Premium</v>
      </c>
    </row>
    <row r="356" spans="1:16" x14ac:dyDescent="0.3">
      <c r="A356" s="2" t="s">
        <v>400</v>
      </c>
      <c r="B356" s="2" t="s">
        <v>11</v>
      </c>
      <c r="C356" s="3">
        <v>31</v>
      </c>
      <c r="D356" t="s">
        <v>18</v>
      </c>
      <c r="E356" s="2" t="s">
        <v>13</v>
      </c>
      <c r="F356" s="2" t="s">
        <v>54</v>
      </c>
      <c r="G356">
        <v>14</v>
      </c>
      <c r="H356" s="4">
        <v>44865</v>
      </c>
      <c r="I356" s="2" t="s">
        <v>34</v>
      </c>
      <c r="J356" s="2" t="s">
        <v>22</v>
      </c>
      <c r="M356" t="str">
        <f t="shared" si="20"/>
        <v>Male</v>
      </c>
      <c r="N356" t="str">
        <f t="shared" si="21"/>
        <v>Bangalore</v>
      </c>
      <c r="O356" t="str">
        <f t="shared" si="22"/>
        <v>Marathi</v>
      </c>
      <c r="P356" t="str">
        <f t="shared" si="23"/>
        <v>Premium</v>
      </c>
    </row>
    <row r="357" spans="1:16" x14ac:dyDescent="0.3">
      <c r="A357" s="2" t="s">
        <v>401</v>
      </c>
      <c r="B357" s="2" t="s">
        <v>24</v>
      </c>
      <c r="C357" s="3">
        <v>24</v>
      </c>
      <c r="D357" t="s">
        <v>32</v>
      </c>
      <c r="E357" s="2" t="s">
        <v>19</v>
      </c>
      <c r="F357" s="2" t="s">
        <v>64</v>
      </c>
      <c r="G357">
        <v>51</v>
      </c>
      <c r="H357" s="4">
        <v>43742</v>
      </c>
      <c r="I357" s="2" t="s">
        <v>47</v>
      </c>
      <c r="J357" s="2" t="s">
        <v>22</v>
      </c>
      <c r="M357" t="str">
        <f t="shared" si="20"/>
        <v>Female</v>
      </c>
      <c r="N357" t="str">
        <f t="shared" si="21"/>
        <v>Pune</v>
      </c>
      <c r="O357" t="str">
        <f t="shared" si="22"/>
        <v>Hindi</v>
      </c>
      <c r="P357" t="str">
        <f t="shared" si="23"/>
        <v>Premium</v>
      </c>
    </row>
    <row r="358" spans="1:16" x14ac:dyDescent="0.3">
      <c r="A358" s="2" t="s">
        <v>402</v>
      </c>
      <c r="B358" s="2" t="s">
        <v>61</v>
      </c>
      <c r="C358" s="3">
        <v>25</v>
      </c>
      <c r="D358" t="s">
        <v>18</v>
      </c>
      <c r="E358" s="2" t="s">
        <v>13</v>
      </c>
      <c r="F358" s="2" t="s">
        <v>25</v>
      </c>
      <c r="G358">
        <v>24</v>
      </c>
      <c r="H358" s="4">
        <v>44568</v>
      </c>
      <c r="I358" s="2" t="s">
        <v>49</v>
      </c>
      <c r="J358" s="2" t="s">
        <v>27</v>
      </c>
      <c r="M358" t="str">
        <f t="shared" si="20"/>
        <v>Male</v>
      </c>
      <c r="N358" t="str">
        <f t="shared" si="21"/>
        <v>Mumbai</v>
      </c>
      <c r="O358" t="str">
        <f t="shared" si="22"/>
        <v>Kannada</v>
      </c>
      <c r="P358" t="str">
        <f t="shared" si="23"/>
        <v>Standard</v>
      </c>
    </row>
    <row r="359" spans="1:16" x14ac:dyDescent="0.3">
      <c r="A359" s="2" t="s">
        <v>403</v>
      </c>
      <c r="B359" s="2" t="s">
        <v>24</v>
      </c>
      <c r="C359" s="3">
        <v>36</v>
      </c>
      <c r="D359" t="s">
        <v>12</v>
      </c>
      <c r="E359" s="2" t="s">
        <v>13</v>
      </c>
      <c r="F359" s="2" t="s">
        <v>36</v>
      </c>
      <c r="G359">
        <v>57</v>
      </c>
      <c r="H359" s="4">
        <v>43564</v>
      </c>
      <c r="I359" s="2" t="s">
        <v>21</v>
      </c>
      <c r="J359" s="2" t="s">
        <v>16</v>
      </c>
      <c r="M359" t="str">
        <f t="shared" si="20"/>
        <v>Male</v>
      </c>
      <c r="N359" t="str">
        <f t="shared" si="21"/>
        <v>Ahmedabad</v>
      </c>
      <c r="O359" t="str">
        <f t="shared" si="22"/>
        <v>Bengali</v>
      </c>
      <c r="P359" t="str">
        <f t="shared" si="23"/>
        <v>Basic</v>
      </c>
    </row>
    <row r="360" spans="1:16" x14ac:dyDescent="0.3">
      <c r="A360" s="2" t="s">
        <v>404</v>
      </c>
      <c r="B360" s="2" t="s">
        <v>31</v>
      </c>
      <c r="C360" s="3">
        <v>22</v>
      </c>
      <c r="D360" t="s">
        <v>32</v>
      </c>
      <c r="E360" s="2" t="s">
        <v>13</v>
      </c>
      <c r="F360" s="2" t="s">
        <v>36</v>
      </c>
      <c r="G360">
        <v>51</v>
      </c>
      <c r="H360" s="4">
        <v>43762</v>
      </c>
      <c r="I360" s="2" t="s">
        <v>62</v>
      </c>
      <c r="J360" s="2" t="s">
        <v>27</v>
      </c>
      <c r="M360" t="str">
        <f t="shared" si="20"/>
        <v>Male</v>
      </c>
      <c r="N360" t="str">
        <f t="shared" si="21"/>
        <v>Ahmedabad</v>
      </c>
      <c r="O360" t="str">
        <f t="shared" si="22"/>
        <v>Gujarati</v>
      </c>
      <c r="P360" t="str">
        <f t="shared" si="23"/>
        <v>Standard</v>
      </c>
    </row>
    <row r="361" spans="1:16" x14ac:dyDescent="0.3">
      <c r="A361" s="2" t="s">
        <v>405</v>
      </c>
      <c r="B361" s="2" t="s">
        <v>42</v>
      </c>
      <c r="C361" s="3">
        <v>23</v>
      </c>
      <c r="D361" t="s">
        <v>32</v>
      </c>
      <c r="E361" s="2" t="s">
        <v>13</v>
      </c>
      <c r="F361" s="2" t="s">
        <v>14</v>
      </c>
      <c r="G361">
        <v>4</v>
      </c>
      <c r="H361" s="4">
        <v>45172</v>
      </c>
      <c r="I361" s="2" t="s">
        <v>29</v>
      </c>
      <c r="J361" s="2" t="s">
        <v>27</v>
      </c>
      <c r="M361" t="str">
        <f t="shared" si="20"/>
        <v>Male</v>
      </c>
      <c r="N361" t="str">
        <f t="shared" si="21"/>
        <v>Kolkata</v>
      </c>
      <c r="O361" t="str">
        <f t="shared" si="22"/>
        <v>English</v>
      </c>
      <c r="P361" t="str">
        <f t="shared" si="23"/>
        <v>Standard</v>
      </c>
    </row>
    <row r="362" spans="1:16" x14ac:dyDescent="0.3">
      <c r="A362" s="2" t="s">
        <v>406</v>
      </c>
      <c r="B362" s="2" t="s">
        <v>24</v>
      </c>
      <c r="C362" s="3">
        <v>28</v>
      </c>
      <c r="D362" t="s">
        <v>18</v>
      </c>
      <c r="E362" s="2" t="s">
        <v>19</v>
      </c>
      <c r="F362" s="2" t="s">
        <v>36</v>
      </c>
      <c r="G362">
        <v>46</v>
      </c>
      <c r="H362" s="4">
        <v>43888</v>
      </c>
      <c r="I362" s="2" t="s">
        <v>29</v>
      </c>
      <c r="J362" s="2" t="s">
        <v>16</v>
      </c>
      <c r="M362" t="str">
        <f t="shared" si="20"/>
        <v>Female</v>
      </c>
      <c r="N362" t="str">
        <f t="shared" si="21"/>
        <v>Ahmedabad</v>
      </c>
      <c r="O362" t="str">
        <f t="shared" si="22"/>
        <v>English</v>
      </c>
      <c r="P362" t="str">
        <f t="shared" si="23"/>
        <v>Basic</v>
      </c>
    </row>
    <row r="363" spans="1:16" x14ac:dyDescent="0.3">
      <c r="A363" s="2" t="s">
        <v>407</v>
      </c>
      <c r="B363" s="2" t="s">
        <v>11</v>
      </c>
      <c r="C363" s="3">
        <v>34</v>
      </c>
      <c r="D363" t="s">
        <v>18</v>
      </c>
      <c r="E363" s="2" t="s">
        <v>13</v>
      </c>
      <c r="F363" s="2" t="s">
        <v>20</v>
      </c>
      <c r="G363">
        <v>12</v>
      </c>
      <c r="H363" s="4">
        <v>44912</v>
      </c>
      <c r="I363" s="2" t="s">
        <v>29</v>
      </c>
      <c r="J363" s="2" t="s">
        <v>27</v>
      </c>
      <c r="M363" t="str">
        <f t="shared" si="20"/>
        <v>Male</v>
      </c>
      <c r="N363" t="str">
        <f t="shared" si="21"/>
        <v>Chennai</v>
      </c>
      <c r="O363" t="str">
        <f t="shared" si="22"/>
        <v>English</v>
      </c>
      <c r="P363" t="str">
        <f t="shared" si="23"/>
        <v>Standard</v>
      </c>
    </row>
    <row r="364" spans="1:16" x14ac:dyDescent="0.3">
      <c r="A364" s="2" t="s">
        <v>408</v>
      </c>
      <c r="B364" s="2" t="s">
        <v>31</v>
      </c>
      <c r="C364" s="3">
        <v>38</v>
      </c>
      <c r="D364" t="s">
        <v>12</v>
      </c>
      <c r="E364" s="2" t="s">
        <v>19</v>
      </c>
      <c r="F364" s="2" t="s">
        <v>88</v>
      </c>
      <c r="G364">
        <v>43</v>
      </c>
      <c r="H364" s="4">
        <v>43973</v>
      </c>
      <c r="I364" s="2" t="s">
        <v>26</v>
      </c>
      <c r="J364" s="2" t="s">
        <v>27</v>
      </c>
      <c r="M364" t="str">
        <f t="shared" si="20"/>
        <v>Female</v>
      </c>
      <c r="N364" t="str">
        <f t="shared" si="21"/>
        <v>Lucknow</v>
      </c>
      <c r="O364" t="str">
        <f t="shared" si="22"/>
        <v>Malayalam</v>
      </c>
      <c r="P364" t="str">
        <f t="shared" si="23"/>
        <v>Standard</v>
      </c>
    </row>
    <row r="365" spans="1:16" x14ac:dyDescent="0.3">
      <c r="A365" s="2" t="s">
        <v>409</v>
      </c>
      <c r="B365" s="2" t="s">
        <v>11</v>
      </c>
      <c r="C365" s="3">
        <v>25</v>
      </c>
      <c r="D365" t="s">
        <v>18</v>
      </c>
      <c r="E365" s="2" t="s">
        <v>13</v>
      </c>
      <c r="F365" s="2" t="s">
        <v>14</v>
      </c>
      <c r="G365">
        <v>47</v>
      </c>
      <c r="H365" s="4">
        <v>43861</v>
      </c>
      <c r="I365" s="2" t="s">
        <v>26</v>
      </c>
      <c r="J365" s="2" t="s">
        <v>27</v>
      </c>
      <c r="M365" t="str">
        <f t="shared" si="20"/>
        <v>Male</v>
      </c>
      <c r="N365" t="str">
        <f t="shared" si="21"/>
        <v>Kolkata</v>
      </c>
      <c r="O365" t="str">
        <f t="shared" si="22"/>
        <v>Malayalam</v>
      </c>
      <c r="P365" t="str">
        <f t="shared" si="23"/>
        <v>Standard</v>
      </c>
    </row>
    <row r="366" spans="1:16" x14ac:dyDescent="0.3">
      <c r="A366" s="2" t="s">
        <v>410</v>
      </c>
      <c r="B366" s="2" t="s">
        <v>61</v>
      </c>
      <c r="C366" s="3">
        <v>39</v>
      </c>
      <c r="D366" t="s">
        <v>12</v>
      </c>
      <c r="E366" s="2" t="s">
        <v>13</v>
      </c>
      <c r="F366" s="2" t="s">
        <v>25</v>
      </c>
      <c r="G366">
        <v>5</v>
      </c>
      <c r="H366" s="4">
        <v>45129</v>
      </c>
      <c r="I366" s="2" t="s">
        <v>26</v>
      </c>
      <c r="J366" s="2" t="s">
        <v>16</v>
      </c>
      <c r="M366" t="str">
        <f t="shared" si="20"/>
        <v>Male</v>
      </c>
      <c r="N366" t="str">
        <f t="shared" si="21"/>
        <v>Mumbai</v>
      </c>
      <c r="O366" t="str">
        <f t="shared" si="22"/>
        <v>Malayalam</v>
      </c>
      <c r="P366" t="str">
        <f t="shared" si="23"/>
        <v>Basic</v>
      </c>
    </row>
    <row r="367" spans="1:16" x14ac:dyDescent="0.3">
      <c r="A367" s="2" t="s">
        <v>411</v>
      </c>
      <c r="B367" s="2" t="s">
        <v>24</v>
      </c>
      <c r="C367" s="3">
        <v>33</v>
      </c>
      <c r="D367" t="s">
        <v>18</v>
      </c>
      <c r="E367" s="2" t="s">
        <v>19</v>
      </c>
      <c r="F367" s="2" t="s">
        <v>14</v>
      </c>
      <c r="G367">
        <v>37</v>
      </c>
      <c r="H367" s="4">
        <v>44171</v>
      </c>
      <c r="I367" s="2" t="s">
        <v>26</v>
      </c>
      <c r="J367" s="2" t="s">
        <v>27</v>
      </c>
      <c r="M367" t="str">
        <f t="shared" si="20"/>
        <v>Female</v>
      </c>
      <c r="N367" t="str">
        <f t="shared" si="21"/>
        <v>Kolkata</v>
      </c>
      <c r="O367" t="str">
        <f t="shared" si="22"/>
        <v>Malayalam</v>
      </c>
      <c r="P367" t="str">
        <f t="shared" si="23"/>
        <v>Standard</v>
      </c>
    </row>
    <row r="368" spans="1:16" x14ac:dyDescent="0.3">
      <c r="A368" s="2" t="s">
        <v>412</v>
      </c>
      <c r="B368" s="2" t="s">
        <v>61</v>
      </c>
      <c r="C368" s="3">
        <v>18</v>
      </c>
      <c r="D368" t="s">
        <v>32</v>
      </c>
      <c r="E368" s="2" t="s">
        <v>19</v>
      </c>
      <c r="F368" s="2" t="s">
        <v>56</v>
      </c>
      <c r="G368">
        <v>38</v>
      </c>
      <c r="H368" s="4">
        <v>44147</v>
      </c>
      <c r="I368" s="2" t="s">
        <v>15</v>
      </c>
      <c r="J368" s="2" t="s">
        <v>16</v>
      </c>
      <c r="M368" t="str">
        <f t="shared" si="20"/>
        <v>Female</v>
      </c>
      <c r="N368" t="str">
        <f t="shared" si="21"/>
        <v>Hyderabad</v>
      </c>
      <c r="O368" t="str">
        <f t="shared" si="22"/>
        <v>Telugu</v>
      </c>
      <c r="P368" t="str">
        <f t="shared" si="23"/>
        <v>Basic</v>
      </c>
    </row>
    <row r="369" spans="1:16" x14ac:dyDescent="0.3">
      <c r="A369" s="2" t="s">
        <v>413</v>
      </c>
      <c r="B369" s="2" t="s">
        <v>31</v>
      </c>
      <c r="C369" s="3">
        <v>34</v>
      </c>
      <c r="D369" t="s">
        <v>18</v>
      </c>
      <c r="E369" s="2" t="s">
        <v>19</v>
      </c>
      <c r="F369" s="2" t="s">
        <v>38</v>
      </c>
      <c r="G369">
        <v>41</v>
      </c>
      <c r="H369" s="4">
        <v>44037</v>
      </c>
      <c r="I369" s="2" t="s">
        <v>29</v>
      </c>
      <c r="J369" s="2" t="s">
        <v>22</v>
      </c>
      <c r="M369" t="str">
        <f t="shared" si="20"/>
        <v>Female</v>
      </c>
      <c r="N369" t="str">
        <f t="shared" si="21"/>
        <v>Delhi</v>
      </c>
      <c r="O369" t="str">
        <f t="shared" si="22"/>
        <v>English</v>
      </c>
      <c r="P369" t="str">
        <f t="shared" si="23"/>
        <v>Premium</v>
      </c>
    </row>
    <row r="370" spans="1:16" x14ac:dyDescent="0.3">
      <c r="A370" s="2" t="s">
        <v>414</v>
      </c>
      <c r="B370" s="2" t="s">
        <v>11</v>
      </c>
      <c r="C370" s="3">
        <v>37</v>
      </c>
      <c r="D370" t="s">
        <v>12</v>
      </c>
      <c r="E370" s="2" t="s">
        <v>13</v>
      </c>
      <c r="F370" s="2" t="s">
        <v>54</v>
      </c>
      <c r="G370">
        <v>46</v>
      </c>
      <c r="H370" s="4">
        <v>43909</v>
      </c>
      <c r="I370" s="2" t="s">
        <v>39</v>
      </c>
      <c r="J370" s="2" t="s">
        <v>27</v>
      </c>
      <c r="M370" t="str">
        <f t="shared" si="20"/>
        <v>Male</v>
      </c>
      <c r="N370" t="str">
        <f t="shared" si="21"/>
        <v>Bangalore</v>
      </c>
      <c r="O370" t="str">
        <f t="shared" si="22"/>
        <v>Tamil</v>
      </c>
      <c r="P370" t="str">
        <f t="shared" si="23"/>
        <v>Standard</v>
      </c>
    </row>
    <row r="371" spans="1:16" x14ac:dyDescent="0.3">
      <c r="A371" s="2" t="s">
        <v>415</v>
      </c>
      <c r="B371" s="2" t="s">
        <v>61</v>
      </c>
      <c r="C371" s="3">
        <v>28</v>
      </c>
      <c r="D371" t="s">
        <v>18</v>
      </c>
      <c r="E371" s="2" t="s">
        <v>13</v>
      </c>
      <c r="F371" s="2" t="s">
        <v>56</v>
      </c>
      <c r="G371">
        <v>7</v>
      </c>
      <c r="H371" s="4">
        <v>45080</v>
      </c>
      <c r="I371" s="2" t="s">
        <v>47</v>
      </c>
      <c r="J371" s="2" t="s">
        <v>27</v>
      </c>
      <c r="M371" t="str">
        <f t="shared" si="20"/>
        <v>Male</v>
      </c>
      <c r="N371" t="str">
        <f t="shared" si="21"/>
        <v>Hyderabad</v>
      </c>
      <c r="O371" t="str">
        <f t="shared" si="22"/>
        <v>Hindi</v>
      </c>
      <c r="P371" t="str">
        <f t="shared" si="23"/>
        <v>Standard</v>
      </c>
    </row>
    <row r="372" spans="1:16" x14ac:dyDescent="0.3">
      <c r="A372" s="2" t="s">
        <v>416</v>
      </c>
      <c r="B372" s="2" t="s">
        <v>31</v>
      </c>
      <c r="C372" s="3">
        <v>22</v>
      </c>
      <c r="D372" t="s">
        <v>32</v>
      </c>
      <c r="E372" s="2" t="s">
        <v>13</v>
      </c>
      <c r="F372" s="2" t="s">
        <v>25</v>
      </c>
      <c r="G372">
        <v>17</v>
      </c>
      <c r="H372" s="4">
        <v>44781</v>
      </c>
      <c r="I372" s="2" t="s">
        <v>49</v>
      </c>
      <c r="J372" s="2" t="s">
        <v>22</v>
      </c>
      <c r="M372" t="str">
        <f t="shared" si="20"/>
        <v>Male</v>
      </c>
      <c r="N372" t="str">
        <f t="shared" si="21"/>
        <v>Mumbai</v>
      </c>
      <c r="O372" t="str">
        <f t="shared" si="22"/>
        <v>Kannada</v>
      </c>
      <c r="P372" t="str">
        <f t="shared" si="23"/>
        <v>Premium</v>
      </c>
    </row>
    <row r="373" spans="1:16" x14ac:dyDescent="0.3">
      <c r="A373" s="2" t="s">
        <v>417</v>
      </c>
      <c r="B373" s="2" t="s">
        <v>61</v>
      </c>
      <c r="C373" s="3">
        <v>45</v>
      </c>
      <c r="D373" t="s">
        <v>46</v>
      </c>
      <c r="E373" s="2" t="s">
        <v>19</v>
      </c>
      <c r="F373" s="2" t="s">
        <v>54</v>
      </c>
      <c r="G373">
        <v>20</v>
      </c>
      <c r="H373" s="4">
        <v>44672</v>
      </c>
      <c r="I373" s="2" t="s">
        <v>39</v>
      </c>
      <c r="J373" s="2" t="s">
        <v>16</v>
      </c>
      <c r="M373" t="str">
        <f t="shared" si="20"/>
        <v>Female</v>
      </c>
      <c r="N373" t="str">
        <f t="shared" si="21"/>
        <v>Bangalore</v>
      </c>
      <c r="O373" t="str">
        <f t="shared" si="22"/>
        <v>Tamil</v>
      </c>
      <c r="P373" t="str">
        <f t="shared" si="23"/>
        <v>Basic</v>
      </c>
    </row>
    <row r="374" spans="1:16" x14ac:dyDescent="0.3">
      <c r="A374" s="2" t="s">
        <v>418</v>
      </c>
      <c r="B374" s="2" t="s">
        <v>24</v>
      </c>
      <c r="C374" s="3">
        <v>35</v>
      </c>
      <c r="D374" t="s">
        <v>12</v>
      </c>
      <c r="E374" s="2" t="s">
        <v>19</v>
      </c>
      <c r="F374" s="2" t="s">
        <v>88</v>
      </c>
      <c r="G374">
        <v>30</v>
      </c>
      <c r="H374" s="4">
        <v>44391</v>
      </c>
      <c r="I374" s="2" t="s">
        <v>39</v>
      </c>
      <c r="J374" s="2" t="s">
        <v>27</v>
      </c>
      <c r="M374" t="str">
        <f t="shared" si="20"/>
        <v>Female</v>
      </c>
      <c r="N374" t="str">
        <f t="shared" si="21"/>
        <v>Lucknow</v>
      </c>
      <c r="O374" t="str">
        <f t="shared" si="22"/>
        <v>Tamil</v>
      </c>
      <c r="P374" t="str">
        <f t="shared" si="23"/>
        <v>Standard</v>
      </c>
    </row>
    <row r="375" spans="1:16" x14ac:dyDescent="0.3">
      <c r="A375" s="2" t="s">
        <v>419</v>
      </c>
      <c r="B375" s="2" t="s">
        <v>24</v>
      </c>
      <c r="C375" s="3">
        <v>36</v>
      </c>
      <c r="D375" t="s">
        <v>12</v>
      </c>
      <c r="E375" s="2" t="s">
        <v>19</v>
      </c>
      <c r="F375" s="2" t="s">
        <v>56</v>
      </c>
      <c r="G375">
        <v>3</v>
      </c>
      <c r="H375" s="4">
        <v>45194</v>
      </c>
      <c r="I375" s="2" t="s">
        <v>47</v>
      </c>
      <c r="J375" s="2" t="s">
        <v>27</v>
      </c>
      <c r="M375" t="str">
        <f t="shared" si="20"/>
        <v>Female</v>
      </c>
      <c r="N375" t="str">
        <f t="shared" si="21"/>
        <v>Hyderabad</v>
      </c>
      <c r="O375" t="str">
        <f t="shared" si="22"/>
        <v>Hindi</v>
      </c>
      <c r="P375" t="str">
        <f t="shared" si="23"/>
        <v>Standard</v>
      </c>
    </row>
    <row r="376" spans="1:16" x14ac:dyDescent="0.3">
      <c r="A376" s="2" t="s">
        <v>420</v>
      </c>
      <c r="B376" s="2" t="s">
        <v>24</v>
      </c>
      <c r="C376" s="3">
        <v>39</v>
      </c>
      <c r="D376" t="s">
        <v>12</v>
      </c>
      <c r="E376" s="2" t="s">
        <v>13</v>
      </c>
      <c r="F376" s="2" t="s">
        <v>88</v>
      </c>
      <c r="G376">
        <v>7</v>
      </c>
      <c r="H376" s="4">
        <v>45081</v>
      </c>
      <c r="I376" s="2" t="s">
        <v>15</v>
      </c>
      <c r="J376" s="2" t="s">
        <v>27</v>
      </c>
      <c r="M376" t="str">
        <f t="shared" si="20"/>
        <v>Male</v>
      </c>
      <c r="N376" t="str">
        <f t="shared" si="21"/>
        <v>Lucknow</v>
      </c>
      <c r="O376" t="str">
        <f t="shared" si="22"/>
        <v>Telugu</v>
      </c>
      <c r="P376" t="str">
        <f t="shared" si="23"/>
        <v>Standard</v>
      </c>
    </row>
    <row r="377" spans="1:16" x14ac:dyDescent="0.3">
      <c r="A377" s="2" t="s">
        <v>421</v>
      </c>
      <c r="B377" s="2" t="s">
        <v>31</v>
      </c>
      <c r="C377" s="3">
        <v>18</v>
      </c>
      <c r="D377" t="s">
        <v>32</v>
      </c>
      <c r="E377" s="2" t="s">
        <v>13</v>
      </c>
      <c r="F377" s="2" t="s">
        <v>36</v>
      </c>
      <c r="G377">
        <v>40</v>
      </c>
      <c r="H377" s="4">
        <v>44087</v>
      </c>
      <c r="I377" s="2" t="s">
        <v>34</v>
      </c>
      <c r="J377" s="2" t="s">
        <v>27</v>
      </c>
      <c r="M377" t="str">
        <f t="shared" si="20"/>
        <v>Male</v>
      </c>
      <c r="N377" t="str">
        <f t="shared" si="21"/>
        <v>Ahmedabad</v>
      </c>
      <c r="O377" t="str">
        <f t="shared" si="22"/>
        <v>Marathi</v>
      </c>
      <c r="P377" t="str">
        <f t="shared" si="23"/>
        <v>Standard</v>
      </c>
    </row>
    <row r="378" spans="1:16" x14ac:dyDescent="0.3">
      <c r="A378" s="2" t="s">
        <v>422</v>
      </c>
      <c r="B378" s="2" t="s">
        <v>24</v>
      </c>
      <c r="C378" s="3">
        <v>37</v>
      </c>
      <c r="D378" t="s">
        <v>12</v>
      </c>
      <c r="E378" s="2" t="s">
        <v>13</v>
      </c>
      <c r="F378" s="2" t="s">
        <v>25</v>
      </c>
      <c r="G378">
        <v>45</v>
      </c>
      <c r="H378" s="4">
        <v>43918</v>
      </c>
      <c r="I378" s="2" t="s">
        <v>21</v>
      </c>
      <c r="J378" s="2" t="s">
        <v>22</v>
      </c>
      <c r="M378" t="str">
        <f t="shared" si="20"/>
        <v>Male</v>
      </c>
      <c r="N378" t="str">
        <f t="shared" si="21"/>
        <v>Mumbai</v>
      </c>
      <c r="O378" t="str">
        <f t="shared" si="22"/>
        <v>Bengali</v>
      </c>
      <c r="P378" t="str">
        <f t="shared" si="23"/>
        <v>Premium</v>
      </c>
    </row>
    <row r="379" spans="1:16" x14ac:dyDescent="0.3">
      <c r="A379" s="2" t="s">
        <v>423</v>
      </c>
      <c r="B379" s="2" t="s">
        <v>31</v>
      </c>
      <c r="C379" s="3">
        <v>34</v>
      </c>
      <c r="D379" t="s">
        <v>18</v>
      </c>
      <c r="E379" s="2" t="s">
        <v>19</v>
      </c>
      <c r="F379" s="2" t="s">
        <v>88</v>
      </c>
      <c r="G379">
        <v>12</v>
      </c>
      <c r="H379" s="4">
        <v>44905</v>
      </c>
      <c r="I379" s="2" t="s">
        <v>39</v>
      </c>
      <c r="J379" s="2" t="s">
        <v>22</v>
      </c>
      <c r="M379" t="str">
        <f t="shared" si="20"/>
        <v>Female</v>
      </c>
      <c r="N379" t="str">
        <f t="shared" si="21"/>
        <v>Lucknow</v>
      </c>
      <c r="O379" t="str">
        <f t="shared" si="22"/>
        <v>Tamil</v>
      </c>
      <c r="P379" t="str">
        <f t="shared" si="23"/>
        <v>Premium</v>
      </c>
    </row>
    <row r="380" spans="1:16" x14ac:dyDescent="0.3">
      <c r="A380" s="2" t="s">
        <v>424</v>
      </c>
      <c r="B380" s="2" t="s">
        <v>31</v>
      </c>
      <c r="C380" s="3">
        <v>33</v>
      </c>
      <c r="D380" t="s">
        <v>18</v>
      </c>
      <c r="E380" s="2" t="s">
        <v>19</v>
      </c>
      <c r="F380" s="2" t="s">
        <v>54</v>
      </c>
      <c r="G380">
        <v>58</v>
      </c>
      <c r="H380" s="4">
        <v>43547</v>
      </c>
      <c r="I380" s="2" t="s">
        <v>26</v>
      </c>
      <c r="J380" s="2" t="s">
        <v>22</v>
      </c>
      <c r="M380" t="str">
        <f t="shared" si="20"/>
        <v>Female</v>
      </c>
      <c r="N380" t="str">
        <f t="shared" si="21"/>
        <v>Bangalore</v>
      </c>
      <c r="O380" t="str">
        <f t="shared" si="22"/>
        <v>Malayalam</v>
      </c>
      <c r="P380" t="str">
        <f t="shared" si="23"/>
        <v>Premium</v>
      </c>
    </row>
    <row r="381" spans="1:16" x14ac:dyDescent="0.3">
      <c r="A381" s="2" t="s">
        <v>425</v>
      </c>
      <c r="B381" s="2" t="s">
        <v>42</v>
      </c>
      <c r="C381" s="3">
        <v>44</v>
      </c>
      <c r="D381" t="s">
        <v>12</v>
      </c>
      <c r="E381" s="2" t="s">
        <v>13</v>
      </c>
      <c r="F381" s="2" t="s">
        <v>54</v>
      </c>
      <c r="G381">
        <v>32</v>
      </c>
      <c r="H381" s="4">
        <v>44312</v>
      </c>
      <c r="I381" s="2" t="s">
        <v>49</v>
      </c>
      <c r="J381" s="2" t="s">
        <v>27</v>
      </c>
      <c r="M381" t="str">
        <f t="shared" si="20"/>
        <v>Male</v>
      </c>
      <c r="N381" t="str">
        <f t="shared" si="21"/>
        <v>Bangalore</v>
      </c>
      <c r="O381" t="str">
        <f t="shared" si="22"/>
        <v>Kannada</v>
      </c>
      <c r="P381" t="str">
        <f t="shared" si="23"/>
        <v>Standard</v>
      </c>
    </row>
    <row r="382" spans="1:16" x14ac:dyDescent="0.3">
      <c r="A382" s="2" t="s">
        <v>426</v>
      </c>
      <c r="B382" s="2" t="s">
        <v>31</v>
      </c>
      <c r="C382" s="3">
        <v>36</v>
      </c>
      <c r="D382" t="s">
        <v>12</v>
      </c>
      <c r="E382" s="2" t="s">
        <v>19</v>
      </c>
      <c r="F382" s="2" t="s">
        <v>36</v>
      </c>
      <c r="G382">
        <v>27</v>
      </c>
      <c r="H382" s="4">
        <v>44480</v>
      </c>
      <c r="I382" s="2" t="s">
        <v>34</v>
      </c>
      <c r="J382" s="2" t="s">
        <v>65</v>
      </c>
      <c r="M382" t="str">
        <f t="shared" si="20"/>
        <v>Female</v>
      </c>
      <c r="N382" t="str">
        <f t="shared" si="21"/>
        <v>Ahmedabad</v>
      </c>
      <c r="O382" t="str">
        <f t="shared" si="22"/>
        <v>Marathi</v>
      </c>
      <c r="P382" t="str">
        <f t="shared" si="23"/>
        <v>Family</v>
      </c>
    </row>
    <row r="383" spans="1:16" x14ac:dyDescent="0.3">
      <c r="A383" s="2" t="s">
        <v>427</v>
      </c>
      <c r="B383" s="2" t="s">
        <v>31</v>
      </c>
      <c r="C383" s="3">
        <v>37</v>
      </c>
      <c r="D383" t="s">
        <v>12</v>
      </c>
      <c r="E383" s="2" t="s">
        <v>19</v>
      </c>
      <c r="F383" s="2" t="s">
        <v>14</v>
      </c>
      <c r="G383">
        <v>45</v>
      </c>
      <c r="H383" s="4">
        <v>43922</v>
      </c>
      <c r="I383" s="2" t="s">
        <v>49</v>
      </c>
      <c r="J383" s="2" t="s">
        <v>27</v>
      </c>
      <c r="M383" t="str">
        <f t="shared" si="20"/>
        <v>Female</v>
      </c>
      <c r="N383" t="str">
        <f t="shared" si="21"/>
        <v>Kolkata</v>
      </c>
      <c r="O383" t="str">
        <f t="shared" si="22"/>
        <v>Kannada</v>
      </c>
      <c r="P383" t="str">
        <f t="shared" si="23"/>
        <v>Standard</v>
      </c>
    </row>
    <row r="384" spans="1:16" x14ac:dyDescent="0.3">
      <c r="A384" s="2" t="s">
        <v>428</v>
      </c>
      <c r="B384" s="2" t="s">
        <v>31</v>
      </c>
      <c r="C384" s="3">
        <v>47</v>
      </c>
      <c r="D384" t="s">
        <v>46</v>
      </c>
      <c r="E384" s="2" t="s">
        <v>13</v>
      </c>
      <c r="F384" s="2" t="s">
        <v>33</v>
      </c>
      <c r="G384">
        <v>8</v>
      </c>
      <c r="H384" s="4">
        <v>45050</v>
      </c>
      <c r="I384" s="2" t="s">
        <v>26</v>
      </c>
      <c r="J384" s="2" t="s">
        <v>27</v>
      </c>
      <c r="M384" t="str">
        <f t="shared" si="20"/>
        <v>Male</v>
      </c>
      <c r="N384" t="str">
        <f t="shared" si="21"/>
        <v>Jaipur</v>
      </c>
      <c r="O384" t="str">
        <f t="shared" si="22"/>
        <v>Malayalam</v>
      </c>
      <c r="P384" t="str">
        <f t="shared" si="23"/>
        <v>Standard</v>
      </c>
    </row>
    <row r="385" spans="1:16" x14ac:dyDescent="0.3">
      <c r="A385" s="2" t="s">
        <v>429</v>
      </c>
      <c r="B385" s="2" t="s">
        <v>11</v>
      </c>
      <c r="C385" s="3">
        <v>29</v>
      </c>
      <c r="D385" t="s">
        <v>18</v>
      </c>
      <c r="E385" s="2" t="s">
        <v>19</v>
      </c>
      <c r="F385" s="2" t="s">
        <v>38</v>
      </c>
      <c r="G385">
        <v>6</v>
      </c>
      <c r="H385" s="4">
        <v>45086</v>
      </c>
      <c r="I385" s="2" t="s">
        <v>39</v>
      </c>
      <c r="J385" s="2" t="s">
        <v>27</v>
      </c>
      <c r="M385" t="str">
        <f t="shared" si="20"/>
        <v>Female</v>
      </c>
      <c r="N385" t="str">
        <f t="shared" si="21"/>
        <v>Delhi</v>
      </c>
      <c r="O385" t="str">
        <f t="shared" si="22"/>
        <v>Tamil</v>
      </c>
      <c r="P385" t="str">
        <f t="shared" si="23"/>
        <v>Standard</v>
      </c>
    </row>
    <row r="386" spans="1:16" x14ac:dyDescent="0.3">
      <c r="A386" s="2" t="s">
        <v>430</v>
      </c>
      <c r="B386" s="2" t="s">
        <v>11</v>
      </c>
      <c r="C386" s="3">
        <v>18</v>
      </c>
      <c r="D386" t="s">
        <v>32</v>
      </c>
      <c r="E386" s="2" t="s">
        <v>19</v>
      </c>
      <c r="F386" s="2" t="s">
        <v>14</v>
      </c>
      <c r="G386">
        <v>53</v>
      </c>
      <c r="H386" s="4">
        <v>43687</v>
      </c>
      <c r="I386" s="2" t="s">
        <v>49</v>
      </c>
      <c r="J386" s="2" t="s">
        <v>22</v>
      </c>
      <c r="M386" t="str">
        <f t="shared" si="20"/>
        <v>Female</v>
      </c>
      <c r="N386" t="str">
        <f t="shared" si="21"/>
        <v>Kolkata</v>
      </c>
      <c r="O386" t="str">
        <f t="shared" si="22"/>
        <v>Kannada</v>
      </c>
      <c r="P386" t="str">
        <f t="shared" si="23"/>
        <v>Premium</v>
      </c>
    </row>
    <row r="387" spans="1:16" x14ac:dyDescent="0.3">
      <c r="A387" s="2" t="s">
        <v>431</v>
      </c>
      <c r="B387" s="2" t="s">
        <v>31</v>
      </c>
      <c r="C387" s="3">
        <v>26</v>
      </c>
      <c r="D387" t="s">
        <v>18</v>
      </c>
      <c r="E387" s="2" t="s">
        <v>13</v>
      </c>
      <c r="F387" s="2" t="s">
        <v>36</v>
      </c>
      <c r="G387">
        <v>14</v>
      </c>
      <c r="H387" s="4">
        <v>44852</v>
      </c>
      <c r="I387" s="2" t="s">
        <v>49</v>
      </c>
      <c r="J387" s="2" t="s">
        <v>16</v>
      </c>
      <c r="M387" t="str">
        <f t="shared" ref="M387:M450" si="24">TRIM(E387)</f>
        <v>Male</v>
      </c>
      <c r="N387" t="str">
        <f t="shared" ref="N387:N450" si="25">TRIM(F387)</f>
        <v>Ahmedabad</v>
      </c>
      <c r="O387" t="str">
        <f t="shared" ref="O387:O450" si="26">TRIM(I387)</f>
        <v>Kannada</v>
      </c>
      <c r="P387" t="str">
        <f t="shared" ref="P387:P450" si="27">TRIM(J387)</f>
        <v>Basic</v>
      </c>
    </row>
    <row r="388" spans="1:16" x14ac:dyDescent="0.3">
      <c r="A388" s="2" t="s">
        <v>432</v>
      </c>
      <c r="B388" s="2" t="s">
        <v>11</v>
      </c>
      <c r="C388" s="3">
        <v>24</v>
      </c>
      <c r="D388" t="s">
        <v>32</v>
      </c>
      <c r="E388" s="2" t="s">
        <v>13</v>
      </c>
      <c r="F388" s="2" t="s">
        <v>36</v>
      </c>
      <c r="G388">
        <v>2</v>
      </c>
      <c r="H388" s="4">
        <v>45224</v>
      </c>
      <c r="I388" s="2" t="s">
        <v>26</v>
      </c>
      <c r="J388" s="2" t="s">
        <v>16</v>
      </c>
      <c r="M388" t="str">
        <f t="shared" si="24"/>
        <v>Male</v>
      </c>
      <c r="N388" t="str">
        <f t="shared" si="25"/>
        <v>Ahmedabad</v>
      </c>
      <c r="O388" t="str">
        <f t="shared" si="26"/>
        <v>Malayalam</v>
      </c>
      <c r="P388" t="str">
        <f t="shared" si="27"/>
        <v>Basic</v>
      </c>
    </row>
    <row r="389" spans="1:16" x14ac:dyDescent="0.3">
      <c r="A389" s="2" t="s">
        <v>433</v>
      </c>
      <c r="B389" s="2" t="s">
        <v>24</v>
      </c>
      <c r="C389" s="3">
        <v>20</v>
      </c>
      <c r="D389" t="s">
        <v>32</v>
      </c>
      <c r="E389" s="2" t="s">
        <v>13</v>
      </c>
      <c r="F389" s="2" t="s">
        <v>38</v>
      </c>
      <c r="G389">
        <v>37</v>
      </c>
      <c r="H389" s="4">
        <v>44156</v>
      </c>
      <c r="I389" s="2" t="s">
        <v>15</v>
      </c>
      <c r="J389" s="2" t="s">
        <v>16</v>
      </c>
      <c r="M389" t="str">
        <f t="shared" si="24"/>
        <v>Male</v>
      </c>
      <c r="N389" t="str">
        <f t="shared" si="25"/>
        <v>Delhi</v>
      </c>
      <c r="O389" t="str">
        <f t="shared" si="26"/>
        <v>Telugu</v>
      </c>
      <c r="P389" t="str">
        <f t="shared" si="27"/>
        <v>Basic</v>
      </c>
    </row>
    <row r="390" spans="1:16" x14ac:dyDescent="0.3">
      <c r="A390" s="2" t="s">
        <v>434</v>
      </c>
      <c r="B390" s="2" t="s">
        <v>11</v>
      </c>
      <c r="C390" s="3">
        <v>20</v>
      </c>
      <c r="D390" t="s">
        <v>32</v>
      </c>
      <c r="E390" s="2" t="s">
        <v>13</v>
      </c>
      <c r="F390" s="2" t="s">
        <v>56</v>
      </c>
      <c r="G390">
        <v>6</v>
      </c>
      <c r="H390" s="4">
        <v>45098</v>
      </c>
      <c r="I390" s="2" t="s">
        <v>26</v>
      </c>
      <c r="J390" s="2" t="s">
        <v>22</v>
      </c>
      <c r="M390" t="str">
        <f t="shared" si="24"/>
        <v>Male</v>
      </c>
      <c r="N390" t="str">
        <f t="shared" si="25"/>
        <v>Hyderabad</v>
      </c>
      <c r="O390" t="str">
        <f t="shared" si="26"/>
        <v>Malayalam</v>
      </c>
      <c r="P390" t="str">
        <f t="shared" si="27"/>
        <v>Premium</v>
      </c>
    </row>
    <row r="391" spans="1:16" x14ac:dyDescent="0.3">
      <c r="A391" s="2" t="s">
        <v>435</v>
      </c>
      <c r="B391" s="2" t="s">
        <v>24</v>
      </c>
      <c r="C391" s="3">
        <v>36</v>
      </c>
      <c r="D391" t="s">
        <v>12</v>
      </c>
      <c r="E391" s="2" t="s">
        <v>13</v>
      </c>
      <c r="F391" s="2" t="s">
        <v>36</v>
      </c>
      <c r="G391">
        <v>51</v>
      </c>
      <c r="H391" s="4">
        <v>43757</v>
      </c>
      <c r="I391" s="2" t="s">
        <v>15</v>
      </c>
      <c r="J391" s="2" t="s">
        <v>16</v>
      </c>
      <c r="M391" t="str">
        <f t="shared" si="24"/>
        <v>Male</v>
      </c>
      <c r="N391" t="str">
        <f t="shared" si="25"/>
        <v>Ahmedabad</v>
      </c>
      <c r="O391" t="str">
        <f t="shared" si="26"/>
        <v>Telugu</v>
      </c>
      <c r="P391" t="str">
        <f t="shared" si="27"/>
        <v>Basic</v>
      </c>
    </row>
    <row r="392" spans="1:16" x14ac:dyDescent="0.3">
      <c r="A392" s="2" t="s">
        <v>436</v>
      </c>
      <c r="B392" s="2" t="s">
        <v>42</v>
      </c>
      <c r="C392" s="3">
        <v>38</v>
      </c>
      <c r="D392" t="s">
        <v>12</v>
      </c>
      <c r="E392" s="2" t="s">
        <v>19</v>
      </c>
      <c r="F392" s="2" t="s">
        <v>25</v>
      </c>
      <c r="G392">
        <v>3</v>
      </c>
      <c r="H392" s="4">
        <v>45187</v>
      </c>
      <c r="I392" s="2" t="s">
        <v>34</v>
      </c>
      <c r="J392" s="2" t="s">
        <v>16</v>
      </c>
      <c r="M392" t="str">
        <f t="shared" si="24"/>
        <v>Female</v>
      </c>
      <c r="N392" t="str">
        <f t="shared" si="25"/>
        <v>Mumbai</v>
      </c>
      <c r="O392" t="str">
        <f t="shared" si="26"/>
        <v>Marathi</v>
      </c>
      <c r="P392" t="str">
        <f t="shared" si="27"/>
        <v>Basic</v>
      </c>
    </row>
    <row r="393" spans="1:16" x14ac:dyDescent="0.3">
      <c r="A393" s="2" t="s">
        <v>437</v>
      </c>
      <c r="B393" s="2" t="s">
        <v>11</v>
      </c>
      <c r="C393" s="3">
        <v>33</v>
      </c>
      <c r="D393" t="s">
        <v>18</v>
      </c>
      <c r="E393" s="2" t="s">
        <v>13</v>
      </c>
      <c r="F393" s="2" t="s">
        <v>38</v>
      </c>
      <c r="G393">
        <v>3</v>
      </c>
      <c r="H393" s="4">
        <v>45187</v>
      </c>
      <c r="I393" s="2" t="s">
        <v>39</v>
      </c>
      <c r="J393" s="2" t="s">
        <v>27</v>
      </c>
      <c r="M393" t="str">
        <f t="shared" si="24"/>
        <v>Male</v>
      </c>
      <c r="N393" t="str">
        <f t="shared" si="25"/>
        <v>Delhi</v>
      </c>
      <c r="O393" t="str">
        <f t="shared" si="26"/>
        <v>Tamil</v>
      </c>
      <c r="P393" t="str">
        <f t="shared" si="27"/>
        <v>Standard</v>
      </c>
    </row>
    <row r="394" spans="1:16" x14ac:dyDescent="0.3">
      <c r="A394" s="2" t="s">
        <v>438</v>
      </c>
      <c r="B394" s="2" t="s">
        <v>42</v>
      </c>
      <c r="C394" s="3">
        <v>33</v>
      </c>
      <c r="D394" t="s">
        <v>18</v>
      </c>
      <c r="E394" s="2" t="s">
        <v>13</v>
      </c>
      <c r="F394" s="2" t="s">
        <v>54</v>
      </c>
      <c r="G394">
        <v>58</v>
      </c>
      <c r="H394" s="4">
        <v>43552</v>
      </c>
      <c r="I394" s="2" t="s">
        <v>29</v>
      </c>
      <c r="J394" s="2" t="s">
        <v>22</v>
      </c>
      <c r="M394" t="str">
        <f t="shared" si="24"/>
        <v>Male</v>
      </c>
      <c r="N394" t="str">
        <f t="shared" si="25"/>
        <v>Bangalore</v>
      </c>
      <c r="O394" t="str">
        <f t="shared" si="26"/>
        <v>English</v>
      </c>
      <c r="P394" t="str">
        <f t="shared" si="27"/>
        <v>Premium</v>
      </c>
    </row>
    <row r="395" spans="1:16" x14ac:dyDescent="0.3">
      <c r="A395" s="2" t="s">
        <v>439</v>
      </c>
      <c r="B395" s="2" t="s">
        <v>24</v>
      </c>
      <c r="C395" s="3">
        <v>34</v>
      </c>
      <c r="D395" t="s">
        <v>18</v>
      </c>
      <c r="E395" s="2" t="s">
        <v>13</v>
      </c>
      <c r="F395" s="2" t="s">
        <v>88</v>
      </c>
      <c r="G395">
        <v>38</v>
      </c>
      <c r="H395" s="4">
        <v>44145</v>
      </c>
      <c r="I395" s="2" t="s">
        <v>39</v>
      </c>
      <c r="J395" s="2" t="s">
        <v>27</v>
      </c>
      <c r="M395" t="str">
        <f t="shared" si="24"/>
        <v>Male</v>
      </c>
      <c r="N395" t="str">
        <f t="shared" si="25"/>
        <v>Lucknow</v>
      </c>
      <c r="O395" t="str">
        <f t="shared" si="26"/>
        <v>Tamil</v>
      </c>
      <c r="P395" t="str">
        <f t="shared" si="27"/>
        <v>Standard</v>
      </c>
    </row>
    <row r="396" spans="1:16" x14ac:dyDescent="0.3">
      <c r="A396" s="2" t="s">
        <v>440</v>
      </c>
      <c r="B396" s="2" t="s">
        <v>11</v>
      </c>
      <c r="C396" s="3">
        <v>18</v>
      </c>
      <c r="D396" t="s">
        <v>32</v>
      </c>
      <c r="E396" s="2" t="s">
        <v>13</v>
      </c>
      <c r="F396" s="2" t="s">
        <v>88</v>
      </c>
      <c r="G396">
        <v>3</v>
      </c>
      <c r="H396" s="4">
        <v>45179</v>
      </c>
      <c r="I396" s="2" t="s">
        <v>39</v>
      </c>
      <c r="J396" s="2" t="s">
        <v>16</v>
      </c>
      <c r="M396" t="str">
        <f t="shared" si="24"/>
        <v>Male</v>
      </c>
      <c r="N396" t="str">
        <f t="shared" si="25"/>
        <v>Lucknow</v>
      </c>
      <c r="O396" t="str">
        <f t="shared" si="26"/>
        <v>Tamil</v>
      </c>
      <c r="P396" t="str">
        <f t="shared" si="27"/>
        <v>Basic</v>
      </c>
    </row>
    <row r="397" spans="1:16" x14ac:dyDescent="0.3">
      <c r="A397" s="2" t="s">
        <v>441</v>
      </c>
      <c r="B397" s="2" t="s">
        <v>11</v>
      </c>
      <c r="C397" s="3">
        <v>49</v>
      </c>
      <c r="D397" t="s">
        <v>46</v>
      </c>
      <c r="E397" s="2" t="s">
        <v>13</v>
      </c>
      <c r="F397" s="2" t="s">
        <v>36</v>
      </c>
      <c r="G397">
        <v>48</v>
      </c>
      <c r="H397" s="4">
        <v>43845</v>
      </c>
      <c r="I397" s="2" t="s">
        <v>39</v>
      </c>
      <c r="J397" s="2" t="s">
        <v>16</v>
      </c>
      <c r="M397" t="str">
        <f t="shared" si="24"/>
        <v>Male</v>
      </c>
      <c r="N397" t="str">
        <f t="shared" si="25"/>
        <v>Ahmedabad</v>
      </c>
      <c r="O397" t="str">
        <f t="shared" si="26"/>
        <v>Tamil</v>
      </c>
      <c r="P397" t="str">
        <f t="shared" si="27"/>
        <v>Basic</v>
      </c>
    </row>
    <row r="398" spans="1:16" x14ac:dyDescent="0.3">
      <c r="A398" s="2" t="s">
        <v>442</v>
      </c>
      <c r="B398" s="2" t="s">
        <v>31</v>
      </c>
      <c r="C398" s="3">
        <v>18</v>
      </c>
      <c r="D398" t="s">
        <v>32</v>
      </c>
      <c r="E398" s="2" t="s">
        <v>19</v>
      </c>
      <c r="F398" s="2" t="s">
        <v>14</v>
      </c>
      <c r="G398">
        <v>24</v>
      </c>
      <c r="H398" s="4">
        <v>44550</v>
      </c>
      <c r="I398" s="2" t="s">
        <v>49</v>
      </c>
      <c r="J398" s="2" t="s">
        <v>16</v>
      </c>
      <c r="M398" t="str">
        <f t="shared" si="24"/>
        <v>Female</v>
      </c>
      <c r="N398" t="str">
        <f t="shared" si="25"/>
        <v>Kolkata</v>
      </c>
      <c r="O398" t="str">
        <f t="shared" si="26"/>
        <v>Kannada</v>
      </c>
      <c r="P398" t="str">
        <f t="shared" si="27"/>
        <v>Basic</v>
      </c>
    </row>
    <row r="399" spans="1:16" x14ac:dyDescent="0.3">
      <c r="A399" s="2" t="s">
        <v>443</v>
      </c>
      <c r="B399" s="2" t="s">
        <v>31</v>
      </c>
      <c r="C399" s="3">
        <v>21</v>
      </c>
      <c r="D399" t="s">
        <v>32</v>
      </c>
      <c r="E399" s="2" t="s">
        <v>13</v>
      </c>
      <c r="F399" s="2" t="s">
        <v>38</v>
      </c>
      <c r="G399">
        <v>55</v>
      </c>
      <c r="H399" s="4">
        <v>43631</v>
      </c>
      <c r="I399" s="2" t="s">
        <v>39</v>
      </c>
      <c r="J399" s="2" t="s">
        <v>22</v>
      </c>
      <c r="M399" t="str">
        <f t="shared" si="24"/>
        <v>Male</v>
      </c>
      <c r="N399" t="str">
        <f t="shared" si="25"/>
        <v>Delhi</v>
      </c>
      <c r="O399" t="str">
        <f t="shared" si="26"/>
        <v>Tamil</v>
      </c>
      <c r="P399" t="str">
        <f t="shared" si="27"/>
        <v>Premium</v>
      </c>
    </row>
    <row r="400" spans="1:16" x14ac:dyDescent="0.3">
      <c r="A400" s="2" t="s">
        <v>444</v>
      </c>
      <c r="B400" s="2" t="s">
        <v>42</v>
      </c>
      <c r="C400" s="3">
        <v>45</v>
      </c>
      <c r="D400" t="s">
        <v>46</v>
      </c>
      <c r="E400" s="2" t="s">
        <v>19</v>
      </c>
      <c r="F400" s="2" t="s">
        <v>25</v>
      </c>
      <c r="G400">
        <v>8</v>
      </c>
      <c r="H400" s="4">
        <v>45049</v>
      </c>
      <c r="I400" s="2" t="s">
        <v>47</v>
      </c>
      <c r="J400" s="2" t="s">
        <v>65</v>
      </c>
      <c r="M400" t="str">
        <f t="shared" si="24"/>
        <v>Female</v>
      </c>
      <c r="N400" t="str">
        <f t="shared" si="25"/>
        <v>Mumbai</v>
      </c>
      <c r="O400" t="str">
        <f t="shared" si="26"/>
        <v>Hindi</v>
      </c>
      <c r="P400" t="str">
        <f t="shared" si="27"/>
        <v>Family</v>
      </c>
    </row>
    <row r="401" spans="1:16" x14ac:dyDescent="0.3">
      <c r="A401" s="2" t="s">
        <v>445</v>
      </c>
      <c r="B401" s="2" t="s">
        <v>24</v>
      </c>
      <c r="C401" s="3">
        <v>40</v>
      </c>
      <c r="D401" t="s">
        <v>12</v>
      </c>
      <c r="E401" s="2" t="s">
        <v>19</v>
      </c>
      <c r="F401" s="2" t="s">
        <v>56</v>
      </c>
      <c r="G401">
        <v>16</v>
      </c>
      <c r="H401" s="4">
        <v>44796</v>
      </c>
      <c r="I401" s="2" t="s">
        <v>29</v>
      </c>
      <c r="J401" s="2" t="s">
        <v>16</v>
      </c>
      <c r="M401" t="str">
        <f t="shared" si="24"/>
        <v>Female</v>
      </c>
      <c r="N401" t="str">
        <f t="shared" si="25"/>
        <v>Hyderabad</v>
      </c>
      <c r="O401" t="str">
        <f t="shared" si="26"/>
        <v>English</v>
      </c>
      <c r="P401" t="str">
        <f t="shared" si="27"/>
        <v>Basic</v>
      </c>
    </row>
    <row r="402" spans="1:16" x14ac:dyDescent="0.3">
      <c r="A402" s="2" t="s">
        <v>446</v>
      </c>
      <c r="B402" s="2" t="s">
        <v>24</v>
      </c>
      <c r="C402" s="3">
        <v>40</v>
      </c>
      <c r="D402" t="s">
        <v>12</v>
      </c>
      <c r="E402" s="2" t="s">
        <v>13</v>
      </c>
      <c r="F402" s="2" t="s">
        <v>54</v>
      </c>
      <c r="G402">
        <v>32</v>
      </c>
      <c r="H402" s="4">
        <v>44325</v>
      </c>
      <c r="I402" s="2" t="s">
        <v>15</v>
      </c>
      <c r="J402" s="2" t="s">
        <v>27</v>
      </c>
      <c r="M402" t="str">
        <f t="shared" si="24"/>
        <v>Male</v>
      </c>
      <c r="N402" t="str">
        <f t="shared" si="25"/>
        <v>Bangalore</v>
      </c>
      <c r="O402" t="str">
        <f t="shared" si="26"/>
        <v>Telugu</v>
      </c>
      <c r="P402" t="str">
        <f t="shared" si="27"/>
        <v>Standard</v>
      </c>
    </row>
    <row r="403" spans="1:16" x14ac:dyDescent="0.3">
      <c r="A403" s="2" t="s">
        <v>447</v>
      </c>
      <c r="B403" s="2" t="s">
        <v>42</v>
      </c>
      <c r="C403" s="3">
        <v>47</v>
      </c>
      <c r="D403" t="s">
        <v>46</v>
      </c>
      <c r="E403" s="2" t="s">
        <v>13</v>
      </c>
      <c r="F403" s="2" t="s">
        <v>14</v>
      </c>
      <c r="G403">
        <v>42</v>
      </c>
      <c r="H403" s="4">
        <v>44026</v>
      </c>
      <c r="I403" s="2" t="s">
        <v>39</v>
      </c>
      <c r="J403" s="2" t="s">
        <v>22</v>
      </c>
      <c r="M403" t="str">
        <f t="shared" si="24"/>
        <v>Male</v>
      </c>
      <c r="N403" t="str">
        <f t="shared" si="25"/>
        <v>Kolkata</v>
      </c>
      <c r="O403" t="str">
        <f t="shared" si="26"/>
        <v>Tamil</v>
      </c>
      <c r="P403" t="str">
        <f t="shared" si="27"/>
        <v>Premium</v>
      </c>
    </row>
    <row r="404" spans="1:16" x14ac:dyDescent="0.3">
      <c r="A404" s="2" t="s">
        <v>448</v>
      </c>
      <c r="B404" s="2" t="s">
        <v>31</v>
      </c>
      <c r="C404" s="3">
        <v>47</v>
      </c>
      <c r="D404" t="s">
        <v>46</v>
      </c>
      <c r="E404" s="2" t="s">
        <v>13</v>
      </c>
      <c r="F404" s="2" t="s">
        <v>36</v>
      </c>
      <c r="G404">
        <v>20</v>
      </c>
      <c r="H404" s="4">
        <v>44691</v>
      </c>
      <c r="I404" s="2" t="s">
        <v>47</v>
      </c>
      <c r="J404" s="2" t="s">
        <v>22</v>
      </c>
      <c r="M404" t="str">
        <f t="shared" si="24"/>
        <v>Male</v>
      </c>
      <c r="N404" t="str">
        <f t="shared" si="25"/>
        <v>Ahmedabad</v>
      </c>
      <c r="O404" t="str">
        <f t="shared" si="26"/>
        <v>Hindi</v>
      </c>
      <c r="P404" t="str">
        <f t="shared" si="27"/>
        <v>Premium</v>
      </c>
    </row>
    <row r="405" spans="1:16" x14ac:dyDescent="0.3">
      <c r="A405" s="2" t="s">
        <v>449</v>
      </c>
      <c r="B405" s="2" t="s">
        <v>24</v>
      </c>
      <c r="C405" s="3">
        <v>43</v>
      </c>
      <c r="D405" t="s">
        <v>12</v>
      </c>
      <c r="E405" s="2" t="s">
        <v>13</v>
      </c>
      <c r="F405" s="2" t="s">
        <v>36</v>
      </c>
      <c r="G405">
        <v>51</v>
      </c>
      <c r="H405" s="4">
        <v>43760</v>
      </c>
      <c r="I405" s="2" t="s">
        <v>62</v>
      </c>
      <c r="J405" s="2" t="s">
        <v>16</v>
      </c>
      <c r="M405" t="str">
        <f t="shared" si="24"/>
        <v>Male</v>
      </c>
      <c r="N405" t="str">
        <f t="shared" si="25"/>
        <v>Ahmedabad</v>
      </c>
      <c r="O405" t="str">
        <f t="shared" si="26"/>
        <v>Gujarati</v>
      </c>
      <c r="P405" t="str">
        <f t="shared" si="27"/>
        <v>Basic</v>
      </c>
    </row>
    <row r="406" spans="1:16" x14ac:dyDescent="0.3">
      <c r="A406" s="2" t="s">
        <v>450</v>
      </c>
      <c r="B406" s="2" t="s">
        <v>24</v>
      </c>
      <c r="C406" s="3">
        <v>25</v>
      </c>
      <c r="D406" t="s">
        <v>18</v>
      </c>
      <c r="E406" s="2" t="s">
        <v>13</v>
      </c>
      <c r="F406" s="2" t="s">
        <v>56</v>
      </c>
      <c r="G406">
        <v>21</v>
      </c>
      <c r="H406" s="4">
        <v>44657</v>
      </c>
      <c r="I406" s="2" t="s">
        <v>15</v>
      </c>
      <c r="J406" s="2" t="s">
        <v>27</v>
      </c>
      <c r="M406" t="str">
        <f t="shared" si="24"/>
        <v>Male</v>
      </c>
      <c r="N406" t="str">
        <f t="shared" si="25"/>
        <v>Hyderabad</v>
      </c>
      <c r="O406" t="str">
        <f t="shared" si="26"/>
        <v>Telugu</v>
      </c>
      <c r="P406" t="str">
        <f t="shared" si="27"/>
        <v>Standard</v>
      </c>
    </row>
    <row r="407" spans="1:16" x14ac:dyDescent="0.3">
      <c r="A407" s="2" t="s">
        <v>451</v>
      </c>
      <c r="B407" s="2" t="s">
        <v>42</v>
      </c>
      <c r="C407" s="3">
        <v>26</v>
      </c>
      <c r="D407" t="s">
        <v>18</v>
      </c>
      <c r="E407" s="2" t="s">
        <v>13</v>
      </c>
      <c r="F407" s="2" t="s">
        <v>56</v>
      </c>
      <c r="G407">
        <v>43</v>
      </c>
      <c r="H407" s="4">
        <v>43979</v>
      </c>
      <c r="I407" s="2" t="s">
        <v>26</v>
      </c>
      <c r="J407" s="2" t="s">
        <v>22</v>
      </c>
      <c r="M407" t="str">
        <f t="shared" si="24"/>
        <v>Male</v>
      </c>
      <c r="N407" t="str">
        <f t="shared" si="25"/>
        <v>Hyderabad</v>
      </c>
      <c r="O407" t="str">
        <f t="shared" si="26"/>
        <v>Malayalam</v>
      </c>
      <c r="P407" t="str">
        <f t="shared" si="27"/>
        <v>Premium</v>
      </c>
    </row>
    <row r="408" spans="1:16" x14ac:dyDescent="0.3">
      <c r="A408" s="2" t="s">
        <v>452</v>
      </c>
      <c r="B408" s="2" t="s">
        <v>11</v>
      </c>
      <c r="C408" s="3">
        <v>33</v>
      </c>
      <c r="D408" t="s">
        <v>18</v>
      </c>
      <c r="E408" s="2" t="s">
        <v>19</v>
      </c>
      <c r="F408" s="2" t="s">
        <v>38</v>
      </c>
      <c r="G408">
        <v>43</v>
      </c>
      <c r="H408" s="4">
        <v>43992</v>
      </c>
      <c r="I408" s="2" t="s">
        <v>34</v>
      </c>
      <c r="J408" s="2" t="s">
        <v>22</v>
      </c>
      <c r="M408" t="str">
        <f t="shared" si="24"/>
        <v>Female</v>
      </c>
      <c r="N408" t="str">
        <f t="shared" si="25"/>
        <v>Delhi</v>
      </c>
      <c r="O408" t="str">
        <f t="shared" si="26"/>
        <v>Marathi</v>
      </c>
      <c r="P408" t="str">
        <f t="shared" si="27"/>
        <v>Premium</v>
      </c>
    </row>
    <row r="409" spans="1:16" x14ac:dyDescent="0.3">
      <c r="A409" s="2" t="s">
        <v>453</v>
      </c>
      <c r="B409" s="2" t="s">
        <v>11</v>
      </c>
      <c r="C409" s="3">
        <v>19</v>
      </c>
      <c r="D409" t="s">
        <v>32</v>
      </c>
      <c r="E409" s="2" t="s">
        <v>19</v>
      </c>
      <c r="F409" s="2" t="s">
        <v>33</v>
      </c>
      <c r="G409">
        <v>49</v>
      </c>
      <c r="H409" s="4">
        <v>43810</v>
      </c>
      <c r="I409" s="2" t="s">
        <v>15</v>
      </c>
      <c r="J409" s="2" t="s">
        <v>16</v>
      </c>
      <c r="M409" t="str">
        <f t="shared" si="24"/>
        <v>Female</v>
      </c>
      <c r="N409" t="str">
        <f t="shared" si="25"/>
        <v>Jaipur</v>
      </c>
      <c r="O409" t="str">
        <f t="shared" si="26"/>
        <v>Telugu</v>
      </c>
      <c r="P409" t="str">
        <f t="shared" si="27"/>
        <v>Basic</v>
      </c>
    </row>
    <row r="410" spans="1:16" x14ac:dyDescent="0.3">
      <c r="A410" s="2" t="s">
        <v>454</v>
      </c>
      <c r="B410" s="2" t="s">
        <v>61</v>
      </c>
      <c r="C410" s="3">
        <v>22</v>
      </c>
      <c r="D410" t="s">
        <v>32</v>
      </c>
      <c r="E410" s="2" t="s">
        <v>19</v>
      </c>
      <c r="F410" s="2" t="s">
        <v>64</v>
      </c>
      <c r="G410">
        <v>19</v>
      </c>
      <c r="H410" s="4">
        <v>44695</v>
      </c>
      <c r="I410" s="2" t="s">
        <v>47</v>
      </c>
      <c r="J410" s="2" t="s">
        <v>16</v>
      </c>
      <c r="M410" t="str">
        <f t="shared" si="24"/>
        <v>Female</v>
      </c>
      <c r="N410" t="str">
        <f t="shared" si="25"/>
        <v>Pune</v>
      </c>
      <c r="O410" t="str">
        <f t="shared" si="26"/>
        <v>Hindi</v>
      </c>
      <c r="P410" t="str">
        <f t="shared" si="27"/>
        <v>Basic</v>
      </c>
    </row>
    <row r="411" spans="1:16" x14ac:dyDescent="0.3">
      <c r="A411" s="2" t="s">
        <v>455</v>
      </c>
      <c r="B411" s="2" t="s">
        <v>11</v>
      </c>
      <c r="C411" s="3">
        <v>28</v>
      </c>
      <c r="D411" t="s">
        <v>18</v>
      </c>
      <c r="E411" s="2" t="s">
        <v>19</v>
      </c>
      <c r="F411" s="2" t="s">
        <v>38</v>
      </c>
      <c r="G411">
        <v>13</v>
      </c>
      <c r="H411" s="4">
        <v>44877</v>
      </c>
      <c r="I411" s="2" t="s">
        <v>26</v>
      </c>
      <c r="J411" s="2" t="s">
        <v>16</v>
      </c>
      <c r="M411" t="str">
        <f t="shared" si="24"/>
        <v>Female</v>
      </c>
      <c r="N411" t="str">
        <f t="shared" si="25"/>
        <v>Delhi</v>
      </c>
      <c r="O411" t="str">
        <f t="shared" si="26"/>
        <v>Malayalam</v>
      </c>
      <c r="P411" t="str">
        <f t="shared" si="27"/>
        <v>Basic</v>
      </c>
    </row>
    <row r="412" spans="1:16" x14ac:dyDescent="0.3">
      <c r="A412" s="2" t="s">
        <v>456</v>
      </c>
      <c r="B412" s="2" t="s">
        <v>24</v>
      </c>
      <c r="C412" s="3">
        <v>44</v>
      </c>
      <c r="D412" t="s">
        <v>12</v>
      </c>
      <c r="E412" s="2" t="s">
        <v>19</v>
      </c>
      <c r="F412" s="2" t="s">
        <v>14</v>
      </c>
      <c r="G412">
        <v>29</v>
      </c>
      <c r="H412" s="4">
        <v>44409</v>
      </c>
      <c r="I412" s="2" t="s">
        <v>62</v>
      </c>
      <c r="J412" s="2" t="s">
        <v>65</v>
      </c>
      <c r="M412" t="str">
        <f t="shared" si="24"/>
        <v>Female</v>
      </c>
      <c r="N412" t="str">
        <f t="shared" si="25"/>
        <v>Kolkata</v>
      </c>
      <c r="O412" t="str">
        <f t="shared" si="26"/>
        <v>Gujarati</v>
      </c>
      <c r="P412" t="str">
        <f t="shared" si="27"/>
        <v>Family</v>
      </c>
    </row>
    <row r="413" spans="1:16" x14ac:dyDescent="0.3">
      <c r="A413" s="2" t="s">
        <v>457</v>
      </c>
      <c r="B413" s="2" t="s">
        <v>11</v>
      </c>
      <c r="C413" s="3">
        <v>30</v>
      </c>
      <c r="D413" t="s">
        <v>18</v>
      </c>
      <c r="E413" s="2" t="s">
        <v>13</v>
      </c>
      <c r="F413" s="2" t="s">
        <v>56</v>
      </c>
      <c r="G413">
        <v>45</v>
      </c>
      <c r="H413" s="4">
        <v>43920</v>
      </c>
      <c r="I413" s="2" t="s">
        <v>34</v>
      </c>
      <c r="J413" s="2" t="s">
        <v>27</v>
      </c>
      <c r="M413" t="str">
        <f t="shared" si="24"/>
        <v>Male</v>
      </c>
      <c r="N413" t="str">
        <f t="shared" si="25"/>
        <v>Hyderabad</v>
      </c>
      <c r="O413" t="str">
        <f t="shared" si="26"/>
        <v>Marathi</v>
      </c>
      <c r="P413" t="str">
        <f t="shared" si="27"/>
        <v>Standard</v>
      </c>
    </row>
    <row r="414" spans="1:16" x14ac:dyDescent="0.3">
      <c r="A414" s="2" t="s">
        <v>458</v>
      </c>
      <c r="B414" s="2" t="s">
        <v>61</v>
      </c>
      <c r="C414" s="3">
        <v>30</v>
      </c>
      <c r="D414" t="s">
        <v>18</v>
      </c>
      <c r="E414" s="2" t="s">
        <v>19</v>
      </c>
      <c r="F414" s="2" t="s">
        <v>25</v>
      </c>
      <c r="G414">
        <v>11</v>
      </c>
      <c r="H414" s="4">
        <v>44959</v>
      </c>
      <c r="I414" s="2" t="s">
        <v>34</v>
      </c>
      <c r="J414" s="2" t="s">
        <v>16</v>
      </c>
      <c r="M414" t="str">
        <f t="shared" si="24"/>
        <v>Female</v>
      </c>
      <c r="N414" t="str">
        <f t="shared" si="25"/>
        <v>Mumbai</v>
      </c>
      <c r="O414" t="str">
        <f t="shared" si="26"/>
        <v>Marathi</v>
      </c>
      <c r="P414" t="str">
        <f t="shared" si="27"/>
        <v>Basic</v>
      </c>
    </row>
    <row r="415" spans="1:16" x14ac:dyDescent="0.3">
      <c r="A415" s="2" t="s">
        <v>459</v>
      </c>
      <c r="B415" s="2" t="s">
        <v>31</v>
      </c>
      <c r="C415" s="3">
        <v>23</v>
      </c>
      <c r="D415" t="s">
        <v>32</v>
      </c>
      <c r="E415" s="2" t="s">
        <v>13</v>
      </c>
      <c r="F415" s="2" t="s">
        <v>25</v>
      </c>
      <c r="G415">
        <v>22</v>
      </c>
      <c r="H415" s="4">
        <v>44614</v>
      </c>
      <c r="I415" s="2" t="s">
        <v>39</v>
      </c>
      <c r="J415" s="2" t="s">
        <v>27</v>
      </c>
      <c r="M415" t="str">
        <f t="shared" si="24"/>
        <v>Male</v>
      </c>
      <c r="N415" t="str">
        <f t="shared" si="25"/>
        <v>Mumbai</v>
      </c>
      <c r="O415" t="str">
        <f t="shared" si="26"/>
        <v>Tamil</v>
      </c>
      <c r="P415" t="str">
        <f t="shared" si="27"/>
        <v>Standard</v>
      </c>
    </row>
    <row r="416" spans="1:16" x14ac:dyDescent="0.3">
      <c r="A416" s="2" t="s">
        <v>460</v>
      </c>
      <c r="B416" s="2" t="s">
        <v>61</v>
      </c>
      <c r="C416" s="3">
        <v>27</v>
      </c>
      <c r="D416" t="s">
        <v>18</v>
      </c>
      <c r="E416" s="2" t="s">
        <v>13</v>
      </c>
      <c r="F416" s="2" t="s">
        <v>36</v>
      </c>
      <c r="G416">
        <v>53</v>
      </c>
      <c r="H416" s="4">
        <v>43689</v>
      </c>
      <c r="I416" s="2" t="s">
        <v>39</v>
      </c>
      <c r="J416" s="2" t="s">
        <v>65</v>
      </c>
      <c r="M416" t="str">
        <f t="shared" si="24"/>
        <v>Male</v>
      </c>
      <c r="N416" t="str">
        <f t="shared" si="25"/>
        <v>Ahmedabad</v>
      </c>
      <c r="O416" t="str">
        <f t="shared" si="26"/>
        <v>Tamil</v>
      </c>
      <c r="P416" t="str">
        <f t="shared" si="27"/>
        <v>Family</v>
      </c>
    </row>
    <row r="417" spans="1:16" x14ac:dyDescent="0.3">
      <c r="A417" s="2" t="s">
        <v>461</v>
      </c>
      <c r="B417" s="2" t="s">
        <v>61</v>
      </c>
      <c r="C417" s="3">
        <v>27</v>
      </c>
      <c r="D417" t="s">
        <v>18</v>
      </c>
      <c r="E417" s="2" t="s">
        <v>19</v>
      </c>
      <c r="F417" s="2" t="s">
        <v>54</v>
      </c>
      <c r="G417">
        <v>55</v>
      </c>
      <c r="H417" s="4">
        <v>43625</v>
      </c>
      <c r="I417" s="2" t="s">
        <v>26</v>
      </c>
      <c r="J417" s="2" t="s">
        <v>27</v>
      </c>
      <c r="M417" t="str">
        <f t="shared" si="24"/>
        <v>Female</v>
      </c>
      <c r="N417" t="str">
        <f t="shared" si="25"/>
        <v>Bangalore</v>
      </c>
      <c r="O417" t="str">
        <f t="shared" si="26"/>
        <v>Malayalam</v>
      </c>
      <c r="P417" t="str">
        <f t="shared" si="27"/>
        <v>Standard</v>
      </c>
    </row>
    <row r="418" spans="1:16" x14ac:dyDescent="0.3">
      <c r="A418" s="2" t="s">
        <v>462</v>
      </c>
      <c r="B418" s="2" t="s">
        <v>31</v>
      </c>
      <c r="C418" s="3">
        <v>51</v>
      </c>
      <c r="D418" t="s">
        <v>46</v>
      </c>
      <c r="E418" s="2" t="s">
        <v>13</v>
      </c>
      <c r="F418" s="2" t="s">
        <v>20</v>
      </c>
      <c r="G418">
        <v>40</v>
      </c>
      <c r="H418" s="4">
        <v>44068</v>
      </c>
      <c r="I418" s="2" t="s">
        <v>62</v>
      </c>
      <c r="J418" s="2" t="s">
        <v>16</v>
      </c>
      <c r="M418" t="str">
        <f t="shared" si="24"/>
        <v>Male</v>
      </c>
      <c r="N418" t="str">
        <f t="shared" si="25"/>
        <v>Chennai</v>
      </c>
      <c r="O418" t="str">
        <f t="shared" si="26"/>
        <v>Gujarati</v>
      </c>
      <c r="P418" t="str">
        <f t="shared" si="27"/>
        <v>Basic</v>
      </c>
    </row>
    <row r="419" spans="1:16" x14ac:dyDescent="0.3">
      <c r="A419" s="2" t="s">
        <v>463</v>
      </c>
      <c r="B419" s="2" t="s">
        <v>11</v>
      </c>
      <c r="C419" s="3">
        <v>42</v>
      </c>
      <c r="D419" t="s">
        <v>12</v>
      </c>
      <c r="E419" s="2" t="s">
        <v>19</v>
      </c>
      <c r="F419" s="2" t="s">
        <v>25</v>
      </c>
      <c r="G419">
        <v>46</v>
      </c>
      <c r="H419" s="4">
        <v>43897</v>
      </c>
      <c r="I419" s="2" t="s">
        <v>34</v>
      </c>
      <c r="J419" s="2" t="s">
        <v>27</v>
      </c>
      <c r="M419" t="str">
        <f t="shared" si="24"/>
        <v>Female</v>
      </c>
      <c r="N419" t="str">
        <f t="shared" si="25"/>
        <v>Mumbai</v>
      </c>
      <c r="O419" t="str">
        <f t="shared" si="26"/>
        <v>Marathi</v>
      </c>
      <c r="P419" t="str">
        <f t="shared" si="27"/>
        <v>Standard</v>
      </c>
    </row>
    <row r="420" spans="1:16" x14ac:dyDescent="0.3">
      <c r="A420" s="2" t="s">
        <v>464</v>
      </c>
      <c r="B420" s="2" t="s">
        <v>24</v>
      </c>
      <c r="C420" s="3">
        <v>35</v>
      </c>
      <c r="D420" t="s">
        <v>12</v>
      </c>
      <c r="E420" s="2" t="s">
        <v>105</v>
      </c>
      <c r="F420" s="2" t="s">
        <v>36</v>
      </c>
      <c r="G420">
        <v>20</v>
      </c>
      <c r="H420" s="4">
        <v>44671</v>
      </c>
      <c r="I420" s="2" t="s">
        <v>39</v>
      </c>
      <c r="J420" s="2" t="s">
        <v>22</v>
      </c>
      <c r="M420" t="str">
        <f t="shared" si="24"/>
        <v>Non-Binary</v>
      </c>
      <c r="N420" t="str">
        <f t="shared" si="25"/>
        <v>Ahmedabad</v>
      </c>
      <c r="O420" t="str">
        <f t="shared" si="26"/>
        <v>Tamil</v>
      </c>
      <c r="P420" t="str">
        <f t="shared" si="27"/>
        <v>Premium</v>
      </c>
    </row>
    <row r="421" spans="1:16" x14ac:dyDescent="0.3">
      <c r="A421" s="2" t="s">
        <v>465</v>
      </c>
      <c r="B421" s="2" t="s">
        <v>24</v>
      </c>
      <c r="C421" s="3">
        <v>43</v>
      </c>
      <c r="D421" t="s">
        <v>12</v>
      </c>
      <c r="E421" s="2" t="s">
        <v>13</v>
      </c>
      <c r="F421" s="2" t="s">
        <v>88</v>
      </c>
      <c r="G421">
        <v>52</v>
      </c>
      <c r="H421" s="4">
        <v>43714</v>
      </c>
      <c r="I421" s="2" t="s">
        <v>49</v>
      </c>
      <c r="J421" s="2" t="s">
        <v>16</v>
      </c>
      <c r="M421" t="str">
        <f t="shared" si="24"/>
        <v>Male</v>
      </c>
      <c r="N421" t="str">
        <f t="shared" si="25"/>
        <v>Lucknow</v>
      </c>
      <c r="O421" t="str">
        <f t="shared" si="26"/>
        <v>Kannada</v>
      </c>
      <c r="P421" t="str">
        <f t="shared" si="27"/>
        <v>Basic</v>
      </c>
    </row>
    <row r="422" spans="1:16" x14ac:dyDescent="0.3">
      <c r="A422" s="2" t="s">
        <v>466</v>
      </c>
      <c r="B422" s="2" t="s">
        <v>42</v>
      </c>
      <c r="C422" s="3">
        <v>33</v>
      </c>
      <c r="D422" t="s">
        <v>18</v>
      </c>
      <c r="E422" s="2" t="s">
        <v>13</v>
      </c>
      <c r="F422" s="2" t="s">
        <v>88</v>
      </c>
      <c r="G422">
        <v>21</v>
      </c>
      <c r="H422" s="4">
        <v>44640</v>
      </c>
      <c r="I422" s="2" t="s">
        <v>26</v>
      </c>
      <c r="J422" s="2" t="s">
        <v>27</v>
      </c>
      <c r="M422" t="str">
        <f t="shared" si="24"/>
        <v>Male</v>
      </c>
      <c r="N422" t="str">
        <f t="shared" si="25"/>
        <v>Lucknow</v>
      </c>
      <c r="O422" t="str">
        <f t="shared" si="26"/>
        <v>Malayalam</v>
      </c>
      <c r="P422" t="str">
        <f t="shared" si="27"/>
        <v>Standard</v>
      </c>
    </row>
    <row r="423" spans="1:16" x14ac:dyDescent="0.3">
      <c r="A423" s="2" t="s">
        <v>467</v>
      </c>
      <c r="B423" s="2" t="s">
        <v>31</v>
      </c>
      <c r="C423" s="3">
        <v>49</v>
      </c>
      <c r="D423" t="s">
        <v>46</v>
      </c>
      <c r="E423" s="2" t="s">
        <v>19</v>
      </c>
      <c r="F423" s="2" t="s">
        <v>20</v>
      </c>
      <c r="G423">
        <v>2</v>
      </c>
      <c r="H423" s="4">
        <v>45204</v>
      </c>
      <c r="I423" s="2" t="s">
        <v>29</v>
      </c>
      <c r="J423" s="2" t="s">
        <v>22</v>
      </c>
      <c r="M423" t="str">
        <f t="shared" si="24"/>
        <v>Female</v>
      </c>
      <c r="N423" t="str">
        <f t="shared" si="25"/>
        <v>Chennai</v>
      </c>
      <c r="O423" t="str">
        <f t="shared" si="26"/>
        <v>English</v>
      </c>
      <c r="P423" t="str">
        <f t="shared" si="27"/>
        <v>Premium</v>
      </c>
    </row>
    <row r="424" spans="1:16" x14ac:dyDescent="0.3">
      <c r="A424" s="2" t="s">
        <v>468</v>
      </c>
      <c r="B424" s="2" t="s">
        <v>11</v>
      </c>
      <c r="C424" s="3">
        <v>36</v>
      </c>
      <c r="D424" t="s">
        <v>12</v>
      </c>
      <c r="E424" s="2" t="s">
        <v>13</v>
      </c>
      <c r="F424" s="2" t="s">
        <v>33</v>
      </c>
      <c r="G424">
        <v>51</v>
      </c>
      <c r="H424" s="4">
        <v>43761</v>
      </c>
      <c r="I424" s="2" t="s">
        <v>47</v>
      </c>
      <c r="J424" s="2" t="s">
        <v>22</v>
      </c>
      <c r="M424" t="str">
        <f t="shared" si="24"/>
        <v>Male</v>
      </c>
      <c r="N424" t="str">
        <f t="shared" si="25"/>
        <v>Jaipur</v>
      </c>
      <c r="O424" t="str">
        <f t="shared" si="26"/>
        <v>Hindi</v>
      </c>
      <c r="P424" t="str">
        <f t="shared" si="27"/>
        <v>Premium</v>
      </c>
    </row>
    <row r="425" spans="1:16" x14ac:dyDescent="0.3">
      <c r="A425" s="2" t="s">
        <v>469</v>
      </c>
      <c r="B425" s="2" t="s">
        <v>61</v>
      </c>
      <c r="C425" s="3">
        <v>22</v>
      </c>
      <c r="D425" t="s">
        <v>32</v>
      </c>
      <c r="E425" s="2" t="s">
        <v>13</v>
      </c>
      <c r="F425" s="2" t="s">
        <v>14</v>
      </c>
      <c r="G425">
        <v>37</v>
      </c>
      <c r="H425" s="4">
        <v>44178</v>
      </c>
      <c r="I425" s="2" t="s">
        <v>29</v>
      </c>
      <c r="J425" s="2" t="s">
        <v>27</v>
      </c>
      <c r="M425" t="str">
        <f t="shared" si="24"/>
        <v>Male</v>
      </c>
      <c r="N425" t="str">
        <f t="shared" si="25"/>
        <v>Kolkata</v>
      </c>
      <c r="O425" t="str">
        <f t="shared" si="26"/>
        <v>English</v>
      </c>
      <c r="P425" t="str">
        <f t="shared" si="27"/>
        <v>Standard</v>
      </c>
    </row>
    <row r="426" spans="1:16" x14ac:dyDescent="0.3">
      <c r="A426" s="2" t="s">
        <v>470</v>
      </c>
      <c r="B426" s="2" t="s">
        <v>11</v>
      </c>
      <c r="C426" s="3">
        <v>39</v>
      </c>
      <c r="D426" t="s">
        <v>12</v>
      </c>
      <c r="E426" s="2" t="s">
        <v>19</v>
      </c>
      <c r="F426" s="2" t="s">
        <v>38</v>
      </c>
      <c r="G426">
        <v>37</v>
      </c>
      <c r="H426" s="4">
        <v>44168</v>
      </c>
      <c r="I426" s="2" t="s">
        <v>34</v>
      </c>
      <c r="J426" s="2" t="s">
        <v>22</v>
      </c>
      <c r="M426" t="str">
        <f t="shared" si="24"/>
        <v>Female</v>
      </c>
      <c r="N426" t="str">
        <f t="shared" si="25"/>
        <v>Delhi</v>
      </c>
      <c r="O426" t="str">
        <f t="shared" si="26"/>
        <v>Marathi</v>
      </c>
      <c r="P426" t="str">
        <f t="shared" si="27"/>
        <v>Premium</v>
      </c>
    </row>
    <row r="427" spans="1:16" x14ac:dyDescent="0.3">
      <c r="A427" s="2" t="s">
        <v>471</v>
      </c>
      <c r="B427" s="2" t="s">
        <v>31</v>
      </c>
      <c r="C427" s="3">
        <v>18</v>
      </c>
      <c r="D427" t="s">
        <v>32</v>
      </c>
      <c r="E427" s="2" t="s">
        <v>19</v>
      </c>
      <c r="F427" s="2" t="s">
        <v>88</v>
      </c>
      <c r="G427">
        <v>48</v>
      </c>
      <c r="H427" s="4">
        <v>43850</v>
      </c>
      <c r="I427" s="2" t="s">
        <v>62</v>
      </c>
      <c r="J427" s="2" t="s">
        <v>22</v>
      </c>
      <c r="M427" t="str">
        <f t="shared" si="24"/>
        <v>Female</v>
      </c>
      <c r="N427" t="str">
        <f t="shared" si="25"/>
        <v>Lucknow</v>
      </c>
      <c r="O427" t="str">
        <f t="shared" si="26"/>
        <v>Gujarati</v>
      </c>
      <c r="P427" t="str">
        <f t="shared" si="27"/>
        <v>Premium</v>
      </c>
    </row>
    <row r="428" spans="1:16" x14ac:dyDescent="0.3">
      <c r="A428" s="2" t="s">
        <v>472</v>
      </c>
      <c r="B428" s="2" t="s">
        <v>24</v>
      </c>
      <c r="C428" s="3">
        <v>29</v>
      </c>
      <c r="D428" t="s">
        <v>18</v>
      </c>
      <c r="E428" s="2" t="s">
        <v>13</v>
      </c>
      <c r="F428" s="2" t="s">
        <v>36</v>
      </c>
      <c r="G428">
        <v>41</v>
      </c>
      <c r="H428" s="4">
        <v>44039</v>
      </c>
      <c r="I428" s="2" t="s">
        <v>62</v>
      </c>
      <c r="J428" s="2" t="s">
        <v>22</v>
      </c>
      <c r="M428" t="str">
        <f t="shared" si="24"/>
        <v>Male</v>
      </c>
      <c r="N428" t="str">
        <f t="shared" si="25"/>
        <v>Ahmedabad</v>
      </c>
      <c r="O428" t="str">
        <f t="shared" si="26"/>
        <v>Gujarati</v>
      </c>
      <c r="P428" t="str">
        <f t="shared" si="27"/>
        <v>Premium</v>
      </c>
    </row>
    <row r="429" spans="1:16" x14ac:dyDescent="0.3">
      <c r="A429" s="2" t="s">
        <v>473</v>
      </c>
      <c r="B429" s="2" t="s">
        <v>61</v>
      </c>
      <c r="C429" s="3">
        <v>36</v>
      </c>
      <c r="D429" t="s">
        <v>12</v>
      </c>
      <c r="E429" s="2" t="s">
        <v>13</v>
      </c>
      <c r="F429" s="2" t="s">
        <v>38</v>
      </c>
      <c r="G429">
        <v>6</v>
      </c>
      <c r="H429" s="4">
        <v>45103</v>
      </c>
      <c r="I429" s="2" t="s">
        <v>47</v>
      </c>
      <c r="J429" s="2" t="s">
        <v>22</v>
      </c>
      <c r="M429" t="str">
        <f t="shared" si="24"/>
        <v>Male</v>
      </c>
      <c r="N429" t="str">
        <f t="shared" si="25"/>
        <v>Delhi</v>
      </c>
      <c r="O429" t="str">
        <f t="shared" si="26"/>
        <v>Hindi</v>
      </c>
      <c r="P429" t="str">
        <f t="shared" si="27"/>
        <v>Premium</v>
      </c>
    </row>
    <row r="430" spans="1:16" x14ac:dyDescent="0.3">
      <c r="A430" s="2" t="s">
        <v>474</v>
      </c>
      <c r="B430" s="2" t="s">
        <v>31</v>
      </c>
      <c r="C430" s="3">
        <v>25</v>
      </c>
      <c r="D430" t="s">
        <v>18</v>
      </c>
      <c r="E430" s="2" t="s">
        <v>13</v>
      </c>
      <c r="F430" s="2" t="s">
        <v>38</v>
      </c>
      <c r="G430">
        <v>42</v>
      </c>
      <c r="H430" s="4">
        <v>44030</v>
      </c>
      <c r="I430" s="2" t="s">
        <v>15</v>
      </c>
      <c r="J430" s="2" t="s">
        <v>27</v>
      </c>
      <c r="M430" t="str">
        <f t="shared" si="24"/>
        <v>Male</v>
      </c>
      <c r="N430" t="str">
        <f t="shared" si="25"/>
        <v>Delhi</v>
      </c>
      <c r="O430" t="str">
        <f t="shared" si="26"/>
        <v>Telugu</v>
      </c>
      <c r="P430" t="str">
        <f t="shared" si="27"/>
        <v>Standard</v>
      </c>
    </row>
    <row r="431" spans="1:16" x14ac:dyDescent="0.3">
      <c r="A431" s="2" t="s">
        <v>475</v>
      </c>
      <c r="B431" s="2" t="s">
        <v>24</v>
      </c>
      <c r="C431" s="3">
        <v>53</v>
      </c>
      <c r="D431" t="s">
        <v>46</v>
      </c>
      <c r="E431" s="2" t="s">
        <v>19</v>
      </c>
      <c r="F431" s="2" t="s">
        <v>20</v>
      </c>
      <c r="G431">
        <v>35</v>
      </c>
      <c r="H431" s="4">
        <v>44228</v>
      </c>
      <c r="I431" s="2" t="s">
        <v>29</v>
      </c>
      <c r="J431" s="2" t="s">
        <v>16</v>
      </c>
      <c r="M431" t="str">
        <f t="shared" si="24"/>
        <v>Female</v>
      </c>
      <c r="N431" t="str">
        <f t="shared" si="25"/>
        <v>Chennai</v>
      </c>
      <c r="O431" t="str">
        <f t="shared" si="26"/>
        <v>English</v>
      </c>
      <c r="P431" t="str">
        <f t="shared" si="27"/>
        <v>Basic</v>
      </c>
    </row>
    <row r="432" spans="1:16" x14ac:dyDescent="0.3">
      <c r="A432" s="2" t="s">
        <v>476</v>
      </c>
      <c r="B432" s="2" t="s">
        <v>61</v>
      </c>
      <c r="C432" s="3">
        <v>59</v>
      </c>
      <c r="D432" t="s">
        <v>201</v>
      </c>
      <c r="E432" s="2" t="s">
        <v>19</v>
      </c>
      <c r="F432" s="2" t="s">
        <v>36</v>
      </c>
      <c r="G432">
        <v>26</v>
      </c>
      <c r="H432" s="4">
        <v>44512</v>
      </c>
      <c r="I432" s="2" t="s">
        <v>39</v>
      </c>
      <c r="J432" s="2" t="s">
        <v>27</v>
      </c>
      <c r="M432" t="str">
        <f t="shared" si="24"/>
        <v>Female</v>
      </c>
      <c r="N432" t="str">
        <f t="shared" si="25"/>
        <v>Ahmedabad</v>
      </c>
      <c r="O432" t="str">
        <f t="shared" si="26"/>
        <v>Tamil</v>
      </c>
      <c r="P432" t="str">
        <f t="shared" si="27"/>
        <v>Standard</v>
      </c>
    </row>
    <row r="433" spans="1:16" x14ac:dyDescent="0.3">
      <c r="A433" s="2" t="s">
        <v>477</v>
      </c>
      <c r="B433" s="2" t="s">
        <v>24</v>
      </c>
      <c r="C433" s="3">
        <v>31</v>
      </c>
      <c r="D433" t="s">
        <v>18</v>
      </c>
      <c r="E433" s="2" t="s">
        <v>19</v>
      </c>
      <c r="F433" s="2" t="s">
        <v>36</v>
      </c>
      <c r="G433">
        <v>53</v>
      </c>
      <c r="H433" s="4">
        <v>43701</v>
      </c>
      <c r="I433" s="2" t="s">
        <v>34</v>
      </c>
      <c r="J433" s="2" t="s">
        <v>22</v>
      </c>
      <c r="M433" t="str">
        <f t="shared" si="24"/>
        <v>Female</v>
      </c>
      <c r="N433" t="str">
        <f t="shared" si="25"/>
        <v>Ahmedabad</v>
      </c>
      <c r="O433" t="str">
        <f t="shared" si="26"/>
        <v>Marathi</v>
      </c>
      <c r="P433" t="str">
        <f t="shared" si="27"/>
        <v>Premium</v>
      </c>
    </row>
    <row r="434" spans="1:16" x14ac:dyDescent="0.3">
      <c r="A434" s="2" t="s">
        <v>478</v>
      </c>
      <c r="B434" s="2" t="s">
        <v>31</v>
      </c>
      <c r="C434" s="3">
        <v>28</v>
      </c>
      <c r="D434" t="s">
        <v>18</v>
      </c>
      <c r="E434" s="2" t="s">
        <v>13</v>
      </c>
      <c r="F434" s="2" t="s">
        <v>64</v>
      </c>
      <c r="G434">
        <v>13</v>
      </c>
      <c r="H434" s="4">
        <v>44876</v>
      </c>
      <c r="I434" s="2" t="s">
        <v>29</v>
      </c>
      <c r="J434" s="2" t="s">
        <v>22</v>
      </c>
      <c r="M434" t="str">
        <f t="shared" si="24"/>
        <v>Male</v>
      </c>
      <c r="N434" t="str">
        <f t="shared" si="25"/>
        <v>Pune</v>
      </c>
      <c r="O434" t="str">
        <f t="shared" si="26"/>
        <v>English</v>
      </c>
      <c r="P434" t="str">
        <f t="shared" si="27"/>
        <v>Premium</v>
      </c>
    </row>
    <row r="435" spans="1:16" x14ac:dyDescent="0.3">
      <c r="A435" s="2" t="s">
        <v>479</v>
      </c>
      <c r="B435" s="2" t="s">
        <v>31</v>
      </c>
      <c r="C435" s="3">
        <v>38</v>
      </c>
      <c r="D435" t="s">
        <v>12</v>
      </c>
      <c r="E435" s="2" t="s">
        <v>13</v>
      </c>
      <c r="F435" s="2" t="s">
        <v>88</v>
      </c>
      <c r="G435">
        <v>7</v>
      </c>
      <c r="H435" s="4">
        <v>45054</v>
      </c>
      <c r="I435" s="2" t="s">
        <v>39</v>
      </c>
      <c r="J435" s="2" t="s">
        <v>16</v>
      </c>
      <c r="M435" t="str">
        <f t="shared" si="24"/>
        <v>Male</v>
      </c>
      <c r="N435" t="str">
        <f t="shared" si="25"/>
        <v>Lucknow</v>
      </c>
      <c r="O435" t="str">
        <f t="shared" si="26"/>
        <v>Tamil</v>
      </c>
      <c r="P435" t="str">
        <f t="shared" si="27"/>
        <v>Basic</v>
      </c>
    </row>
    <row r="436" spans="1:16" x14ac:dyDescent="0.3">
      <c r="A436" s="2" t="s">
        <v>480</v>
      </c>
      <c r="B436" s="2" t="s">
        <v>11</v>
      </c>
      <c r="C436" s="3">
        <v>26</v>
      </c>
      <c r="D436" t="s">
        <v>18</v>
      </c>
      <c r="E436" s="2" t="s">
        <v>13</v>
      </c>
      <c r="F436" s="2" t="s">
        <v>64</v>
      </c>
      <c r="G436">
        <v>25</v>
      </c>
      <c r="H436" s="4">
        <v>44533</v>
      </c>
      <c r="I436" s="2" t="s">
        <v>26</v>
      </c>
      <c r="J436" s="2" t="s">
        <v>22</v>
      </c>
      <c r="M436" t="str">
        <f t="shared" si="24"/>
        <v>Male</v>
      </c>
      <c r="N436" t="str">
        <f t="shared" si="25"/>
        <v>Pune</v>
      </c>
      <c r="O436" t="str">
        <f t="shared" si="26"/>
        <v>Malayalam</v>
      </c>
      <c r="P436" t="str">
        <f t="shared" si="27"/>
        <v>Premium</v>
      </c>
    </row>
    <row r="437" spans="1:16" x14ac:dyDescent="0.3">
      <c r="A437" s="2" t="s">
        <v>481</v>
      </c>
      <c r="B437" s="2" t="s">
        <v>31</v>
      </c>
      <c r="C437" s="3">
        <v>37</v>
      </c>
      <c r="D437" t="s">
        <v>12</v>
      </c>
      <c r="E437" s="2" t="s">
        <v>13</v>
      </c>
      <c r="F437" s="2" t="s">
        <v>25</v>
      </c>
      <c r="G437">
        <v>57</v>
      </c>
      <c r="H437" s="4">
        <v>43562</v>
      </c>
      <c r="I437" s="2" t="s">
        <v>29</v>
      </c>
      <c r="J437" s="2" t="s">
        <v>27</v>
      </c>
      <c r="M437" t="str">
        <f t="shared" si="24"/>
        <v>Male</v>
      </c>
      <c r="N437" t="str">
        <f t="shared" si="25"/>
        <v>Mumbai</v>
      </c>
      <c r="O437" t="str">
        <f t="shared" si="26"/>
        <v>English</v>
      </c>
      <c r="P437" t="str">
        <f t="shared" si="27"/>
        <v>Standard</v>
      </c>
    </row>
    <row r="438" spans="1:16" x14ac:dyDescent="0.3">
      <c r="A438" s="2" t="s">
        <v>482</v>
      </c>
      <c r="B438" s="2" t="s">
        <v>42</v>
      </c>
      <c r="C438" s="3">
        <v>29</v>
      </c>
      <c r="D438" t="s">
        <v>18</v>
      </c>
      <c r="E438" s="2" t="s">
        <v>19</v>
      </c>
      <c r="F438" s="2" t="s">
        <v>20</v>
      </c>
      <c r="G438">
        <v>21</v>
      </c>
      <c r="H438" s="4">
        <v>44661</v>
      </c>
      <c r="I438" s="2" t="s">
        <v>26</v>
      </c>
      <c r="J438" s="2" t="s">
        <v>27</v>
      </c>
      <c r="M438" t="str">
        <f t="shared" si="24"/>
        <v>Female</v>
      </c>
      <c r="N438" t="str">
        <f t="shared" si="25"/>
        <v>Chennai</v>
      </c>
      <c r="O438" t="str">
        <f t="shared" si="26"/>
        <v>Malayalam</v>
      </c>
      <c r="P438" t="str">
        <f t="shared" si="27"/>
        <v>Standard</v>
      </c>
    </row>
    <row r="439" spans="1:16" x14ac:dyDescent="0.3">
      <c r="A439" s="2" t="s">
        <v>483</v>
      </c>
      <c r="B439" s="2" t="s">
        <v>42</v>
      </c>
      <c r="C439" s="3">
        <v>31</v>
      </c>
      <c r="D439" t="s">
        <v>18</v>
      </c>
      <c r="E439" s="2" t="s">
        <v>13</v>
      </c>
      <c r="F439" s="2" t="s">
        <v>25</v>
      </c>
      <c r="G439">
        <v>3</v>
      </c>
      <c r="H439" s="4">
        <v>45195</v>
      </c>
      <c r="I439" s="2" t="s">
        <v>39</v>
      </c>
      <c r="J439" s="2" t="s">
        <v>27</v>
      </c>
      <c r="M439" t="str">
        <f t="shared" si="24"/>
        <v>Male</v>
      </c>
      <c r="N439" t="str">
        <f t="shared" si="25"/>
        <v>Mumbai</v>
      </c>
      <c r="O439" t="str">
        <f t="shared" si="26"/>
        <v>Tamil</v>
      </c>
      <c r="P439" t="str">
        <f t="shared" si="27"/>
        <v>Standard</v>
      </c>
    </row>
    <row r="440" spans="1:16" x14ac:dyDescent="0.3">
      <c r="A440" s="2" t="s">
        <v>484</v>
      </c>
      <c r="B440" s="2" t="s">
        <v>11</v>
      </c>
      <c r="C440" s="3">
        <v>43</v>
      </c>
      <c r="D440" t="s">
        <v>12</v>
      </c>
      <c r="E440" s="2" t="s">
        <v>19</v>
      </c>
      <c r="F440" s="2" t="s">
        <v>88</v>
      </c>
      <c r="G440">
        <v>33</v>
      </c>
      <c r="H440" s="4">
        <v>44300</v>
      </c>
      <c r="I440" s="2" t="s">
        <v>26</v>
      </c>
      <c r="J440" s="2" t="s">
        <v>27</v>
      </c>
      <c r="M440" t="str">
        <f t="shared" si="24"/>
        <v>Female</v>
      </c>
      <c r="N440" t="str">
        <f t="shared" si="25"/>
        <v>Lucknow</v>
      </c>
      <c r="O440" t="str">
        <f t="shared" si="26"/>
        <v>Malayalam</v>
      </c>
      <c r="P440" t="str">
        <f t="shared" si="27"/>
        <v>Standard</v>
      </c>
    </row>
    <row r="441" spans="1:16" x14ac:dyDescent="0.3">
      <c r="A441" s="2" t="s">
        <v>485</v>
      </c>
      <c r="B441" s="2" t="s">
        <v>11</v>
      </c>
      <c r="C441" s="3">
        <v>36</v>
      </c>
      <c r="D441" t="s">
        <v>12</v>
      </c>
      <c r="E441" s="2" t="s">
        <v>13</v>
      </c>
      <c r="F441" s="2" t="s">
        <v>56</v>
      </c>
      <c r="G441">
        <v>24</v>
      </c>
      <c r="H441" s="4">
        <v>44548</v>
      </c>
      <c r="I441" s="2" t="s">
        <v>47</v>
      </c>
      <c r="J441" s="2" t="s">
        <v>22</v>
      </c>
      <c r="M441" t="str">
        <f t="shared" si="24"/>
        <v>Male</v>
      </c>
      <c r="N441" t="str">
        <f t="shared" si="25"/>
        <v>Hyderabad</v>
      </c>
      <c r="O441" t="str">
        <f t="shared" si="26"/>
        <v>Hindi</v>
      </c>
      <c r="P441" t="str">
        <f t="shared" si="27"/>
        <v>Premium</v>
      </c>
    </row>
    <row r="442" spans="1:16" x14ac:dyDescent="0.3">
      <c r="A442" s="2" t="s">
        <v>486</v>
      </c>
      <c r="B442" s="2" t="s">
        <v>11</v>
      </c>
      <c r="C442" s="3">
        <v>18</v>
      </c>
      <c r="D442" t="s">
        <v>32</v>
      </c>
      <c r="E442" s="2" t="s">
        <v>19</v>
      </c>
      <c r="F442" s="2" t="s">
        <v>38</v>
      </c>
      <c r="G442">
        <v>60</v>
      </c>
      <c r="H442" s="4">
        <v>43483</v>
      </c>
      <c r="I442" s="2" t="s">
        <v>21</v>
      </c>
      <c r="J442" s="2" t="s">
        <v>16</v>
      </c>
      <c r="M442" t="str">
        <f t="shared" si="24"/>
        <v>Female</v>
      </c>
      <c r="N442" t="str">
        <f t="shared" si="25"/>
        <v>Delhi</v>
      </c>
      <c r="O442" t="str">
        <f t="shared" si="26"/>
        <v>Bengali</v>
      </c>
      <c r="P442" t="str">
        <f t="shared" si="27"/>
        <v>Basic</v>
      </c>
    </row>
    <row r="443" spans="1:16" x14ac:dyDescent="0.3">
      <c r="A443" s="2" t="s">
        <v>487</v>
      </c>
      <c r="B443" s="2" t="s">
        <v>11</v>
      </c>
      <c r="C443" s="3">
        <v>43</v>
      </c>
      <c r="D443" t="s">
        <v>12</v>
      </c>
      <c r="E443" s="2" t="s">
        <v>105</v>
      </c>
      <c r="F443" s="2" t="s">
        <v>64</v>
      </c>
      <c r="G443">
        <v>39</v>
      </c>
      <c r="H443" s="4">
        <v>44094</v>
      </c>
      <c r="I443" s="2" t="s">
        <v>49</v>
      </c>
      <c r="J443" s="2" t="s">
        <v>27</v>
      </c>
      <c r="M443" t="str">
        <f t="shared" si="24"/>
        <v>Non-Binary</v>
      </c>
      <c r="N443" t="str">
        <f t="shared" si="25"/>
        <v>Pune</v>
      </c>
      <c r="O443" t="str">
        <f t="shared" si="26"/>
        <v>Kannada</v>
      </c>
      <c r="P443" t="str">
        <f t="shared" si="27"/>
        <v>Standard</v>
      </c>
    </row>
    <row r="444" spans="1:16" x14ac:dyDescent="0.3">
      <c r="A444" s="2" t="s">
        <v>488</v>
      </c>
      <c r="B444" s="2" t="s">
        <v>31</v>
      </c>
      <c r="C444" s="3">
        <v>24</v>
      </c>
      <c r="D444" t="s">
        <v>32</v>
      </c>
      <c r="E444" s="2" t="s">
        <v>19</v>
      </c>
      <c r="F444" s="2" t="s">
        <v>38</v>
      </c>
      <c r="G444">
        <v>58</v>
      </c>
      <c r="H444" s="4">
        <v>43541</v>
      </c>
      <c r="I444" s="2" t="s">
        <v>62</v>
      </c>
      <c r="J444" s="2" t="s">
        <v>16</v>
      </c>
      <c r="M444" t="str">
        <f t="shared" si="24"/>
        <v>Female</v>
      </c>
      <c r="N444" t="str">
        <f t="shared" si="25"/>
        <v>Delhi</v>
      </c>
      <c r="O444" t="str">
        <f t="shared" si="26"/>
        <v>Gujarati</v>
      </c>
      <c r="P444" t="str">
        <f t="shared" si="27"/>
        <v>Basic</v>
      </c>
    </row>
    <row r="445" spans="1:16" x14ac:dyDescent="0.3">
      <c r="A445" s="2" t="s">
        <v>489</v>
      </c>
      <c r="B445" s="2" t="s">
        <v>31</v>
      </c>
      <c r="C445" s="3">
        <v>25</v>
      </c>
      <c r="D445" t="s">
        <v>18</v>
      </c>
      <c r="E445" s="2" t="s">
        <v>19</v>
      </c>
      <c r="F445" s="2" t="s">
        <v>33</v>
      </c>
      <c r="G445">
        <v>33</v>
      </c>
      <c r="H445" s="4">
        <v>44289</v>
      </c>
      <c r="I445" s="2" t="s">
        <v>49</v>
      </c>
      <c r="J445" s="2" t="s">
        <v>16</v>
      </c>
      <c r="M445" t="str">
        <f t="shared" si="24"/>
        <v>Female</v>
      </c>
      <c r="N445" t="str">
        <f t="shared" si="25"/>
        <v>Jaipur</v>
      </c>
      <c r="O445" t="str">
        <f t="shared" si="26"/>
        <v>Kannada</v>
      </c>
      <c r="P445" t="str">
        <f t="shared" si="27"/>
        <v>Basic</v>
      </c>
    </row>
    <row r="446" spans="1:16" x14ac:dyDescent="0.3">
      <c r="A446" s="2" t="s">
        <v>490</v>
      </c>
      <c r="B446" s="2" t="s">
        <v>24</v>
      </c>
      <c r="C446" s="3">
        <v>33</v>
      </c>
      <c r="D446" t="s">
        <v>18</v>
      </c>
      <c r="E446" s="2" t="s">
        <v>19</v>
      </c>
      <c r="F446" s="2" t="s">
        <v>33</v>
      </c>
      <c r="G446">
        <v>13</v>
      </c>
      <c r="H446" s="4">
        <v>44893</v>
      </c>
      <c r="I446" s="2" t="s">
        <v>47</v>
      </c>
      <c r="J446" s="2" t="s">
        <v>27</v>
      </c>
      <c r="M446" t="str">
        <f t="shared" si="24"/>
        <v>Female</v>
      </c>
      <c r="N446" t="str">
        <f t="shared" si="25"/>
        <v>Jaipur</v>
      </c>
      <c r="O446" t="str">
        <f t="shared" si="26"/>
        <v>Hindi</v>
      </c>
      <c r="P446" t="str">
        <f t="shared" si="27"/>
        <v>Standard</v>
      </c>
    </row>
    <row r="447" spans="1:16" x14ac:dyDescent="0.3">
      <c r="A447" s="2" t="s">
        <v>491</v>
      </c>
      <c r="B447" s="2" t="s">
        <v>42</v>
      </c>
      <c r="C447" s="3">
        <v>49</v>
      </c>
      <c r="D447" t="s">
        <v>46</v>
      </c>
      <c r="E447" s="2" t="s">
        <v>19</v>
      </c>
      <c r="F447" s="2" t="s">
        <v>88</v>
      </c>
      <c r="G447">
        <v>50</v>
      </c>
      <c r="H447" s="4">
        <v>43774</v>
      </c>
      <c r="I447" s="2" t="s">
        <v>47</v>
      </c>
      <c r="J447" s="2" t="s">
        <v>27</v>
      </c>
      <c r="M447" t="str">
        <f t="shared" si="24"/>
        <v>Female</v>
      </c>
      <c r="N447" t="str">
        <f t="shared" si="25"/>
        <v>Lucknow</v>
      </c>
      <c r="O447" t="str">
        <f t="shared" si="26"/>
        <v>Hindi</v>
      </c>
      <c r="P447" t="str">
        <f t="shared" si="27"/>
        <v>Standard</v>
      </c>
    </row>
    <row r="448" spans="1:16" x14ac:dyDescent="0.3">
      <c r="A448" s="2" t="s">
        <v>492</v>
      </c>
      <c r="B448" s="2" t="s">
        <v>11</v>
      </c>
      <c r="C448" s="3">
        <v>32</v>
      </c>
      <c r="D448" t="s">
        <v>18</v>
      </c>
      <c r="E448" s="2" t="s">
        <v>19</v>
      </c>
      <c r="F448" s="2" t="s">
        <v>14</v>
      </c>
      <c r="G448">
        <v>57</v>
      </c>
      <c r="H448" s="4">
        <v>43576</v>
      </c>
      <c r="I448" s="2" t="s">
        <v>21</v>
      </c>
      <c r="J448" s="2" t="s">
        <v>27</v>
      </c>
      <c r="M448" t="str">
        <f t="shared" si="24"/>
        <v>Female</v>
      </c>
      <c r="N448" t="str">
        <f t="shared" si="25"/>
        <v>Kolkata</v>
      </c>
      <c r="O448" t="str">
        <f t="shared" si="26"/>
        <v>Bengali</v>
      </c>
      <c r="P448" t="str">
        <f t="shared" si="27"/>
        <v>Standard</v>
      </c>
    </row>
    <row r="449" spans="1:16" x14ac:dyDescent="0.3">
      <c r="A449" s="2" t="s">
        <v>493</v>
      </c>
      <c r="B449" s="2" t="s">
        <v>61</v>
      </c>
      <c r="C449" s="3">
        <v>27</v>
      </c>
      <c r="D449" t="s">
        <v>18</v>
      </c>
      <c r="E449" s="2" t="s">
        <v>13</v>
      </c>
      <c r="F449" s="2" t="s">
        <v>25</v>
      </c>
      <c r="G449">
        <v>14</v>
      </c>
      <c r="H449" s="4">
        <v>44849</v>
      </c>
      <c r="I449" s="2" t="s">
        <v>39</v>
      </c>
      <c r="J449" s="2" t="s">
        <v>16</v>
      </c>
      <c r="M449" t="str">
        <f t="shared" si="24"/>
        <v>Male</v>
      </c>
      <c r="N449" t="str">
        <f t="shared" si="25"/>
        <v>Mumbai</v>
      </c>
      <c r="O449" t="str">
        <f t="shared" si="26"/>
        <v>Tamil</v>
      </c>
      <c r="P449" t="str">
        <f t="shared" si="27"/>
        <v>Basic</v>
      </c>
    </row>
    <row r="450" spans="1:16" x14ac:dyDescent="0.3">
      <c r="A450" s="2" t="s">
        <v>494</v>
      </c>
      <c r="B450" s="2" t="s">
        <v>31</v>
      </c>
      <c r="C450" s="3">
        <v>23</v>
      </c>
      <c r="D450" t="s">
        <v>32</v>
      </c>
      <c r="E450" s="2" t="s">
        <v>19</v>
      </c>
      <c r="F450" s="2" t="s">
        <v>38</v>
      </c>
      <c r="G450">
        <v>28</v>
      </c>
      <c r="H450" s="4">
        <v>44429</v>
      </c>
      <c r="I450" s="2" t="s">
        <v>34</v>
      </c>
      <c r="J450" s="2" t="s">
        <v>22</v>
      </c>
      <c r="M450" t="str">
        <f t="shared" si="24"/>
        <v>Female</v>
      </c>
      <c r="N450" t="str">
        <f t="shared" si="25"/>
        <v>Delhi</v>
      </c>
      <c r="O450" t="str">
        <f t="shared" si="26"/>
        <v>Marathi</v>
      </c>
      <c r="P450" t="str">
        <f t="shared" si="27"/>
        <v>Premium</v>
      </c>
    </row>
    <row r="451" spans="1:16" x14ac:dyDescent="0.3">
      <c r="A451" s="2" t="s">
        <v>495</v>
      </c>
      <c r="B451" s="2" t="s">
        <v>42</v>
      </c>
      <c r="C451" s="3">
        <v>18</v>
      </c>
      <c r="D451" t="s">
        <v>32</v>
      </c>
      <c r="E451" s="2" t="s">
        <v>19</v>
      </c>
      <c r="F451" s="2" t="s">
        <v>33</v>
      </c>
      <c r="G451">
        <v>18</v>
      </c>
      <c r="H451" s="4">
        <v>44747</v>
      </c>
      <c r="I451" s="2" t="s">
        <v>26</v>
      </c>
      <c r="J451" s="2" t="s">
        <v>22</v>
      </c>
      <c r="M451" t="str">
        <f t="shared" ref="M451:M514" si="28">TRIM(E451)</f>
        <v>Female</v>
      </c>
      <c r="N451" t="str">
        <f t="shared" ref="N451:N514" si="29">TRIM(F451)</f>
        <v>Jaipur</v>
      </c>
      <c r="O451" t="str">
        <f t="shared" ref="O451:O514" si="30">TRIM(I451)</f>
        <v>Malayalam</v>
      </c>
      <c r="P451" t="str">
        <f t="shared" ref="P451:P514" si="31">TRIM(J451)</f>
        <v>Premium</v>
      </c>
    </row>
    <row r="452" spans="1:16" x14ac:dyDescent="0.3">
      <c r="A452" s="2" t="s">
        <v>496</v>
      </c>
      <c r="B452" s="2" t="s">
        <v>31</v>
      </c>
      <c r="C452" s="3">
        <v>26</v>
      </c>
      <c r="D452" t="s">
        <v>18</v>
      </c>
      <c r="E452" s="2" t="s">
        <v>13</v>
      </c>
      <c r="F452" s="2" t="s">
        <v>20</v>
      </c>
      <c r="G452">
        <v>19</v>
      </c>
      <c r="H452" s="4">
        <v>44700</v>
      </c>
      <c r="I452" s="2" t="s">
        <v>26</v>
      </c>
      <c r="J452" s="2" t="s">
        <v>27</v>
      </c>
      <c r="M452" t="str">
        <f t="shared" si="28"/>
        <v>Male</v>
      </c>
      <c r="N452" t="str">
        <f t="shared" si="29"/>
        <v>Chennai</v>
      </c>
      <c r="O452" t="str">
        <f t="shared" si="30"/>
        <v>Malayalam</v>
      </c>
      <c r="P452" t="str">
        <f t="shared" si="31"/>
        <v>Standard</v>
      </c>
    </row>
    <row r="453" spans="1:16" x14ac:dyDescent="0.3">
      <c r="A453" s="2" t="s">
        <v>497</v>
      </c>
      <c r="B453" s="2" t="s">
        <v>42</v>
      </c>
      <c r="C453" s="3">
        <v>36</v>
      </c>
      <c r="D453" t="s">
        <v>12</v>
      </c>
      <c r="E453" s="2" t="s">
        <v>19</v>
      </c>
      <c r="F453" s="2" t="s">
        <v>56</v>
      </c>
      <c r="G453">
        <v>33</v>
      </c>
      <c r="H453" s="4">
        <v>44289</v>
      </c>
      <c r="I453" s="2" t="s">
        <v>34</v>
      </c>
      <c r="J453" s="2" t="s">
        <v>22</v>
      </c>
      <c r="M453" t="str">
        <f t="shared" si="28"/>
        <v>Female</v>
      </c>
      <c r="N453" t="str">
        <f t="shared" si="29"/>
        <v>Hyderabad</v>
      </c>
      <c r="O453" t="str">
        <f t="shared" si="30"/>
        <v>Marathi</v>
      </c>
      <c r="P453" t="str">
        <f t="shared" si="31"/>
        <v>Premium</v>
      </c>
    </row>
    <row r="454" spans="1:16" x14ac:dyDescent="0.3">
      <c r="A454" s="2" t="s">
        <v>498</v>
      </c>
      <c r="B454" s="2" t="s">
        <v>11</v>
      </c>
      <c r="C454" s="3">
        <v>48</v>
      </c>
      <c r="D454" t="s">
        <v>46</v>
      </c>
      <c r="E454" s="2" t="s">
        <v>13</v>
      </c>
      <c r="F454" s="2" t="s">
        <v>56</v>
      </c>
      <c r="G454">
        <v>56</v>
      </c>
      <c r="H454" s="4">
        <v>43599</v>
      </c>
      <c r="I454" s="2" t="s">
        <v>29</v>
      </c>
      <c r="J454" s="2" t="s">
        <v>27</v>
      </c>
      <c r="M454" t="str">
        <f t="shared" si="28"/>
        <v>Male</v>
      </c>
      <c r="N454" t="str">
        <f t="shared" si="29"/>
        <v>Hyderabad</v>
      </c>
      <c r="O454" t="str">
        <f t="shared" si="30"/>
        <v>English</v>
      </c>
      <c r="P454" t="str">
        <f t="shared" si="31"/>
        <v>Standard</v>
      </c>
    </row>
    <row r="455" spans="1:16" x14ac:dyDescent="0.3">
      <c r="A455" s="2" t="s">
        <v>499</v>
      </c>
      <c r="B455" s="2" t="s">
        <v>24</v>
      </c>
      <c r="C455" s="3">
        <v>36</v>
      </c>
      <c r="D455" t="s">
        <v>12</v>
      </c>
      <c r="E455" s="2" t="s">
        <v>19</v>
      </c>
      <c r="F455" s="2" t="s">
        <v>54</v>
      </c>
      <c r="G455">
        <v>30</v>
      </c>
      <c r="H455" s="4">
        <v>44364</v>
      </c>
      <c r="I455" s="2" t="s">
        <v>34</v>
      </c>
      <c r="J455" s="2" t="s">
        <v>22</v>
      </c>
      <c r="M455" t="str">
        <f t="shared" si="28"/>
        <v>Female</v>
      </c>
      <c r="N455" t="str">
        <f t="shared" si="29"/>
        <v>Bangalore</v>
      </c>
      <c r="O455" t="str">
        <f t="shared" si="30"/>
        <v>Marathi</v>
      </c>
      <c r="P455" t="str">
        <f t="shared" si="31"/>
        <v>Premium</v>
      </c>
    </row>
    <row r="456" spans="1:16" x14ac:dyDescent="0.3">
      <c r="A456" s="2" t="s">
        <v>500</v>
      </c>
      <c r="B456" s="2" t="s">
        <v>11</v>
      </c>
      <c r="C456" s="3">
        <v>40</v>
      </c>
      <c r="D456" t="s">
        <v>12</v>
      </c>
      <c r="E456" s="2" t="s">
        <v>19</v>
      </c>
      <c r="F456" s="2" t="s">
        <v>38</v>
      </c>
      <c r="G456">
        <v>57</v>
      </c>
      <c r="H456" s="4">
        <v>43574</v>
      </c>
      <c r="I456" s="2" t="s">
        <v>39</v>
      </c>
      <c r="J456" s="2" t="s">
        <v>22</v>
      </c>
      <c r="M456" t="str">
        <f t="shared" si="28"/>
        <v>Female</v>
      </c>
      <c r="N456" t="str">
        <f t="shared" si="29"/>
        <v>Delhi</v>
      </c>
      <c r="O456" t="str">
        <f t="shared" si="30"/>
        <v>Tamil</v>
      </c>
      <c r="P456" t="str">
        <f t="shared" si="31"/>
        <v>Premium</v>
      </c>
    </row>
    <row r="457" spans="1:16" x14ac:dyDescent="0.3">
      <c r="A457" s="2" t="s">
        <v>501</v>
      </c>
      <c r="B457" s="2" t="s">
        <v>31</v>
      </c>
      <c r="C457" s="3">
        <v>30</v>
      </c>
      <c r="D457" t="s">
        <v>18</v>
      </c>
      <c r="E457" s="2" t="s">
        <v>13</v>
      </c>
      <c r="F457" s="2" t="s">
        <v>54</v>
      </c>
      <c r="G457">
        <v>1</v>
      </c>
      <c r="H457" s="4">
        <v>45256</v>
      </c>
      <c r="I457" s="2" t="s">
        <v>49</v>
      </c>
      <c r="J457" s="2" t="s">
        <v>16</v>
      </c>
      <c r="M457" t="str">
        <f t="shared" si="28"/>
        <v>Male</v>
      </c>
      <c r="N457" t="str">
        <f t="shared" si="29"/>
        <v>Bangalore</v>
      </c>
      <c r="O457" t="str">
        <f t="shared" si="30"/>
        <v>Kannada</v>
      </c>
      <c r="P457" t="str">
        <f t="shared" si="31"/>
        <v>Basic</v>
      </c>
    </row>
    <row r="458" spans="1:16" x14ac:dyDescent="0.3">
      <c r="A458" s="2" t="s">
        <v>502</v>
      </c>
      <c r="B458" s="2" t="s">
        <v>24</v>
      </c>
      <c r="C458" s="3">
        <v>38</v>
      </c>
      <c r="D458" t="s">
        <v>12</v>
      </c>
      <c r="E458" s="2" t="s">
        <v>13</v>
      </c>
      <c r="F458" s="2" t="s">
        <v>54</v>
      </c>
      <c r="G458">
        <v>18</v>
      </c>
      <c r="H458" s="4">
        <v>44729</v>
      </c>
      <c r="I458" s="2" t="s">
        <v>39</v>
      </c>
      <c r="J458" s="2" t="s">
        <v>22</v>
      </c>
      <c r="M458" t="str">
        <f t="shared" si="28"/>
        <v>Male</v>
      </c>
      <c r="N458" t="str">
        <f t="shared" si="29"/>
        <v>Bangalore</v>
      </c>
      <c r="O458" t="str">
        <f t="shared" si="30"/>
        <v>Tamil</v>
      </c>
      <c r="P458" t="str">
        <f t="shared" si="31"/>
        <v>Premium</v>
      </c>
    </row>
    <row r="459" spans="1:16" x14ac:dyDescent="0.3">
      <c r="A459" s="2" t="s">
        <v>503</v>
      </c>
      <c r="B459" s="2" t="s">
        <v>61</v>
      </c>
      <c r="C459" s="3">
        <v>29</v>
      </c>
      <c r="D459" t="s">
        <v>18</v>
      </c>
      <c r="E459" s="2" t="s">
        <v>19</v>
      </c>
      <c r="F459" s="2" t="s">
        <v>88</v>
      </c>
      <c r="G459">
        <v>43</v>
      </c>
      <c r="H459" s="4">
        <v>43979</v>
      </c>
      <c r="I459" s="2" t="s">
        <v>15</v>
      </c>
      <c r="J459" s="2" t="s">
        <v>65</v>
      </c>
      <c r="M459" t="str">
        <f t="shared" si="28"/>
        <v>Female</v>
      </c>
      <c r="N459" t="str">
        <f t="shared" si="29"/>
        <v>Lucknow</v>
      </c>
      <c r="O459" t="str">
        <f t="shared" si="30"/>
        <v>Telugu</v>
      </c>
      <c r="P459" t="str">
        <f t="shared" si="31"/>
        <v>Family</v>
      </c>
    </row>
    <row r="460" spans="1:16" x14ac:dyDescent="0.3">
      <c r="A460" s="2" t="s">
        <v>504</v>
      </c>
      <c r="B460" s="2" t="s">
        <v>31</v>
      </c>
      <c r="C460" s="3">
        <v>28</v>
      </c>
      <c r="D460" t="s">
        <v>18</v>
      </c>
      <c r="E460" s="2" t="s">
        <v>19</v>
      </c>
      <c r="F460" s="2" t="s">
        <v>25</v>
      </c>
      <c r="G460">
        <v>50</v>
      </c>
      <c r="H460" s="4">
        <v>43791</v>
      </c>
      <c r="I460" s="2" t="s">
        <v>62</v>
      </c>
      <c r="J460" s="2" t="s">
        <v>27</v>
      </c>
      <c r="M460" t="str">
        <f t="shared" si="28"/>
        <v>Female</v>
      </c>
      <c r="N460" t="str">
        <f t="shared" si="29"/>
        <v>Mumbai</v>
      </c>
      <c r="O460" t="str">
        <f t="shared" si="30"/>
        <v>Gujarati</v>
      </c>
      <c r="P460" t="str">
        <f t="shared" si="31"/>
        <v>Standard</v>
      </c>
    </row>
    <row r="461" spans="1:16" x14ac:dyDescent="0.3">
      <c r="A461" s="2" t="s">
        <v>505</v>
      </c>
      <c r="B461" s="2" t="s">
        <v>11</v>
      </c>
      <c r="C461" s="3">
        <v>32</v>
      </c>
      <c r="D461" t="s">
        <v>18</v>
      </c>
      <c r="E461" s="2" t="s">
        <v>13</v>
      </c>
      <c r="F461" s="2" t="s">
        <v>64</v>
      </c>
      <c r="G461">
        <v>59</v>
      </c>
      <c r="H461" s="4">
        <v>43509</v>
      </c>
      <c r="I461" s="2" t="s">
        <v>15</v>
      </c>
      <c r="J461" s="2" t="s">
        <v>27</v>
      </c>
      <c r="M461" t="str">
        <f t="shared" si="28"/>
        <v>Male</v>
      </c>
      <c r="N461" t="str">
        <f t="shared" si="29"/>
        <v>Pune</v>
      </c>
      <c r="O461" t="str">
        <f t="shared" si="30"/>
        <v>Telugu</v>
      </c>
      <c r="P461" t="str">
        <f t="shared" si="31"/>
        <v>Standard</v>
      </c>
    </row>
    <row r="462" spans="1:16" x14ac:dyDescent="0.3">
      <c r="A462" s="2" t="s">
        <v>506</v>
      </c>
      <c r="B462" s="2" t="s">
        <v>24</v>
      </c>
      <c r="C462" s="3">
        <v>36</v>
      </c>
      <c r="D462" t="s">
        <v>12</v>
      </c>
      <c r="E462" s="2" t="s">
        <v>13</v>
      </c>
      <c r="F462" s="2" t="s">
        <v>88</v>
      </c>
      <c r="G462">
        <v>47</v>
      </c>
      <c r="H462" s="4">
        <v>43861</v>
      </c>
      <c r="I462" s="2" t="s">
        <v>26</v>
      </c>
      <c r="J462" s="2" t="s">
        <v>16</v>
      </c>
      <c r="M462" t="str">
        <f t="shared" si="28"/>
        <v>Male</v>
      </c>
      <c r="N462" t="str">
        <f t="shared" si="29"/>
        <v>Lucknow</v>
      </c>
      <c r="O462" t="str">
        <f t="shared" si="30"/>
        <v>Malayalam</v>
      </c>
      <c r="P462" t="str">
        <f t="shared" si="31"/>
        <v>Basic</v>
      </c>
    </row>
    <row r="463" spans="1:16" x14ac:dyDescent="0.3">
      <c r="A463" s="2" t="s">
        <v>507</v>
      </c>
      <c r="B463" s="2" t="s">
        <v>31</v>
      </c>
      <c r="C463" s="3">
        <v>29</v>
      </c>
      <c r="D463" t="s">
        <v>18</v>
      </c>
      <c r="E463" s="2" t="s">
        <v>13</v>
      </c>
      <c r="F463" s="2" t="s">
        <v>56</v>
      </c>
      <c r="G463">
        <v>17</v>
      </c>
      <c r="H463" s="4">
        <v>44782</v>
      </c>
      <c r="I463" s="2" t="s">
        <v>26</v>
      </c>
      <c r="J463" s="2" t="s">
        <v>65</v>
      </c>
      <c r="M463" t="str">
        <f t="shared" si="28"/>
        <v>Male</v>
      </c>
      <c r="N463" t="str">
        <f t="shared" si="29"/>
        <v>Hyderabad</v>
      </c>
      <c r="O463" t="str">
        <f t="shared" si="30"/>
        <v>Malayalam</v>
      </c>
      <c r="P463" t="str">
        <f t="shared" si="31"/>
        <v>Family</v>
      </c>
    </row>
    <row r="464" spans="1:16" x14ac:dyDescent="0.3">
      <c r="A464" s="2" t="s">
        <v>508</v>
      </c>
      <c r="B464" s="2" t="s">
        <v>61</v>
      </c>
      <c r="C464" s="3">
        <v>33</v>
      </c>
      <c r="D464" t="s">
        <v>18</v>
      </c>
      <c r="E464" s="2" t="s">
        <v>19</v>
      </c>
      <c r="F464" s="2" t="s">
        <v>54</v>
      </c>
      <c r="G464">
        <v>39</v>
      </c>
      <c r="H464" s="4">
        <v>44117</v>
      </c>
      <c r="I464" s="2" t="s">
        <v>47</v>
      </c>
      <c r="J464" s="2" t="s">
        <v>27</v>
      </c>
      <c r="M464" t="str">
        <f t="shared" si="28"/>
        <v>Female</v>
      </c>
      <c r="N464" t="str">
        <f t="shared" si="29"/>
        <v>Bangalore</v>
      </c>
      <c r="O464" t="str">
        <f t="shared" si="30"/>
        <v>Hindi</v>
      </c>
      <c r="P464" t="str">
        <f t="shared" si="31"/>
        <v>Standard</v>
      </c>
    </row>
    <row r="465" spans="1:16" x14ac:dyDescent="0.3">
      <c r="A465" s="2" t="s">
        <v>509</v>
      </c>
      <c r="B465" s="2" t="s">
        <v>24</v>
      </c>
      <c r="C465" s="3">
        <v>25</v>
      </c>
      <c r="D465" t="s">
        <v>18</v>
      </c>
      <c r="E465" s="2" t="s">
        <v>105</v>
      </c>
      <c r="F465" s="2" t="s">
        <v>36</v>
      </c>
      <c r="G465">
        <v>60</v>
      </c>
      <c r="H465" s="4">
        <v>43477</v>
      </c>
      <c r="I465" s="2" t="s">
        <v>21</v>
      </c>
      <c r="J465" s="2" t="s">
        <v>22</v>
      </c>
      <c r="M465" t="str">
        <f t="shared" si="28"/>
        <v>Non-Binary</v>
      </c>
      <c r="N465" t="str">
        <f t="shared" si="29"/>
        <v>Ahmedabad</v>
      </c>
      <c r="O465" t="str">
        <f t="shared" si="30"/>
        <v>Bengali</v>
      </c>
      <c r="P465" t="str">
        <f t="shared" si="31"/>
        <v>Premium</v>
      </c>
    </row>
    <row r="466" spans="1:16" x14ac:dyDescent="0.3">
      <c r="A466" s="2" t="s">
        <v>510</v>
      </c>
      <c r="B466" s="2" t="s">
        <v>11</v>
      </c>
      <c r="C466" s="3">
        <v>24</v>
      </c>
      <c r="D466" t="s">
        <v>32</v>
      </c>
      <c r="E466" s="2" t="s">
        <v>13</v>
      </c>
      <c r="F466" s="2" t="s">
        <v>54</v>
      </c>
      <c r="G466">
        <v>38</v>
      </c>
      <c r="H466" s="4">
        <v>44124</v>
      </c>
      <c r="I466" s="2" t="s">
        <v>26</v>
      </c>
      <c r="J466" s="2" t="s">
        <v>16</v>
      </c>
      <c r="M466" t="str">
        <f t="shared" si="28"/>
        <v>Male</v>
      </c>
      <c r="N466" t="str">
        <f t="shared" si="29"/>
        <v>Bangalore</v>
      </c>
      <c r="O466" t="str">
        <f t="shared" si="30"/>
        <v>Malayalam</v>
      </c>
      <c r="P466" t="str">
        <f t="shared" si="31"/>
        <v>Basic</v>
      </c>
    </row>
    <row r="467" spans="1:16" x14ac:dyDescent="0.3">
      <c r="A467" s="2" t="s">
        <v>511</v>
      </c>
      <c r="B467" s="2" t="s">
        <v>24</v>
      </c>
      <c r="C467" s="3">
        <v>43</v>
      </c>
      <c r="D467" t="s">
        <v>12</v>
      </c>
      <c r="E467" s="2" t="s">
        <v>105</v>
      </c>
      <c r="F467" s="2" t="s">
        <v>33</v>
      </c>
      <c r="G467">
        <v>34</v>
      </c>
      <c r="H467" s="4">
        <v>44269</v>
      </c>
      <c r="I467" s="2" t="s">
        <v>26</v>
      </c>
      <c r="J467" s="2" t="s">
        <v>27</v>
      </c>
      <c r="M467" t="str">
        <f t="shared" si="28"/>
        <v>Non-Binary</v>
      </c>
      <c r="N467" t="str">
        <f t="shared" si="29"/>
        <v>Jaipur</v>
      </c>
      <c r="O467" t="str">
        <f t="shared" si="30"/>
        <v>Malayalam</v>
      </c>
      <c r="P467" t="str">
        <f t="shared" si="31"/>
        <v>Standard</v>
      </c>
    </row>
    <row r="468" spans="1:16" x14ac:dyDescent="0.3">
      <c r="A468" s="2" t="s">
        <v>512</v>
      </c>
      <c r="B468" s="2" t="s">
        <v>11</v>
      </c>
      <c r="C468" s="3">
        <v>44</v>
      </c>
      <c r="D468" t="s">
        <v>12</v>
      </c>
      <c r="E468" s="2" t="s">
        <v>19</v>
      </c>
      <c r="F468" s="2" t="s">
        <v>20</v>
      </c>
      <c r="G468">
        <v>40</v>
      </c>
      <c r="H468" s="4">
        <v>44067</v>
      </c>
      <c r="I468" s="2" t="s">
        <v>47</v>
      </c>
      <c r="J468" s="2" t="s">
        <v>27</v>
      </c>
      <c r="M468" t="str">
        <f t="shared" si="28"/>
        <v>Female</v>
      </c>
      <c r="N468" t="str">
        <f t="shared" si="29"/>
        <v>Chennai</v>
      </c>
      <c r="O468" t="str">
        <f t="shared" si="30"/>
        <v>Hindi</v>
      </c>
      <c r="P468" t="str">
        <f t="shared" si="31"/>
        <v>Standard</v>
      </c>
    </row>
    <row r="469" spans="1:16" x14ac:dyDescent="0.3">
      <c r="A469" s="2" t="s">
        <v>513</v>
      </c>
      <c r="B469" s="2" t="s">
        <v>24</v>
      </c>
      <c r="C469" s="3">
        <v>31</v>
      </c>
      <c r="D469" t="s">
        <v>18</v>
      </c>
      <c r="E469" s="2" t="s">
        <v>19</v>
      </c>
      <c r="F469" s="2" t="s">
        <v>38</v>
      </c>
      <c r="G469">
        <v>58</v>
      </c>
      <c r="H469" s="4">
        <v>43548</v>
      </c>
      <c r="I469" s="2" t="s">
        <v>34</v>
      </c>
      <c r="J469" s="2" t="s">
        <v>16</v>
      </c>
      <c r="M469" t="str">
        <f t="shared" si="28"/>
        <v>Female</v>
      </c>
      <c r="N469" t="str">
        <f t="shared" si="29"/>
        <v>Delhi</v>
      </c>
      <c r="O469" t="str">
        <f t="shared" si="30"/>
        <v>Marathi</v>
      </c>
      <c r="P469" t="str">
        <f t="shared" si="31"/>
        <v>Basic</v>
      </c>
    </row>
    <row r="470" spans="1:16" x14ac:dyDescent="0.3">
      <c r="A470" s="2" t="s">
        <v>514</v>
      </c>
      <c r="B470" s="2" t="s">
        <v>24</v>
      </c>
      <c r="C470" s="3">
        <v>31</v>
      </c>
      <c r="D470" t="s">
        <v>18</v>
      </c>
      <c r="E470" s="2" t="s">
        <v>19</v>
      </c>
      <c r="F470" s="2" t="s">
        <v>88</v>
      </c>
      <c r="G470">
        <v>9</v>
      </c>
      <c r="H470" s="4">
        <v>44998</v>
      </c>
      <c r="I470" s="2" t="s">
        <v>15</v>
      </c>
      <c r="J470" s="2" t="s">
        <v>22</v>
      </c>
      <c r="M470" t="str">
        <f t="shared" si="28"/>
        <v>Female</v>
      </c>
      <c r="N470" t="str">
        <f t="shared" si="29"/>
        <v>Lucknow</v>
      </c>
      <c r="O470" t="str">
        <f t="shared" si="30"/>
        <v>Telugu</v>
      </c>
      <c r="P470" t="str">
        <f t="shared" si="31"/>
        <v>Premium</v>
      </c>
    </row>
    <row r="471" spans="1:16" x14ac:dyDescent="0.3">
      <c r="A471" s="2" t="s">
        <v>515</v>
      </c>
      <c r="B471" s="2" t="s">
        <v>42</v>
      </c>
      <c r="C471" s="3">
        <v>28</v>
      </c>
      <c r="D471" t="s">
        <v>18</v>
      </c>
      <c r="E471" s="2" t="s">
        <v>13</v>
      </c>
      <c r="F471" s="2" t="s">
        <v>20</v>
      </c>
      <c r="G471">
        <v>12</v>
      </c>
      <c r="H471" s="4">
        <v>44929</v>
      </c>
      <c r="I471" s="2" t="s">
        <v>49</v>
      </c>
      <c r="J471" s="2" t="s">
        <v>22</v>
      </c>
      <c r="M471" t="str">
        <f t="shared" si="28"/>
        <v>Male</v>
      </c>
      <c r="N471" t="str">
        <f t="shared" si="29"/>
        <v>Chennai</v>
      </c>
      <c r="O471" t="str">
        <f t="shared" si="30"/>
        <v>Kannada</v>
      </c>
      <c r="P471" t="str">
        <f t="shared" si="31"/>
        <v>Premium</v>
      </c>
    </row>
    <row r="472" spans="1:16" x14ac:dyDescent="0.3">
      <c r="A472" s="2" t="s">
        <v>516</v>
      </c>
      <c r="B472" s="2" t="s">
        <v>11</v>
      </c>
      <c r="C472" s="3">
        <v>44</v>
      </c>
      <c r="D472" t="s">
        <v>12</v>
      </c>
      <c r="E472" s="2" t="s">
        <v>13</v>
      </c>
      <c r="F472" s="2" t="s">
        <v>38</v>
      </c>
      <c r="G472">
        <v>57</v>
      </c>
      <c r="H472" s="4">
        <v>43558</v>
      </c>
      <c r="I472" s="2" t="s">
        <v>34</v>
      </c>
      <c r="J472" s="2" t="s">
        <v>27</v>
      </c>
      <c r="M472" t="str">
        <f t="shared" si="28"/>
        <v>Male</v>
      </c>
      <c r="N472" t="str">
        <f t="shared" si="29"/>
        <v>Delhi</v>
      </c>
      <c r="O472" t="str">
        <f t="shared" si="30"/>
        <v>Marathi</v>
      </c>
      <c r="P472" t="str">
        <f t="shared" si="31"/>
        <v>Standard</v>
      </c>
    </row>
    <row r="473" spans="1:16" x14ac:dyDescent="0.3">
      <c r="A473" s="2" t="s">
        <v>517</v>
      </c>
      <c r="B473" s="2" t="s">
        <v>24</v>
      </c>
      <c r="C473" s="3">
        <v>41</v>
      </c>
      <c r="D473" t="s">
        <v>12</v>
      </c>
      <c r="E473" s="2" t="s">
        <v>13</v>
      </c>
      <c r="F473" s="2" t="s">
        <v>56</v>
      </c>
      <c r="G473">
        <v>32</v>
      </c>
      <c r="H473" s="4">
        <v>44313</v>
      </c>
      <c r="I473" s="2" t="s">
        <v>15</v>
      </c>
      <c r="J473" s="2" t="s">
        <v>27</v>
      </c>
      <c r="M473" t="str">
        <f t="shared" si="28"/>
        <v>Male</v>
      </c>
      <c r="N473" t="str">
        <f t="shared" si="29"/>
        <v>Hyderabad</v>
      </c>
      <c r="O473" t="str">
        <f t="shared" si="30"/>
        <v>Telugu</v>
      </c>
      <c r="P473" t="str">
        <f t="shared" si="31"/>
        <v>Standard</v>
      </c>
    </row>
    <row r="474" spans="1:16" x14ac:dyDescent="0.3">
      <c r="A474" s="2" t="s">
        <v>518</v>
      </c>
      <c r="B474" s="2" t="s">
        <v>31</v>
      </c>
      <c r="C474" s="3">
        <v>35</v>
      </c>
      <c r="D474" t="s">
        <v>12</v>
      </c>
      <c r="E474" s="2" t="s">
        <v>13</v>
      </c>
      <c r="F474" s="2" t="s">
        <v>14</v>
      </c>
      <c r="G474">
        <v>58</v>
      </c>
      <c r="H474" s="4">
        <v>43539</v>
      </c>
      <c r="I474" s="2" t="s">
        <v>15</v>
      </c>
      <c r="J474" s="2" t="s">
        <v>27</v>
      </c>
      <c r="M474" t="str">
        <f t="shared" si="28"/>
        <v>Male</v>
      </c>
      <c r="N474" t="str">
        <f t="shared" si="29"/>
        <v>Kolkata</v>
      </c>
      <c r="O474" t="str">
        <f t="shared" si="30"/>
        <v>Telugu</v>
      </c>
      <c r="P474" t="str">
        <f t="shared" si="31"/>
        <v>Standard</v>
      </c>
    </row>
    <row r="475" spans="1:16" x14ac:dyDescent="0.3">
      <c r="A475" s="2" t="s">
        <v>519</v>
      </c>
      <c r="B475" s="2" t="s">
        <v>42</v>
      </c>
      <c r="C475" s="3">
        <v>28</v>
      </c>
      <c r="D475" t="s">
        <v>18</v>
      </c>
      <c r="E475" s="2" t="s">
        <v>13</v>
      </c>
      <c r="F475" s="2" t="s">
        <v>88</v>
      </c>
      <c r="G475">
        <v>6</v>
      </c>
      <c r="H475" s="4">
        <v>45095</v>
      </c>
      <c r="I475" s="2" t="s">
        <v>62</v>
      </c>
      <c r="J475" s="2" t="s">
        <v>16</v>
      </c>
      <c r="M475" t="str">
        <f t="shared" si="28"/>
        <v>Male</v>
      </c>
      <c r="N475" t="str">
        <f t="shared" si="29"/>
        <v>Lucknow</v>
      </c>
      <c r="O475" t="str">
        <f t="shared" si="30"/>
        <v>Gujarati</v>
      </c>
      <c r="P475" t="str">
        <f t="shared" si="31"/>
        <v>Basic</v>
      </c>
    </row>
    <row r="476" spans="1:16" x14ac:dyDescent="0.3">
      <c r="A476" s="2" t="s">
        <v>520</v>
      </c>
      <c r="B476" s="2" t="s">
        <v>24</v>
      </c>
      <c r="C476" s="3">
        <v>24</v>
      </c>
      <c r="D476" t="s">
        <v>32</v>
      </c>
      <c r="E476" s="2" t="s">
        <v>19</v>
      </c>
      <c r="F476" s="2" t="s">
        <v>88</v>
      </c>
      <c r="G476">
        <v>56</v>
      </c>
      <c r="H476" s="4">
        <v>43608</v>
      </c>
      <c r="I476" s="2" t="s">
        <v>21</v>
      </c>
      <c r="J476" s="2" t="s">
        <v>27</v>
      </c>
      <c r="M476" t="str">
        <f t="shared" si="28"/>
        <v>Female</v>
      </c>
      <c r="N476" t="str">
        <f t="shared" si="29"/>
        <v>Lucknow</v>
      </c>
      <c r="O476" t="str">
        <f t="shared" si="30"/>
        <v>Bengali</v>
      </c>
      <c r="P476" t="str">
        <f t="shared" si="31"/>
        <v>Standard</v>
      </c>
    </row>
    <row r="477" spans="1:16" x14ac:dyDescent="0.3">
      <c r="A477" s="2" t="s">
        <v>521</v>
      </c>
      <c r="B477" s="2" t="s">
        <v>31</v>
      </c>
      <c r="C477" s="3">
        <v>28</v>
      </c>
      <c r="D477" t="s">
        <v>18</v>
      </c>
      <c r="E477" s="2" t="s">
        <v>13</v>
      </c>
      <c r="F477" s="2" t="s">
        <v>54</v>
      </c>
      <c r="G477">
        <v>45</v>
      </c>
      <c r="H477" s="4">
        <v>43919</v>
      </c>
      <c r="I477" s="2" t="s">
        <v>26</v>
      </c>
      <c r="J477" s="2" t="s">
        <v>27</v>
      </c>
      <c r="M477" t="str">
        <f t="shared" si="28"/>
        <v>Male</v>
      </c>
      <c r="N477" t="str">
        <f t="shared" si="29"/>
        <v>Bangalore</v>
      </c>
      <c r="O477" t="str">
        <f t="shared" si="30"/>
        <v>Malayalam</v>
      </c>
      <c r="P477" t="str">
        <f t="shared" si="31"/>
        <v>Standard</v>
      </c>
    </row>
    <row r="478" spans="1:16" x14ac:dyDescent="0.3">
      <c r="A478" s="2" t="s">
        <v>522</v>
      </c>
      <c r="B478" s="2" t="s">
        <v>24</v>
      </c>
      <c r="C478" s="3">
        <v>29</v>
      </c>
      <c r="D478" t="s">
        <v>18</v>
      </c>
      <c r="E478" s="2" t="s">
        <v>13</v>
      </c>
      <c r="F478" s="2" t="s">
        <v>54</v>
      </c>
      <c r="G478">
        <v>10</v>
      </c>
      <c r="H478" s="4">
        <v>44986</v>
      </c>
      <c r="I478" s="2" t="s">
        <v>47</v>
      </c>
      <c r="J478" s="2" t="s">
        <v>16</v>
      </c>
      <c r="M478" t="str">
        <f t="shared" si="28"/>
        <v>Male</v>
      </c>
      <c r="N478" t="str">
        <f t="shared" si="29"/>
        <v>Bangalore</v>
      </c>
      <c r="O478" t="str">
        <f t="shared" si="30"/>
        <v>Hindi</v>
      </c>
      <c r="P478" t="str">
        <f t="shared" si="31"/>
        <v>Basic</v>
      </c>
    </row>
    <row r="479" spans="1:16" x14ac:dyDescent="0.3">
      <c r="A479" s="2" t="s">
        <v>523</v>
      </c>
      <c r="B479" s="2" t="s">
        <v>42</v>
      </c>
      <c r="C479" s="3">
        <v>18</v>
      </c>
      <c r="D479" t="s">
        <v>32</v>
      </c>
      <c r="E479" s="2" t="s">
        <v>13</v>
      </c>
      <c r="F479" s="2" t="s">
        <v>14</v>
      </c>
      <c r="G479">
        <v>53</v>
      </c>
      <c r="H479" s="4">
        <v>43686</v>
      </c>
      <c r="I479" s="2" t="s">
        <v>26</v>
      </c>
      <c r="J479" s="2" t="s">
        <v>16</v>
      </c>
      <c r="M479" t="str">
        <f t="shared" si="28"/>
        <v>Male</v>
      </c>
      <c r="N479" t="str">
        <f t="shared" si="29"/>
        <v>Kolkata</v>
      </c>
      <c r="O479" t="str">
        <f t="shared" si="30"/>
        <v>Malayalam</v>
      </c>
      <c r="P479" t="str">
        <f t="shared" si="31"/>
        <v>Basic</v>
      </c>
    </row>
    <row r="480" spans="1:16" x14ac:dyDescent="0.3">
      <c r="A480" s="2" t="s">
        <v>524</v>
      </c>
      <c r="B480" s="2" t="s">
        <v>31</v>
      </c>
      <c r="C480" s="3">
        <v>32</v>
      </c>
      <c r="D480" t="s">
        <v>18</v>
      </c>
      <c r="E480" s="2" t="s">
        <v>19</v>
      </c>
      <c r="F480" s="2" t="s">
        <v>64</v>
      </c>
      <c r="G480">
        <v>4</v>
      </c>
      <c r="H480" s="4">
        <v>45158</v>
      </c>
      <c r="I480" s="2" t="s">
        <v>34</v>
      </c>
      <c r="J480" s="2" t="s">
        <v>16</v>
      </c>
      <c r="M480" t="str">
        <f t="shared" si="28"/>
        <v>Female</v>
      </c>
      <c r="N480" t="str">
        <f t="shared" si="29"/>
        <v>Pune</v>
      </c>
      <c r="O480" t="str">
        <f t="shared" si="30"/>
        <v>Marathi</v>
      </c>
      <c r="P480" t="str">
        <f t="shared" si="31"/>
        <v>Basic</v>
      </c>
    </row>
    <row r="481" spans="1:16" x14ac:dyDescent="0.3">
      <c r="A481" s="2" t="s">
        <v>525</v>
      </c>
      <c r="B481" s="2" t="s">
        <v>24</v>
      </c>
      <c r="C481" s="3">
        <v>41</v>
      </c>
      <c r="D481" t="s">
        <v>12</v>
      </c>
      <c r="E481" s="2" t="s">
        <v>19</v>
      </c>
      <c r="F481" s="2" t="s">
        <v>36</v>
      </c>
      <c r="G481">
        <v>16</v>
      </c>
      <c r="H481" s="4">
        <v>44788</v>
      </c>
      <c r="I481" s="2" t="s">
        <v>47</v>
      </c>
      <c r="J481" s="2" t="s">
        <v>27</v>
      </c>
      <c r="M481" t="str">
        <f t="shared" si="28"/>
        <v>Female</v>
      </c>
      <c r="N481" t="str">
        <f t="shared" si="29"/>
        <v>Ahmedabad</v>
      </c>
      <c r="O481" t="str">
        <f t="shared" si="30"/>
        <v>Hindi</v>
      </c>
      <c r="P481" t="str">
        <f t="shared" si="31"/>
        <v>Standard</v>
      </c>
    </row>
    <row r="482" spans="1:16" x14ac:dyDescent="0.3">
      <c r="A482" s="2" t="s">
        <v>526</v>
      </c>
      <c r="B482" s="2" t="s">
        <v>24</v>
      </c>
      <c r="C482" s="3">
        <v>28</v>
      </c>
      <c r="D482" t="s">
        <v>18</v>
      </c>
      <c r="E482" s="2" t="s">
        <v>13</v>
      </c>
      <c r="F482" s="2" t="s">
        <v>54</v>
      </c>
      <c r="G482">
        <v>20</v>
      </c>
      <c r="H482" s="4">
        <v>44673</v>
      </c>
      <c r="I482" s="2" t="s">
        <v>15</v>
      </c>
      <c r="J482" s="2" t="s">
        <v>27</v>
      </c>
      <c r="M482" t="str">
        <f t="shared" si="28"/>
        <v>Male</v>
      </c>
      <c r="N482" t="str">
        <f t="shared" si="29"/>
        <v>Bangalore</v>
      </c>
      <c r="O482" t="str">
        <f t="shared" si="30"/>
        <v>Telugu</v>
      </c>
      <c r="P482" t="str">
        <f t="shared" si="31"/>
        <v>Standard</v>
      </c>
    </row>
    <row r="483" spans="1:16" x14ac:dyDescent="0.3">
      <c r="A483" s="2" t="s">
        <v>527</v>
      </c>
      <c r="B483" s="2" t="s">
        <v>61</v>
      </c>
      <c r="C483" s="3">
        <v>40</v>
      </c>
      <c r="D483" t="s">
        <v>12</v>
      </c>
      <c r="E483" s="2" t="s">
        <v>19</v>
      </c>
      <c r="F483" s="2" t="s">
        <v>56</v>
      </c>
      <c r="G483">
        <v>55</v>
      </c>
      <c r="H483" s="4">
        <v>43632</v>
      </c>
      <c r="I483" s="2" t="s">
        <v>26</v>
      </c>
      <c r="J483" s="2" t="s">
        <v>22</v>
      </c>
      <c r="M483" t="str">
        <f t="shared" si="28"/>
        <v>Female</v>
      </c>
      <c r="N483" t="str">
        <f t="shared" si="29"/>
        <v>Hyderabad</v>
      </c>
      <c r="O483" t="str">
        <f t="shared" si="30"/>
        <v>Malayalam</v>
      </c>
      <c r="P483" t="str">
        <f t="shared" si="31"/>
        <v>Premium</v>
      </c>
    </row>
    <row r="484" spans="1:16" x14ac:dyDescent="0.3">
      <c r="A484" s="2" t="s">
        <v>528</v>
      </c>
      <c r="B484" s="2" t="s">
        <v>42</v>
      </c>
      <c r="C484" s="3">
        <v>24</v>
      </c>
      <c r="D484" t="s">
        <v>32</v>
      </c>
      <c r="E484" s="2" t="s">
        <v>19</v>
      </c>
      <c r="F484" s="2" t="s">
        <v>36</v>
      </c>
      <c r="G484">
        <v>21</v>
      </c>
      <c r="H484" s="4">
        <v>44641</v>
      </c>
      <c r="I484" s="2" t="s">
        <v>15</v>
      </c>
      <c r="J484" s="2" t="s">
        <v>16</v>
      </c>
      <c r="M484" t="str">
        <f t="shared" si="28"/>
        <v>Female</v>
      </c>
      <c r="N484" t="str">
        <f t="shared" si="29"/>
        <v>Ahmedabad</v>
      </c>
      <c r="O484" t="str">
        <f t="shared" si="30"/>
        <v>Telugu</v>
      </c>
      <c r="P484" t="str">
        <f t="shared" si="31"/>
        <v>Basic</v>
      </c>
    </row>
    <row r="485" spans="1:16" x14ac:dyDescent="0.3">
      <c r="A485" s="2" t="s">
        <v>529</v>
      </c>
      <c r="B485" s="2" t="s">
        <v>31</v>
      </c>
      <c r="C485" s="3">
        <v>18</v>
      </c>
      <c r="D485" t="s">
        <v>32</v>
      </c>
      <c r="E485" s="2" t="s">
        <v>13</v>
      </c>
      <c r="F485" s="2" t="s">
        <v>14</v>
      </c>
      <c r="G485">
        <v>24</v>
      </c>
      <c r="H485" s="4">
        <v>44566</v>
      </c>
      <c r="I485" s="2" t="s">
        <v>34</v>
      </c>
      <c r="J485" s="2" t="s">
        <v>22</v>
      </c>
      <c r="M485" t="str">
        <f t="shared" si="28"/>
        <v>Male</v>
      </c>
      <c r="N485" t="str">
        <f t="shared" si="29"/>
        <v>Kolkata</v>
      </c>
      <c r="O485" t="str">
        <f t="shared" si="30"/>
        <v>Marathi</v>
      </c>
      <c r="P485" t="str">
        <f t="shared" si="31"/>
        <v>Premium</v>
      </c>
    </row>
    <row r="486" spans="1:16" x14ac:dyDescent="0.3">
      <c r="A486" s="2" t="s">
        <v>530</v>
      </c>
      <c r="B486" s="2" t="s">
        <v>24</v>
      </c>
      <c r="C486" s="3">
        <v>26</v>
      </c>
      <c r="D486" t="s">
        <v>18</v>
      </c>
      <c r="E486" s="2" t="s">
        <v>13</v>
      </c>
      <c r="F486" s="2" t="s">
        <v>38</v>
      </c>
      <c r="G486">
        <v>8</v>
      </c>
      <c r="H486" s="4">
        <v>45046</v>
      </c>
      <c r="I486" s="2" t="s">
        <v>29</v>
      </c>
      <c r="J486" s="2" t="s">
        <v>22</v>
      </c>
      <c r="M486" t="str">
        <f t="shared" si="28"/>
        <v>Male</v>
      </c>
      <c r="N486" t="str">
        <f t="shared" si="29"/>
        <v>Delhi</v>
      </c>
      <c r="O486" t="str">
        <f t="shared" si="30"/>
        <v>English</v>
      </c>
      <c r="P486" t="str">
        <f t="shared" si="31"/>
        <v>Premium</v>
      </c>
    </row>
    <row r="487" spans="1:16" x14ac:dyDescent="0.3">
      <c r="A487" s="2" t="s">
        <v>531</v>
      </c>
      <c r="B487" s="2" t="s">
        <v>24</v>
      </c>
      <c r="C487" s="3">
        <v>30</v>
      </c>
      <c r="D487" t="s">
        <v>18</v>
      </c>
      <c r="E487" s="2" t="s">
        <v>19</v>
      </c>
      <c r="F487" s="2" t="s">
        <v>54</v>
      </c>
      <c r="G487">
        <v>45</v>
      </c>
      <c r="H487" s="4">
        <v>43937</v>
      </c>
      <c r="I487" s="2" t="s">
        <v>34</v>
      </c>
      <c r="J487" s="2" t="s">
        <v>27</v>
      </c>
      <c r="M487" t="str">
        <f t="shared" si="28"/>
        <v>Female</v>
      </c>
      <c r="N487" t="str">
        <f t="shared" si="29"/>
        <v>Bangalore</v>
      </c>
      <c r="O487" t="str">
        <f t="shared" si="30"/>
        <v>Marathi</v>
      </c>
      <c r="P487" t="str">
        <f t="shared" si="31"/>
        <v>Standard</v>
      </c>
    </row>
    <row r="488" spans="1:16" x14ac:dyDescent="0.3">
      <c r="A488" s="2" t="s">
        <v>532</v>
      </c>
      <c r="B488" s="2" t="s">
        <v>31</v>
      </c>
      <c r="C488" s="3">
        <v>18</v>
      </c>
      <c r="D488" t="s">
        <v>32</v>
      </c>
      <c r="E488" s="2" t="s">
        <v>13</v>
      </c>
      <c r="F488" s="2" t="s">
        <v>64</v>
      </c>
      <c r="G488">
        <v>25</v>
      </c>
      <c r="H488" s="4">
        <v>44524</v>
      </c>
      <c r="I488" s="2" t="s">
        <v>15</v>
      </c>
      <c r="J488" s="2" t="s">
        <v>16</v>
      </c>
      <c r="M488" t="str">
        <f t="shared" si="28"/>
        <v>Male</v>
      </c>
      <c r="N488" t="str">
        <f t="shared" si="29"/>
        <v>Pune</v>
      </c>
      <c r="O488" t="str">
        <f t="shared" si="30"/>
        <v>Telugu</v>
      </c>
      <c r="P488" t="str">
        <f t="shared" si="31"/>
        <v>Basic</v>
      </c>
    </row>
    <row r="489" spans="1:16" x14ac:dyDescent="0.3">
      <c r="A489" s="2" t="s">
        <v>533</v>
      </c>
      <c r="B489" s="2" t="s">
        <v>11</v>
      </c>
      <c r="C489" s="3">
        <v>26</v>
      </c>
      <c r="D489" t="s">
        <v>18</v>
      </c>
      <c r="E489" s="2" t="s">
        <v>19</v>
      </c>
      <c r="F489" s="2" t="s">
        <v>36</v>
      </c>
      <c r="G489">
        <v>10</v>
      </c>
      <c r="H489" s="4">
        <v>44964</v>
      </c>
      <c r="I489" s="2" t="s">
        <v>47</v>
      </c>
      <c r="J489" s="2" t="s">
        <v>22</v>
      </c>
      <c r="M489" t="str">
        <f t="shared" si="28"/>
        <v>Female</v>
      </c>
      <c r="N489" t="str">
        <f t="shared" si="29"/>
        <v>Ahmedabad</v>
      </c>
      <c r="O489" t="str">
        <f t="shared" si="30"/>
        <v>Hindi</v>
      </c>
      <c r="P489" t="str">
        <f t="shared" si="31"/>
        <v>Premium</v>
      </c>
    </row>
    <row r="490" spans="1:16" x14ac:dyDescent="0.3">
      <c r="A490" s="2" t="s">
        <v>534</v>
      </c>
      <c r="B490" s="2" t="s">
        <v>11</v>
      </c>
      <c r="C490" s="3">
        <v>18</v>
      </c>
      <c r="D490" t="s">
        <v>32</v>
      </c>
      <c r="E490" s="2" t="s">
        <v>19</v>
      </c>
      <c r="F490" s="2" t="s">
        <v>25</v>
      </c>
      <c r="G490">
        <v>44</v>
      </c>
      <c r="H490" s="4">
        <v>43969</v>
      </c>
      <c r="I490" s="2" t="s">
        <v>62</v>
      </c>
      <c r="J490" s="2" t="s">
        <v>65</v>
      </c>
      <c r="M490" t="str">
        <f t="shared" si="28"/>
        <v>Female</v>
      </c>
      <c r="N490" t="str">
        <f t="shared" si="29"/>
        <v>Mumbai</v>
      </c>
      <c r="O490" t="str">
        <f t="shared" si="30"/>
        <v>Gujarati</v>
      </c>
      <c r="P490" t="str">
        <f t="shared" si="31"/>
        <v>Family</v>
      </c>
    </row>
    <row r="491" spans="1:16" x14ac:dyDescent="0.3">
      <c r="A491" s="2" t="s">
        <v>535</v>
      </c>
      <c r="B491" s="2" t="s">
        <v>24</v>
      </c>
      <c r="C491" s="3">
        <v>24</v>
      </c>
      <c r="D491" t="s">
        <v>32</v>
      </c>
      <c r="E491" s="2" t="s">
        <v>19</v>
      </c>
      <c r="F491" s="2" t="s">
        <v>64</v>
      </c>
      <c r="G491">
        <v>31</v>
      </c>
      <c r="H491" s="4">
        <v>44349</v>
      </c>
      <c r="I491" s="2" t="s">
        <v>15</v>
      </c>
      <c r="J491" s="2" t="s">
        <v>22</v>
      </c>
      <c r="M491" t="str">
        <f t="shared" si="28"/>
        <v>Female</v>
      </c>
      <c r="N491" t="str">
        <f t="shared" si="29"/>
        <v>Pune</v>
      </c>
      <c r="O491" t="str">
        <f t="shared" si="30"/>
        <v>Telugu</v>
      </c>
      <c r="P491" t="str">
        <f t="shared" si="31"/>
        <v>Premium</v>
      </c>
    </row>
    <row r="492" spans="1:16" x14ac:dyDescent="0.3">
      <c r="A492" s="2" t="s">
        <v>536</v>
      </c>
      <c r="B492" s="2" t="s">
        <v>24</v>
      </c>
      <c r="C492" s="3">
        <v>36</v>
      </c>
      <c r="D492" t="s">
        <v>12</v>
      </c>
      <c r="E492" s="2" t="s">
        <v>19</v>
      </c>
      <c r="F492" s="2" t="s">
        <v>54</v>
      </c>
      <c r="G492">
        <v>36</v>
      </c>
      <c r="H492" s="4">
        <v>44197</v>
      </c>
      <c r="I492" s="2" t="s">
        <v>62</v>
      </c>
      <c r="J492" s="2" t="s">
        <v>16</v>
      </c>
      <c r="M492" t="str">
        <f t="shared" si="28"/>
        <v>Female</v>
      </c>
      <c r="N492" t="str">
        <f t="shared" si="29"/>
        <v>Bangalore</v>
      </c>
      <c r="O492" t="str">
        <f t="shared" si="30"/>
        <v>Gujarati</v>
      </c>
      <c r="P492" t="str">
        <f t="shared" si="31"/>
        <v>Basic</v>
      </c>
    </row>
    <row r="493" spans="1:16" x14ac:dyDescent="0.3">
      <c r="A493" s="2" t="s">
        <v>537</v>
      </c>
      <c r="B493" s="2" t="s">
        <v>42</v>
      </c>
      <c r="C493" s="3">
        <v>28</v>
      </c>
      <c r="D493" t="s">
        <v>18</v>
      </c>
      <c r="E493" s="2" t="s">
        <v>13</v>
      </c>
      <c r="F493" s="2" t="s">
        <v>64</v>
      </c>
      <c r="G493">
        <v>35</v>
      </c>
      <c r="H493" s="4">
        <v>44228</v>
      </c>
      <c r="I493" s="2" t="s">
        <v>29</v>
      </c>
      <c r="J493" s="2" t="s">
        <v>22</v>
      </c>
      <c r="M493" t="str">
        <f t="shared" si="28"/>
        <v>Male</v>
      </c>
      <c r="N493" t="str">
        <f t="shared" si="29"/>
        <v>Pune</v>
      </c>
      <c r="O493" t="str">
        <f t="shared" si="30"/>
        <v>English</v>
      </c>
      <c r="P493" t="str">
        <f t="shared" si="31"/>
        <v>Premium</v>
      </c>
    </row>
    <row r="494" spans="1:16" x14ac:dyDescent="0.3">
      <c r="A494" s="2" t="s">
        <v>538</v>
      </c>
      <c r="B494" s="2" t="s">
        <v>24</v>
      </c>
      <c r="C494" s="3">
        <v>22</v>
      </c>
      <c r="D494" t="s">
        <v>32</v>
      </c>
      <c r="E494" s="2" t="s">
        <v>13</v>
      </c>
      <c r="F494" s="2" t="s">
        <v>88</v>
      </c>
      <c r="G494">
        <v>39</v>
      </c>
      <c r="H494" s="4">
        <v>44104</v>
      </c>
      <c r="I494" s="2" t="s">
        <v>62</v>
      </c>
      <c r="J494" s="2" t="s">
        <v>22</v>
      </c>
      <c r="M494" t="str">
        <f t="shared" si="28"/>
        <v>Male</v>
      </c>
      <c r="N494" t="str">
        <f t="shared" si="29"/>
        <v>Lucknow</v>
      </c>
      <c r="O494" t="str">
        <f t="shared" si="30"/>
        <v>Gujarati</v>
      </c>
      <c r="P494" t="str">
        <f t="shared" si="31"/>
        <v>Premium</v>
      </c>
    </row>
    <row r="495" spans="1:16" x14ac:dyDescent="0.3">
      <c r="A495" s="2" t="s">
        <v>539</v>
      </c>
      <c r="B495" s="2" t="s">
        <v>24</v>
      </c>
      <c r="C495" s="3">
        <v>41</v>
      </c>
      <c r="D495" t="s">
        <v>12</v>
      </c>
      <c r="E495" s="2" t="s">
        <v>19</v>
      </c>
      <c r="F495" s="2" t="s">
        <v>56</v>
      </c>
      <c r="G495">
        <v>32</v>
      </c>
      <c r="H495" s="4">
        <v>44332</v>
      </c>
      <c r="I495" s="2" t="s">
        <v>29</v>
      </c>
      <c r="J495" s="2" t="s">
        <v>16</v>
      </c>
      <c r="M495" t="str">
        <f t="shared" si="28"/>
        <v>Female</v>
      </c>
      <c r="N495" t="str">
        <f t="shared" si="29"/>
        <v>Hyderabad</v>
      </c>
      <c r="O495" t="str">
        <f t="shared" si="30"/>
        <v>English</v>
      </c>
      <c r="P495" t="str">
        <f t="shared" si="31"/>
        <v>Basic</v>
      </c>
    </row>
    <row r="496" spans="1:16" x14ac:dyDescent="0.3">
      <c r="A496" s="2" t="s">
        <v>540</v>
      </c>
      <c r="B496" s="2" t="s">
        <v>11</v>
      </c>
      <c r="C496" s="3">
        <v>44</v>
      </c>
      <c r="D496" t="s">
        <v>12</v>
      </c>
      <c r="E496" s="2" t="s">
        <v>19</v>
      </c>
      <c r="F496" s="2" t="s">
        <v>64</v>
      </c>
      <c r="G496">
        <v>60</v>
      </c>
      <c r="H496" s="4">
        <v>43477</v>
      </c>
      <c r="I496" s="2" t="s">
        <v>21</v>
      </c>
      <c r="J496" s="2" t="s">
        <v>27</v>
      </c>
      <c r="M496" t="str">
        <f t="shared" si="28"/>
        <v>Female</v>
      </c>
      <c r="N496" t="str">
        <f t="shared" si="29"/>
        <v>Pune</v>
      </c>
      <c r="O496" t="str">
        <f t="shared" si="30"/>
        <v>Bengali</v>
      </c>
      <c r="P496" t="str">
        <f t="shared" si="31"/>
        <v>Standard</v>
      </c>
    </row>
    <row r="497" spans="1:16" x14ac:dyDescent="0.3">
      <c r="A497" s="2" t="s">
        <v>541</v>
      </c>
      <c r="B497" s="2" t="s">
        <v>11</v>
      </c>
      <c r="C497" s="3">
        <v>23</v>
      </c>
      <c r="D497" t="s">
        <v>32</v>
      </c>
      <c r="E497" s="2" t="s">
        <v>13</v>
      </c>
      <c r="F497" s="2" t="s">
        <v>33</v>
      </c>
      <c r="G497">
        <v>59</v>
      </c>
      <c r="H497" s="4">
        <v>43495</v>
      </c>
      <c r="I497" s="2" t="s">
        <v>62</v>
      </c>
      <c r="J497" s="2" t="s">
        <v>16</v>
      </c>
      <c r="M497" t="str">
        <f t="shared" si="28"/>
        <v>Male</v>
      </c>
      <c r="N497" t="str">
        <f t="shared" si="29"/>
        <v>Jaipur</v>
      </c>
      <c r="O497" t="str">
        <f t="shared" si="30"/>
        <v>Gujarati</v>
      </c>
      <c r="P497" t="str">
        <f t="shared" si="31"/>
        <v>Basic</v>
      </c>
    </row>
    <row r="498" spans="1:16" x14ac:dyDescent="0.3">
      <c r="A498" s="2" t="s">
        <v>542</v>
      </c>
      <c r="B498" s="2" t="s">
        <v>31</v>
      </c>
      <c r="C498" s="3">
        <v>25</v>
      </c>
      <c r="D498" t="s">
        <v>18</v>
      </c>
      <c r="E498" s="2" t="s">
        <v>13</v>
      </c>
      <c r="F498" s="2" t="s">
        <v>56</v>
      </c>
      <c r="G498">
        <v>21</v>
      </c>
      <c r="H498" s="4">
        <v>44638</v>
      </c>
      <c r="I498" s="2" t="s">
        <v>34</v>
      </c>
      <c r="J498" s="2" t="s">
        <v>27</v>
      </c>
      <c r="M498" t="str">
        <f t="shared" si="28"/>
        <v>Male</v>
      </c>
      <c r="N498" t="str">
        <f t="shared" si="29"/>
        <v>Hyderabad</v>
      </c>
      <c r="O498" t="str">
        <f t="shared" si="30"/>
        <v>Marathi</v>
      </c>
      <c r="P498" t="str">
        <f t="shared" si="31"/>
        <v>Standard</v>
      </c>
    </row>
    <row r="499" spans="1:16" x14ac:dyDescent="0.3">
      <c r="A499" s="2" t="s">
        <v>543</v>
      </c>
      <c r="B499" s="2" t="s">
        <v>24</v>
      </c>
      <c r="C499" s="3">
        <v>36</v>
      </c>
      <c r="D499" t="s">
        <v>12</v>
      </c>
      <c r="E499" s="2" t="s">
        <v>13</v>
      </c>
      <c r="F499" s="2" t="s">
        <v>56</v>
      </c>
      <c r="G499">
        <v>5</v>
      </c>
      <c r="H499" s="4">
        <v>45124</v>
      </c>
      <c r="I499" s="2" t="s">
        <v>47</v>
      </c>
      <c r="J499" s="2" t="s">
        <v>27</v>
      </c>
      <c r="M499" t="str">
        <f t="shared" si="28"/>
        <v>Male</v>
      </c>
      <c r="N499" t="str">
        <f t="shared" si="29"/>
        <v>Hyderabad</v>
      </c>
      <c r="O499" t="str">
        <f t="shared" si="30"/>
        <v>Hindi</v>
      </c>
      <c r="P499" t="str">
        <f t="shared" si="31"/>
        <v>Standard</v>
      </c>
    </row>
    <row r="500" spans="1:16" x14ac:dyDescent="0.3">
      <c r="A500" s="2" t="s">
        <v>544</v>
      </c>
      <c r="B500" s="2" t="s">
        <v>42</v>
      </c>
      <c r="C500" s="3">
        <v>18</v>
      </c>
      <c r="D500" t="s">
        <v>32</v>
      </c>
      <c r="E500" s="2" t="s">
        <v>19</v>
      </c>
      <c r="F500" s="2" t="s">
        <v>54</v>
      </c>
      <c r="G500">
        <v>60</v>
      </c>
      <c r="H500" s="4">
        <v>43488</v>
      </c>
      <c r="I500" s="2" t="s">
        <v>34</v>
      </c>
      <c r="J500" s="2" t="s">
        <v>16</v>
      </c>
      <c r="M500" t="str">
        <f t="shared" si="28"/>
        <v>Female</v>
      </c>
      <c r="N500" t="str">
        <f t="shared" si="29"/>
        <v>Bangalore</v>
      </c>
      <c r="O500" t="str">
        <f t="shared" si="30"/>
        <v>Marathi</v>
      </c>
      <c r="P500" t="str">
        <f t="shared" si="31"/>
        <v>Basic</v>
      </c>
    </row>
    <row r="501" spans="1:16" x14ac:dyDescent="0.3">
      <c r="A501" s="2" t="s">
        <v>545</v>
      </c>
      <c r="B501" s="2" t="s">
        <v>11</v>
      </c>
      <c r="C501" s="3">
        <v>48</v>
      </c>
      <c r="D501" t="s">
        <v>46</v>
      </c>
      <c r="E501" s="2" t="s">
        <v>19</v>
      </c>
      <c r="F501" s="2" t="s">
        <v>25</v>
      </c>
      <c r="G501">
        <v>40</v>
      </c>
      <c r="H501" s="4">
        <v>44091</v>
      </c>
      <c r="I501" s="2" t="s">
        <v>21</v>
      </c>
      <c r="J501" s="2" t="s">
        <v>27</v>
      </c>
      <c r="M501" t="str">
        <f t="shared" si="28"/>
        <v>Female</v>
      </c>
      <c r="N501" t="str">
        <f t="shared" si="29"/>
        <v>Mumbai</v>
      </c>
      <c r="O501" t="str">
        <f t="shared" si="30"/>
        <v>Bengali</v>
      </c>
      <c r="P501" t="str">
        <f t="shared" si="31"/>
        <v>Standard</v>
      </c>
    </row>
    <row r="502" spans="1:16" x14ac:dyDescent="0.3">
      <c r="A502" s="2" t="s">
        <v>546</v>
      </c>
      <c r="B502" s="2" t="s">
        <v>24</v>
      </c>
      <c r="C502" s="3">
        <v>30</v>
      </c>
      <c r="D502" t="s">
        <v>18</v>
      </c>
      <c r="E502" s="2" t="s">
        <v>13</v>
      </c>
      <c r="F502" s="2" t="s">
        <v>33</v>
      </c>
      <c r="G502">
        <v>13</v>
      </c>
      <c r="H502" s="4">
        <v>44894</v>
      </c>
      <c r="I502" s="2" t="s">
        <v>47</v>
      </c>
      <c r="J502" s="2" t="s">
        <v>16</v>
      </c>
      <c r="M502" t="str">
        <f t="shared" si="28"/>
        <v>Male</v>
      </c>
      <c r="N502" t="str">
        <f t="shared" si="29"/>
        <v>Jaipur</v>
      </c>
      <c r="O502" t="str">
        <f t="shared" si="30"/>
        <v>Hindi</v>
      </c>
      <c r="P502" t="str">
        <f t="shared" si="31"/>
        <v>Basic</v>
      </c>
    </row>
    <row r="503" spans="1:16" x14ac:dyDescent="0.3">
      <c r="A503" s="2" t="s">
        <v>547</v>
      </c>
      <c r="B503" s="2" t="s">
        <v>31</v>
      </c>
      <c r="C503" s="3">
        <v>27</v>
      </c>
      <c r="D503" t="s">
        <v>18</v>
      </c>
      <c r="E503" s="2" t="s">
        <v>13</v>
      </c>
      <c r="F503" s="2" t="s">
        <v>64</v>
      </c>
      <c r="G503">
        <v>2</v>
      </c>
      <c r="H503" s="4">
        <v>45213</v>
      </c>
      <c r="I503" s="2" t="s">
        <v>62</v>
      </c>
      <c r="J503" s="2" t="s">
        <v>27</v>
      </c>
      <c r="M503" t="str">
        <f t="shared" si="28"/>
        <v>Male</v>
      </c>
      <c r="N503" t="str">
        <f t="shared" si="29"/>
        <v>Pune</v>
      </c>
      <c r="O503" t="str">
        <f t="shared" si="30"/>
        <v>Gujarati</v>
      </c>
      <c r="P503" t="str">
        <f t="shared" si="31"/>
        <v>Standard</v>
      </c>
    </row>
    <row r="504" spans="1:16" x14ac:dyDescent="0.3">
      <c r="A504" s="2" t="s">
        <v>548</v>
      </c>
      <c r="B504" s="2" t="s">
        <v>11</v>
      </c>
      <c r="C504" s="3">
        <v>18</v>
      </c>
      <c r="D504" t="s">
        <v>32</v>
      </c>
      <c r="E504" s="2" t="s">
        <v>13</v>
      </c>
      <c r="F504" s="2" t="s">
        <v>56</v>
      </c>
      <c r="G504">
        <v>13</v>
      </c>
      <c r="H504" s="4">
        <v>44891</v>
      </c>
      <c r="I504" s="2" t="s">
        <v>47</v>
      </c>
      <c r="J504" s="2" t="s">
        <v>22</v>
      </c>
      <c r="M504" t="str">
        <f t="shared" si="28"/>
        <v>Male</v>
      </c>
      <c r="N504" t="str">
        <f t="shared" si="29"/>
        <v>Hyderabad</v>
      </c>
      <c r="O504" t="str">
        <f t="shared" si="30"/>
        <v>Hindi</v>
      </c>
      <c r="P504" t="str">
        <f t="shared" si="31"/>
        <v>Premium</v>
      </c>
    </row>
    <row r="505" spans="1:16" x14ac:dyDescent="0.3">
      <c r="A505" s="2" t="s">
        <v>549</v>
      </c>
      <c r="B505" s="2" t="s">
        <v>31</v>
      </c>
      <c r="C505" s="3">
        <v>35</v>
      </c>
      <c r="D505" t="s">
        <v>12</v>
      </c>
      <c r="E505" s="2" t="s">
        <v>19</v>
      </c>
      <c r="F505" s="2" t="s">
        <v>33</v>
      </c>
      <c r="G505">
        <v>27</v>
      </c>
      <c r="H505" s="4">
        <v>44474</v>
      </c>
      <c r="I505" s="2" t="s">
        <v>29</v>
      </c>
      <c r="J505" s="2" t="s">
        <v>16</v>
      </c>
      <c r="M505" t="str">
        <f t="shared" si="28"/>
        <v>Female</v>
      </c>
      <c r="N505" t="str">
        <f t="shared" si="29"/>
        <v>Jaipur</v>
      </c>
      <c r="O505" t="str">
        <f t="shared" si="30"/>
        <v>English</v>
      </c>
      <c r="P505" t="str">
        <f t="shared" si="31"/>
        <v>Basic</v>
      </c>
    </row>
    <row r="506" spans="1:16" x14ac:dyDescent="0.3">
      <c r="A506" s="2" t="s">
        <v>550</v>
      </c>
      <c r="B506" s="2" t="s">
        <v>31</v>
      </c>
      <c r="C506" s="3">
        <v>33</v>
      </c>
      <c r="D506" t="s">
        <v>18</v>
      </c>
      <c r="E506" s="2" t="s">
        <v>19</v>
      </c>
      <c r="F506" s="2" t="s">
        <v>54</v>
      </c>
      <c r="G506">
        <v>21</v>
      </c>
      <c r="H506" s="4">
        <v>44639</v>
      </c>
      <c r="I506" s="2" t="s">
        <v>49</v>
      </c>
      <c r="J506" s="2" t="s">
        <v>27</v>
      </c>
      <c r="M506" t="str">
        <f t="shared" si="28"/>
        <v>Female</v>
      </c>
      <c r="N506" t="str">
        <f t="shared" si="29"/>
        <v>Bangalore</v>
      </c>
      <c r="O506" t="str">
        <f t="shared" si="30"/>
        <v>Kannada</v>
      </c>
      <c r="P506" t="str">
        <f t="shared" si="31"/>
        <v>Standard</v>
      </c>
    </row>
    <row r="507" spans="1:16" x14ac:dyDescent="0.3">
      <c r="A507" s="2" t="s">
        <v>551</v>
      </c>
      <c r="B507" s="2" t="s">
        <v>61</v>
      </c>
      <c r="C507" s="3">
        <v>38</v>
      </c>
      <c r="D507" t="s">
        <v>12</v>
      </c>
      <c r="E507" s="2" t="s">
        <v>13</v>
      </c>
      <c r="F507" s="2" t="s">
        <v>25</v>
      </c>
      <c r="G507">
        <v>56</v>
      </c>
      <c r="H507" s="4">
        <v>43598</v>
      </c>
      <c r="I507" s="2" t="s">
        <v>26</v>
      </c>
      <c r="J507" s="2" t="s">
        <v>65</v>
      </c>
      <c r="M507" t="str">
        <f t="shared" si="28"/>
        <v>Male</v>
      </c>
      <c r="N507" t="str">
        <f t="shared" si="29"/>
        <v>Mumbai</v>
      </c>
      <c r="O507" t="str">
        <f t="shared" si="30"/>
        <v>Malayalam</v>
      </c>
      <c r="P507" t="str">
        <f t="shared" si="31"/>
        <v>Family</v>
      </c>
    </row>
    <row r="508" spans="1:16" x14ac:dyDescent="0.3">
      <c r="A508" s="2" t="s">
        <v>552</v>
      </c>
      <c r="B508" s="2" t="s">
        <v>24</v>
      </c>
      <c r="C508" s="3">
        <v>36</v>
      </c>
      <c r="D508" t="s">
        <v>12</v>
      </c>
      <c r="E508" s="2" t="s">
        <v>19</v>
      </c>
      <c r="F508" s="2" t="s">
        <v>88</v>
      </c>
      <c r="G508">
        <v>58</v>
      </c>
      <c r="H508" s="4">
        <v>43541</v>
      </c>
      <c r="I508" s="2" t="s">
        <v>62</v>
      </c>
      <c r="J508" s="2" t="s">
        <v>16</v>
      </c>
      <c r="M508" t="str">
        <f t="shared" si="28"/>
        <v>Female</v>
      </c>
      <c r="N508" t="str">
        <f t="shared" si="29"/>
        <v>Lucknow</v>
      </c>
      <c r="O508" t="str">
        <f t="shared" si="30"/>
        <v>Gujarati</v>
      </c>
      <c r="P508" t="str">
        <f t="shared" si="31"/>
        <v>Basic</v>
      </c>
    </row>
    <row r="509" spans="1:16" x14ac:dyDescent="0.3">
      <c r="A509" s="2" t="s">
        <v>553</v>
      </c>
      <c r="B509" s="2" t="s">
        <v>31</v>
      </c>
      <c r="C509" s="3">
        <v>29</v>
      </c>
      <c r="D509" t="s">
        <v>18</v>
      </c>
      <c r="E509" s="2" t="s">
        <v>19</v>
      </c>
      <c r="F509" s="2" t="s">
        <v>56</v>
      </c>
      <c r="G509">
        <v>47</v>
      </c>
      <c r="H509" s="4">
        <v>43866</v>
      </c>
      <c r="I509" s="2" t="s">
        <v>34</v>
      </c>
      <c r="J509" s="2" t="s">
        <v>27</v>
      </c>
      <c r="M509" t="str">
        <f t="shared" si="28"/>
        <v>Female</v>
      </c>
      <c r="N509" t="str">
        <f t="shared" si="29"/>
        <v>Hyderabad</v>
      </c>
      <c r="O509" t="str">
        <f t="shared" si="30"/>
        <v>Marathi</v>
      </c>
      <c r="P509" t="str">
        <f t="shared" si="31"/>
        <v>Standard</v>
      </c>
    </row>
    <row r="510" spans="1:16" x14ac:dyDescent="0.3">
      <c r="A510" s="2" t="s">
        <v>554</v>
      </c>
      <c r="B510" s="2" t="s">
        <v>11</v>
      </c>
      <c r="C510" s="3">
        <v>29</v>
      </c>
      <c r="D510" t="s">
        <v>18</v>
      </c>
      <c r="E510" s="2" t="s">
        <v>19</v>
      </c>
      <c r="F510" s="2" t="s">
        <v>25</v>
      </c>
      <c r="G510">
        <v>42</v>
      </c>
      <c r="H510" s="4">
        <v>44016</v>
      </c>
      <c r="I510" s="2" t="s">
        <v>26</v>
      </c>
      <c r="J510" s="2" t="s">
        <v>16</v>
      </c>
      <c r="M510" t="str">
        <f t="shared" si="28"/>
        <v>Female</v>
      </c>
      <c r="N510" t="str">
        <f t="shared" si="29"/>
        <v>Mumbai</v>
      </c>
      <c r="O510" t="str">
        <f t="shared" si="30"/>
        <v>Malayalam</v>
      </c>
      <c r="P510" t="str">
        <f t="shared" si="31"/>
        <v>Basic</v>
      </c>
    </row>
    <row r="511" spans="1:16" x14ac:dyDescent="0.3">
      <c r="A511" s="2" t="s">
        <v>555</v>
      </c>
      <c r="B511" s="2" t="s">
        <v>31</v>
      </c>
      <c r="C511" s="3">
        <v>20</v>
      </c>
      <c r="D511" t="s">
        <v>32</v>
      </c>
      <c r="E511" s="2" t="s">
        <v>13</v>
      </c>
      <c r="F511" s="2" t="s">
        <v>36</v>
      </c>
      <c r="G511">
        <v>46</v>
      </c>
      <c r="H511" s="4">
        <v>43886</v>
      </c>
      <c r="I511" s="2" t="s">
        <v>29</v>
      </c>
      <c r="J511" s="2" t="s">
        <v>27</v>
      </c>
      <c r="M511" t="str">
        <f t="shared" si="28"/>
        <v>Male</v>
      </c>
      <c r="N511" t="str">
        <f t="shared" si="29"/>
        <v>Ahmedabad</v>
      </c>
      <c r="O511" t="str">
        <f t="shared" si="30"/>
        <v>English</v>
      </c>
      <c r="P511" t="str">
        <f t="shared" si="31"/>
        <v>Standard</v>
      </c>
    </row>
    <row r="512" spans="1:16" x14ac:dyDescent="0.3">
      <c r="A512" s="2" t="s">
        <v>556</v>
      </c>
      <c r="B512" s="2" t="s">
        <v>31</v>
      </c>
      <c r="C512" s="3">
        <v>25</v>
      </c>
      <c r="D512" t="s">
        <v>18</v>
      </c>
      <c r="E512" s="2" t="s">
        <v>19</v>
      </c>
      <c r="F512" s="2" t="s">
        <v>14</v>
      </c>
      <c r="G512">
        <v>47</v>
      </c>
      <c r="H512" s="4">
        <v>43869</v>
      </c>
      <c r="I512" s="2" t="s">
        <v>34</v>
      </c>
      <c r="J512" s="2" t="s">
        <v>16</v>
      </c>
      <c r="M512" t="str">
        <f t="shared" si="28"/>
        <v>Female</v>
      </c>
      <c r="N512" t="str">
        <f t="shared" si="29"/>
        <v>Kolkata</v>
      </c>
      <c r="O512" t="str">
        <f t="shared" si="30"/>
        <v>Marathi</v>
      </c>
      <c r="P512" t="str">
        <f t="shared" si="31"/>
        <v>Basic</v>
      </c>
    </row>
    <row r="513" spans="1:16" x14ac:dyDescent="0.3">
      <c r="A513" s="2" t="s">
        <v>557</v>
      </c>
      <c r="B513" s="2" t="s">
        <v>11</v>
      </c>
      <c r="C513" s="3">
        <v>29</v>
      </c>
      <c r="D513" t="s">
        <v>18</v>
      </c>
      <c r="E513" s="2" t="s">
        <v>13</v>
      </c>
      <c r="F513" s="2" t="s">
        <v>64</v>
      </c>
      <c r="G513">
        <v>8</v>
      </c>
      <c r="H513" s="4">
        <v>45035</v>
      </c>
      <c r="I513" s="2" t="s">
        <v>21</v>
      </c>
      <c r="J513" s="2" t="s">
        <v>27</v>
      </c>
      <c r="M513" t="str">
        <f t="shared" si="28"/>
        <v>Male</v>
      </c>
      <c r="N513" t="str">
        <f t="shared" si="29"/>
        <v>Pune</v>
      </c>
      <c r="O513" t="str">
        <f t="shared" si="30"/>
        <v>Bengali</v>
      </c>
      <c r="P513" t="str">
        <f t="shared" si="31"/>
        <v>Standard</v>
      </c>
    </row>
    <row r="514" spans="1:16" x14ac:dyDescent="0.3">
      <c r="A514" s="2" t="s">
        <v>558</v>
      </c>
      <c r="B514" s="2" t="s">
        <v>31</v>
      </c>
      <c r="C514" s="3">
        <v>18</v>
      </c>
      <c r="D514" t="s">
        <v>32</v>
      </c>
      <c r="E514" s="2" t="s">
        <v>19</v>
      </c>
      <c r="F514" s="2" t="s">
        <v>20</v>
      </c>
      <c r="G514">
        <v>36</v>
      </c>
      <c r="H514" s="4">
        <v>44191</v>
      </c>
      <c r="I514" s="2" t="s">
        <v>21</v>
      </c>
      <c r="J514" s="2" t="s">
        <v>16</v>
      </c>
      <c r="M514" t="str">
        <f t="shared" si="28"/>
        <v>Female</v>
      </c>
      <c r="N514" t="str">
        <f t="shared" si="29"/>
        <v>Chennai</v>
      </c>
      <c r="O514" t="str">
        <f t="shared" si="30"/>
        <v>Bengali</v>
      </c>
      <c r="P514" t="str">
        <f t="shared" si="31"/>
        <v>Basic</v>
      </c>
    </row>
    <row r="515" spans="1:16" x14ac:dyDescent="0.3">
      <c r="A515" s="2" t="s">
        <v>559</v>
      </c>
      <c r="B515" s="2" t="s">
        <v>11</v>
      </c>
      <c r="C515" s="3">
        <v>27</v>
      </c>
      <c r="D515" t="s">
        <v>18</v>
      </c>
      <c r="E515" s="2" t="s">
        <v>19</v>
      </c>
      <c r="F515" s="2" t="s">
        <v>56</v>
      </c>
      <c r="G515">
        <v>30</v>
      </c>
      <c r="H515" s="4">
        <v>44377</v>
      </c>
      <c r="I515" s="2" t="s">
        <v>49</v>
      </c>
      <c r="J515" s="2" t="s">
        <v>16</v>
      </c>
      <c r="M515" t="str">
        <f t="shared" ref="M515:M578" si="32">TRIM(E515)</f>
        <v>Female</v>
      </c>
      <c r="N515" t="str">
        <f t="shared" ref="N515:N578" si="33">TRIM(F515)</f>
        <v>Hyderabad</v>
      </c>
      <c r="O515" t="str">
        <f t="shared" ref="O515:O578" si="34">TRIM(I515)</f>
        <v>Kannada</v>
      </c>
      <c r="P515" t="str">
        <f t="shared" ref="P515:P578" si="35">TRIM(J515)</f>
        <v>Basic</v>
      </c>
    </row>
    <row r="516" spans="1:16" x14ac:dyDescent="0.3">
      <c r="A516" s="2" t="s">
        <v>560</v>
      </c>
      <c r="B516" s="2" t="s">
        <v>24</v>
      </c>
      <c r="C516" s="3">
        <v>47</v>
      </c>
      <c r="D516" t="s">
        <v>46</v>
      </c>
      <c r="E516" s="2" t="s">
        <v>13</v>
      </c>
      <c r="F516" s="2" t="s">
        <v>56</v>
      </c>
      <c r="G516">
        <v>6</v>
      </c>
      <c r="H516" s="4">
        <v>45095</v>
      </c>
      <c r="I516" s="2" t="s">
        <v>47</v>
      </c>
      <c r="J516" s="2" t="s">
        <v>65</v>
      </c>
      <c r="M516" t="str">
        <f t="shared" si="32"/>
        <v>Male</v>
      </c>
      <c r="N516" t="str">
        <f t="shared" si="33"/>
        <v>Hyderabad</v>
      </c>
      <c r="O516" t="str">
        <f t="shared" si="34"/>
        <v>Hindi</v>
      </c>
      <c r="P516" t="str">
        <f t="shared" si="35"/>
        <v>Family</v>
      </c>
    </row>
    <row r="517" spans="1:16" x14ac:dyDescent="0.3">
      <c r="A517" s="2" t="s">
        <v>561</v>
      </c>
      <c r="B517" s="2" t="s">
        <v>24</v>
      </c>
      <c r="C517" s="3">
        <v>26</v>
      </c>
      <c r="D517" t="s">
        <v>18</v>
      </c>
      <c r="E517" s="2" t="s">
        <v>19</v>
      </c>
      <c r="F517" s="2" t="s">
        <v>88</v>
      </c>
      <c r="G517">
        <v>55</v>
      </c>
      <c r="H517" s="4">
        <v>43630</v>
      </c>
      <c r="I517" s="2" t="s">
        <v>34</v>
      </c>
      <c r="J517" s="2" t="s">
        <v>22</v>
      </c>
      <c r="M517" t="str">
        <f t="shared" si="32"/>
        <v>Female</v>
      </c>
      <c r="N517" t="str">
        <f t="shared" si="33"/>
        <v>Lucknow</v>
      </c>
      <c r="O517" t="str">
        <f t="shared" si="34"/>
        <v>Marathi</v>
      </c>
      <c r="P517" t="str">
        <f t="shared" si="35"/>
        <v>Premium</v>
      </c>
    </row>
    <row r="518" spans="1:16" x14ac:dyDescent="0.3">
      <c r="A518" s="2" t="s">
        <v>562</v>
      </c>
      <c r="B518" s="2" t="s">
        <v>11</v>
      </c>
      <c r="C518" s="3">
        <v>21</v>
      </c>
      <c r="D518" t="s">
        <v>32</v>
      </c>
      <c r="E518" s="2" t="s">
        <v>19</v>
      </c>
      <c r="F518" s="2" t="s">
        <v>36</v>
      </c>
      <c r="G518">
        <v>40</v>
      </c>
      <c r="H518" s="4">
        <v>44077</v>
      </c>
      <c r="I518" s="2" t="s">
        <v>29</v>
      </c>
      <c r="J518" s="2" t="s">
        <v>16</v>
      </c>
      <c r="M518" t="str">
        <f t="shared" si="32"/>
        <v>Female</v>
      </c>
      <c r="N518" t="str">
        <f t="shared" si="33"/>
        <v>Ahmedabad</v>
      </c>
      <c r="O518" t="str">
        <f t="shared" si="34"/>
        <v>English</v>
      </c>
      <c r="P518" t="str">
        <f t="shared" si="35"/>
        <v>Basic</v>
      </c>
    </row>
    <row r="519" spans="1:16" x14ac:dyDescent="0.3">
      <c r="A519" s="2" t="s">
        <v>563</v>
      </c>
      <c r="B519" s="2" t="s">
        <v>24</v>
      </c>
      <c r="C519" s="3">
        <v>39</v>
      </c>
      <c r="D519" t="s">
        <v>12</v>
      </c>
      <c r="E519" s="2" t="s">
        <v>13</v>
      </c>
      <c r="F519" s="2" t="s">
        <v>25</v>
      </c>
      <c r="G519">
        <v>39</v>
      </c>
      <c r="H519" s="4">
        <v>44117</v>
      </c>
      <c r="I519" s="2" t="s">
        <v>47</v>
      </c>
      <c r="J519" s="2" t="s">
        <v>16</v>
      </c>
      <c r="M519" t="str">
        <f t="shared" si="32"/>
        <v>Male</v>
      </c>
      <c r="N519" t="str">
        <f t="shared" si="33"/>
        <v>Mumbai</v>
      </c>
      <c r="O519" t="str">
        <f t="shared" si="34"/>
        <v>Hindi</v>
      </c>
      <c r="P519" t="str">
        <f t="shared" si="35"/>
        <v>Basic</v>
      </c>
    </row>
    <row r="520" spans="1:16" x14ac:dyDescent="0.3">
      <c r="A520" s="2" t="s">
        <v>564</v>
      </c>
      <c r="B520" s="2" t="s">
        <v>42</v>
      </c>
      <c r="C520" s="3">
        <v>20</v>
      </c>
      <c r="D520" t="s">
        <v>32</v>
      </c>
      <c r="E520" s="2" t="s">
        <v>19</v>
      </c>
      <c r="F520" s="2" t="s">
        <v>56</v>
      </c>
      <c r="G520">
        <v>45</v>
      </c>
      <c r="H520" s="4">
        <v>43929</v>
      </c>
      <c r="I520" s="2" t="s">
        <v>47</v>
      </c>
      <c r="J520" s="2" t="s">
        <v>27</v>
      </c>
      <c r="M520" t="str">
        <f t="shared" si="32"/>
        <v>Female</v>
      </c>
      <c r="N520" t="str">
        <f t="shared" si="33"/>
        <v>Hyderabad</v>
      </c>
      <c r="O520" t="str">
        <f t="shared" si="34"/>
        <v>Hindi</v>
      </c>
      <c r="P520" t="str">
        <f t="shared" si="35"/>
        <v>Standard</v>
      </c>
    </row>
    <row r="521" spans="1:16" x14ac:dyDescent="0.3">
      <c r="A521" s="2" t="s">
        <v>565</v>
      </c>
      <c r="B521" s="2" t="s">
        <v>24</v>
      </c>
      <c r="C521" s="3">
        <v>29</v>
      </c>
      <c r="D521" t="s">
        <v>18</v>
      </c>
      <c r="E521" s="2" t="s">
        <v>13</v>
      </c>
      <c r="F521" s="2" t="s">
        <v>88</v>
      </c>
      <c r="G521">
        <v>31</v>
      </c>
      <c r="H521" s="4">
        <v>44352</v>
      </c>
      <c r="I521" s="2" t="s">
        <v>39</v>
      </c>
      <c r="J521" s="2" t="s">
        <v>16</v>
      </c>
      <c r="M521" t="str">
        <f t="shared" si="32"/>
        <v>Male</v>
      </c>
      <c r="N521" t="str">
        <f t="shared" si="33"/>
        <v>Lucknow</v>
      </c>
      <c r="O521" t="str">
        <f t="shared" si="34"/>
        <v>Tamil</v>
      </c>
      <c r="P521" t="str">
        <f t="shared" si="35"/>
        <v>Basic</v>
      </c>
    </row>
    <row r="522" spans="1:16" x14ac:dyDescent="0.3">
      <c r="A522" s="2" t="s">
        <v>566</v>
      </c>
      <c r="B522" s="2" t="s">
        <v>31</v>
      </c>
      <c r="C522" s="3">
        <v>22</v>
      </c>
      <c r="D522" t="s">
        <v>32</v>
      </c>
      <c r="E522" s="2" t="s">
        <v>13</v>
      </c>
      <c r="F522" s="2" t="s">
        <v>56</v>
      </c>
      <c r="G522">
        <v>20</v>
      </c>
      <c r="H522" s="4">
        <v>44666</v>
      </c>
      <c r="I522" s="2" t="s">
        <v>34</v>
      </c>
      <c r="J522" s="2" t="s">
        <v>65</v>
      </c>
      <c r="M522" t="str">
        <f t="shared" si="32"/>
        <v>Male</v>
      </c>
      <c r="N522" t="str">
        <f t="shared" si="33"/>
        <v>Hyderabad</v>
      </c>
      <c r="O522" t="str">
        <f t="shared" si="34"/>
        <v>Marathi</v>
      </c>
      <c r="P522" t="str">
        <f t="shared" si="35"/>
        <v>Family</v>
      </c>
    </row>
    <row r="523" spans="1:16" x14ac:dyDescent="0.3">
      <c r="A523" s="2" t="s">
        <v>567</v>
      </c>
      <c r="B523" s="2" t="s">
        <v>61</v>
      </c>
      <c r="C523" s="3">
        <v>33</v>
      </c>
      <c r="D523" t="s">
        <v>18</v>
      </c>
      <c r="E523" s="2" t="s">
        <v>19</v>
      </c>
      <c r="F523" s="2" t="s">
        <v>56</v>
      </c>
      <c r="G523">
        <v>13</v>
      </c>
      <c r="H523" s="4">
        <v>44875</v>
      </c>
      <c r="I523" s="2" t="s">
        <v>26</v>
      </c>
      <c r="J523" s="2" t="s">
        <v>22</v>
      </c>
      <c r="M523" t="str">
        <f t="shared" si="32"/>
        <v>Female</v>
      </c>
      <c r="N523" t="str">
        <f t="shared" si="33"/>
        <v>Hyderabad</v>
      </c>
      <c r="O523" t="str">
        <f t="shared" si="34"/>
        <v>Malayalam</v>
      </c>
      <c r="P523" t="str">
        <f t="shared" si="35"/>
        <v>Premium</v>
      </c>
    </row>
    <row r="524" spans="1:16" x14ac:dyDescent="0.3">
      <c r="A524" s="2" t="s">
        <v>568</v>
      </c>
      <c r="B524" s="2" t="s">
        <v>61</v>
      </c>
      <c r="C524" s="3">
        <v>36</v>
      </c>
      <c r="D524" t="s">
        <v>12</v>
      </c>
      <c r="E524" s="2" t="s">
        <v>13</v>
      </c>
      <c r="F524" s="2" t="s">
        <v>25</v>
      </c>
      <c r="G524">
        <v>44</v>
      </c>
      <c r="H524" s="4">
        <v>43954</v>
      </c>
      <c r="I524" s="2" t="s">
        <v>15</v>
      </c>
      <c r="J524" s="2" t="s">
        <v>22</v>
      </c>
      <c r="M524" t="str">
        <f t="shared" si="32"/>
        <v>Male</v>
      </c>
      <c r="N524" t="str">
        <f t="shared" si="33"/>
        <v>Mumbai</v>
      </c>
      <c r="O524" t="str">
        <f t="shared" si="34"/>
        <v>Telugu</v>
      </c>
      <c r="P524" t="str">
        <f t="shared" si="35"/>
        <v>Premium</v>
      </c>
    </row>
    <row r="525" spans="1:16" x14ac:dyDescent="0.3">
      <c r="A525" s="2" t="s">
        <v>569</v>
      </c>
      <c r="B525" s="2" t="s">
        <v>24</v>
      </c>
      <c r="C525" s="3">
        <v>34</v>
      </c>
      <c r="D525" t="s">
        <v>18</v>
      </c>
      <c r="E525" s="2" t="s">
        <v>13</v>
      </c>
      <c r="F525" s="2" t="s">
        <v>25</v>
      </c>
      <c r="G525">
        <v>38</v>
      </c>
      <c r="H525" s="4">
        <v>44126</v>
      </c>
      <c r="I525" s="2" t="s">
        <v>29</v>
      </c>
      <c r="J525" s="2" t="s">
        <v>16</v>
      </c>
      <c r="M525" t="str">
        <f t="shared" si="32"/>
        <v>Male</v>
      </c>
      <c r="N525" t="str">
        <f t="shared" si="33"/>
        <v>Mumbai</v>
      </c>
      <c r="O525" t="str">
        <f t="shared" si="34"/>
        <v>English</v>
      </c>
      <c r="P525" t="str">
        <f t="shared" si="35"/>
        <v>Basic</v>
      </c>
    </row>
    <row r="526" spans="1:16" x14ac:dyDescent="0.3">
      <c r="A526" s="2" t="s">
        <v>570</v>
      </c>
      <c r="B526" s="2" t="s">
        <v>11</v>
      </c>
      <c r="C526" s="3">
        <v>20</v>
      </c>
      <c r="D526" t="s">
        <v>32</v>
      </c>
      <c r="E526" s="2" t="s">
        <v>13</v>
      </c>
      <c r="F526" s="2" t="s">
        <v>33</v>
      </c>
      <c r="G526">
        <v>17</v>
      </c>
      <c r="H526" s="4">
        <v>44759</v>
      </c>
      <c r="I526" s="2" t="s">
        <v>39</v>
      </c>
      <c r="J526" s="2" t="s">
        <v>16</v>
      </c>
      <c r="M526" t="str">
        <f t="shared" si="32"/>
        <v>Male</v>
      </c>
      <c r="N526" t="str">
        <f t="shared" si="33"/>
        <v>Jaipur</v>
      </c>
      <c r="O526" t="str">
        <f t="shared" si="34"/>
        <v>Tamil</v>
      </c>
      <c r="P526" t="str">
        <f t="shared" si="35"/>
        <v>Basic</v>
      </c>
    </row>
    <row r="527" spans="1:16" x14ac:dyDescent="0.3">
      <c r="A527" s="2" t="s">
        <v>571</v>
      </c>
      <c r="B527" s="2" t="s">
        <v>24</v>
      </c>
      <c r="C527" s="3">
        <v>48</v>
      </c>
      <c r="D527" t="s">
        <v>46</v>
      </c>
      <c r="E527" s="2" t="s">
        <v>13</v>
      </c>
      <c r="F527" s="2" t="s">
        <v>54</v>
      </c>
      <c r="G527">
        <v>36</v>
      </c>
      <c r="H527" s="4">
        <v>44183</v>
      </c>
      <c r="I527" s="2" t="s">
        <v>49</v>
      </c>
      <c r="J527" s="2" t="s">
        <v>22</v>
      </c>
      <c r="M527" t="str">
        <f t="shared" si="32"/>
        <v>Male</v>
      </c>
      <c r="N527" t="str">
        <f t="shared" si="33"/>
        <v>Bangalore</v>
      </c>
      <c r="O527" t="str">
        <f t="shared" si="34"/>
        <v>Kannada</v>
      </c>
      <c r="P527" t="str">
        <f t="shared" si="35"/>
        <v>Premium</v>
      </c>
    </row>
    <row r="528" spans="1:16" x14ac:dyDescent="0.3">
      <c r="A528" s="2" t="s">
        <v>572</v>
      </c>
      <c r="B528" s="2" t="s">
        <v>11</v>
      </c>
      <c r="C528" s="3">
        <v>18</v>
      </c>
      <c r="D528" t="s">
        <v>32</v>
      </c>
      <c r="E528" s="2" t="s">
        <v>19</v>
      </c>
      <c r="F528" s="2" t="s">
        <v>88</v>
      </c>
      <c r="G528">
        <v>41</v>
      </c>
      <c r="H528" s="4">
        <v>44060</v>
      </c>
      <c r="I528" s="2" t="s">
        <v>15</v>
      </c>
      <c r="J528" s="2" t="s">
        <v>22</v>
      </c>
      <c r="M528" t="str">
        <f t="shared" si="32"/>
        <v>Female</v>
      </c>
      <c r="N528" t="str">
        <f t="shared" si="33"/>
        <v>Lucknow</v>
      </c>
      <c r="O528" t="str">
        <f t="shared" si="34"/>
        <v>Telugu</v>
      </c>
      <c r="P528" t="str">
        <f t="shared" si="35"/>
        <v>Premium</v>
      </c>
    </row>
    <row r="529" spans="1:16" x14ac:dyDescent="0.3">
      <c r="A529" s="2" t="s">
        <v>573</v>
      </c>
      <c r="B529" s="2" t="s">
        <v>31</v>
      </c>
      <c r="C529" s="3">
        <v>36</v>
      </c>
      <c r="D529" t="s">
        <v>12</v>
      </c>
      <c r="E529" s="2" t="s">
        <v>13</v>
      </c>
      <c r="F529" s="2" t="s">
        <v>36</v>
      </c>
      <c r="G529">
        <v>54</v>
      </c>
      <c r="H529" s="4">
        <v>43643</v>
      </c>
      <c r="I529" s="2" t="s">
        <v>29</v>
      </c>
      <c r="J529" s="2" t="s">
        <v>16</v>
      </c>
      <c r="M529" t="str">
        <f t="shared" si="32"/>
        <v>Male</v>
      </c>
      <c r="N529" t="str">
        <f t="shared" si="33"/>
        <v>Ahmedabad</v>
      </c>
      <c r="O529" t="str">
        <f t="shared" si="34"/>
        <v>English</v>
      </c>
      <c r="P529" t="str">
        <f t="shared" si="35"/>
        <v>Basic</v>
      </c>
    </row>
    <row r="530" spans="1:16" x14ac:dyDescent="0.3">
      <c r="A530" s="2" t="s">
        <v>574</v>
      </c>
      <c r="B530" s="2" t="s">
        <v>11</v>
      </c>
      <c r="C530" s="3">
        <v>19</v>
      </c>
      <c r="D530" t="s">
        <v>32</v>
      </c>
      <c r="E530" s="2" t="s">
        <v>13</v>
      </c>
      <c r="F530" s="2" t="s">
        <v>14</v>
      </c>
      <c r="G530">
        <v>40</v>
      </c>
      <c r="H530" s="4">
        <v>44072</v>
      </c>
      <c r="I530" s="2" t="s">
        <v>49</v>
      </c>
      <c r="J530" s="2" t="s">
        <v>27</v>
      </c>
      <c r="M530" t="str">
        <f t="shared" si="32"/>
        <v>Male</v>
      </c>
      <c r="N530" t="str">
        <f t="shared" si="33"/>
        <v>Kolkata</v>
      </c>
      <c r="O530" t="str">
        <f t="shared" si="34"/>
        <v>Kannada</v>
      </c>
      <c r="P530" t="str">
        <f t="shared" si="35"/>
        <v>Standard</v>
      </c>
    </row>
    <row r="531" spans="1:16" x14ac:dyDescent="0.3">
      <c r="A531" s="2" t="s">
        <v>575</v>
      </c>
      <c r="B531" s="2" t="s">
        <v>11</v>
      </c>
      <c r="C531" s="3">
        <v>18</v>
      </c>
      <c r="D531" t="s">
        <v>32</v>
      </c>
      <c r="E531" s="2" t="s">
        <v>19</v>
      </c>
      <c r="F531" s="2" t="s">
        <v>56</v>
      </c>
      <c r="G531">
        <v>18</v>
      </c>
      <c r="H531" s="4">
        <v>44741</v>
      </c>
      <c r="I531" s="2" t="s">
        <v>62</v>
      </c>
      <c r="J531" s="2" t="s">
        <v>16</v>
      </c>
      <c r="M531" t="str">
        <f t="shared" si="32"/>
        <v>Female</v>
      </c>
      <c r="N531" t="str">
        <f t="shared" si="33"/>
        <v>Hyderabad</v>
      </c>
      <c r="O531" t="str">
        <f t="shared" si="34"/>
        <v>Gujarati</v>
      </c>
      <c r="P531" t="str">
        <f t="shared" si="35"/>
        <v>Basic</v>
      </c>
    </row>
    <row r="532" spans="1:16" x14ac:dyDescent="0.3">
      <c r="A532" s="2" t="s">
        <v>576</v>
      </c>
      <c r="B532" s="2" t="s">
        <v>24</v>
      </c>
      <c r="C532" s="3">
        <v>38</v>
      </c>
      <c r="D532" t="s">
        <v>12</v>
      </c>
      <c r="E532" s="2" t="s">
        <v>19</v>
      </c>
      <c r="F532" s="2" t="s">
        <v>56</v>
      </c>
      <c r="G532">
        <v>19</v>
      </c>
      <c r="H532" s="4">
        <v>44703</v>
      </c>
      <c r="I532" s="2" t="s">
        <v>49</v>
      </c>
      <c r="J532" s="2" t="s">
        <v>16</v>
      </c>
      <c r="M532" t="str">
        <f t="shared" si="32"/>
        <v>Female</v>
      </c>
      <c r="N532" t="str">
        <f t="shared" si="33"/>
        <v>Hyderabad</v>
      </c>
      <c r="O532" t="str">
        <f t="shared" si="34"/>
        <v>Kannada</v>
      </c>
      <c r="P532" t="str">
        <f t="shared" si="35"/>
        <v>Basic</v>
      </c>
    </row>
    <row r="533" spans="1:16" x14ac:dyDescent="0.3">
      <c r="A533" s="2" t="s">
        <v>577</v>
      </c>
      <c r="B533" s="2" t="s">
        <v>61</v>
      </c>
      <c r="C533" s="3">
        <v>39</v>
      </c>
      <c r="D533" t="s">
        <v>12</v>
      </c>
      <c r="E533" s="2" t="s">
        <v>13</v>
      </c>
      <c r="F533" s="2" t="s">
        <v>38</v>
      </c>
      <c r="G533">
        <v>25</v>
      </c>
      <c r="H533" s="4">
        <v>44525</v>
      </c>
      <c r="I533" s="2" t="s">
        <v>47</v>
      </c>
      <c r="J533" s="2" t="s">
        <v>27</v>
      </c>
      <c r="M533" t="str">
        <f t="shared" si="32"/>
        <v>Male</v>
      </c>
      <c r="N533" t="str">
        <f t="shared" si="33"/>
        <v>Delhi</v>
      </c>
      <c r="O533" t="str">
        <f t="shared" si="34"/>
        <v>Hindi</v>
      </c>
      <c r="P533" t="str">
        <f t="shared" si="35"/>
        <v>Standard</v>
      </c>
    </row>
    <row r="534" spans="1:16" x14ac:dyDescent="0.3">
      <c r="A534" s="2" t="s">
        <v>578</v>
      </c>
      <c r="B534" s="2" t="s">
        <v>11</v>
      </c>
      <c r="C534" s="3">
        <v>18</v>
      </c>
      <c r="D534" t="s">
        <v>32</v>
      </c>
      <c r="E534" s="2" t="s">
        <v>19</v>
      </c>
      <c r="F534" s="2" t="s">
        <v>14</v>
      </c>
      <c r="G534">
        <v>1</v>
      </c>
      <c r="H534" s="4">
        <v>45245</v>
      </c>
      <c r="I534" s="2" t="s">
        <v>21</v>
      </c>
      <c r="J534" s="2" t="s">
        <v>16</v>
      </c>
      <c r="M534" t="str">
        <f t="shared" si="32"/>
        <v>Female</v>
      </c>
      <c r="N534" t="str">
        <f t="shared" si="33"/>
        <v>Kolkata</v>
      </c>
      <c r="O534" t="str">
        <f t="shared" si="34"/>
        <v>Bengali</v>
      </c>
      <c r="P534" t="str">
        <f t="shared" si="35"/>
        <v>Basic</v>
      </c>
    </row>
    <row r="535" spans="1:16" x14ac:dyDescent="0.3">
      <c r="A535" s="2" t="s">
        <v>579</v>
      </c>
      <c r="B535" s="2" t="s">
        <v>31</v>
      </c>
      <c r="C535" s="3">
        <v>26</v>
      </c>
      <c r="D535" t="s">
        <v>18</v>
      </c>
      <c r="E535" s="2" t="s">
        <v>13</v>
      </c>
      <c r="F535" s="2" t="s">
        <v>20</v>
      </c>
      <c r="G535">
        <v>50</v>
      </c>
      <c r="H535" s="4">
        <v>43781</v>
      </c>
      <c r="I535" s="2" t="s">
        <v>15</v>
      </c>
      <c r="J535" s="2" t="s">
        <v>27</v>
      </c>
      <c r="M535" t="str">
        <f t="shared" si="32"/>
        <v>Male</v>
      </c>
      <c r="N535" t="str">
        <f t="shared" si="33"/>
        <v>Chennai</v>
      </c>
      <c r="O535" t="str">
        <f t="shared" si="34"/>
        <v>Telugu</v>
      </c>
      <c r="P535" t="str">
        <f t="shared" si="35"/>
        <v>Standard</v>
      </c>
    </row>
    <row r="536" spans="1:16" x14ac:dyDescent="0.3">
      <c r="A536" s="2" t="s">
        <v>580</v>
      </c>
      <c r="B536" s="2" t="s">
        <v>11</v>
      </c>
      <c r="C536" s="3">
        <v>26</v>
      </c>
      <c r="D536" t="s">
        <v>18</v>
      </c>
      <c r="E536" s="2" t="s">
        <v>13</v>
      </c>
      <c r="F536" s="2" t="s">
        <v>36</v>
      </c>
      <c r="G536">
        <v>59</v>
      </c>
      <c r="H536" s="4">
        <v>43516</v>
      </c>
      <c r="I536" s="2" t="s">
        <v>62</v>
      </c>
      <c r="J536" s="2" t="s">
        <v>16</v>
      </c>
      <c r="M536" t="str">
        <f t="shared" si="32"/>
        <v>Male</v>
      </c>
      <c r="N536" t="str">
        <f t="shared" si="33"/>
        <v>Ahmedabad</v>
      </c>
      <c r="O536" t="str">
        <f t="shared" si="34"/>
        <v>Gujarati</v>
      </c>
      <c r="P536" t="str">
        <f t="shared" si="35"/>
        <v>Basic</v>
      </c>
    </row>
    <row r="537" spans="1:16" x14ac:dyDescent="0.3">
      <c r="A537" s="2" t="s">
        <v>581</v>
      </c>
      <c r="B537" s="2" t="s">
        <v>24</v>
      </c>
      <c r="C537" s="3">
        <v>30</v>
      </c>
      <c r="D537" t="s">
        <v>18</v>
      </c>
      <c r="E537" s="2" t="s">
        <v>19</v>
      </c>
      <c r="F537" s="2" t="s">
        <v>33</v>
      </c>
      <c r="G537">
        <v>21</v>
      </c>
      <c r="H537" s="4">
        <v>44649</v>
      </c>
      <c r="I537" s="2" t="s">
        <v>34</v>
      </c>
      <c r="J537" s="2" t="s">
        <v>27</v>
      </c>
      <c r="M537" t="str">
        <f t="shared" si="32"/>
        <v>Female</v>
      </c>
      <c r="N537" t="str">
        <f t="shared" si="33"/>
        <v>Jaipur</v>
      </c>
      <c r="O537" t="str">
        <f t="shared" si="34"/>
        <v>Marathi</v>
      </c>
      <c r="P537" t="str">
        <f t="shared" si="35"/>
        <v>Standard</v>
      </c>
    </row>
    <row r="538" spans="1:16" x14ac:dyDescent="0.3">
      <c r="A538" s="2" t="s">
        <v>582</v>
      </c>
      <c r="B538" s="2" t="s">
        <v>42</v>
      </c>
      <c r="C538" s="3">
        <v>53</v>
      </c>
      <c r="D538" t="s">
        <v>46</v>
      </c>
      <c r="E538" s="2" t="s">
        <v>105</v>
      </c>
      <c r="F538" s="2" t="s">
        <v>20</v>
      </c>
      <c r="G538">
        <v>27</v>
      </c>
      <c r="H538" s="4">
        <v>44462</v>
      </c>
      <c r="I538" s="2" t="s">
        <v>29</v>
      </c>
      <c r="J538" s="2" t="s">
        <v>27</v>
      </c>
      <c r="M538" t="str">
        <f t="shared" si="32"/>
        <v>Non-Binary</v>
      </c>
      <c r="N538" t="str">
        <f t="shared" si="33"/>
        <v>Chennai</v>
      </c>
      <c r="O538" t="str">
        <f t="shared" si="34"/>
        <v>English</v>
      </c>
      <c r="P538" t="str">
        <f t="shared" si="35"/>
        <v>Standard</v>
      </c>
    </row>
    <row r="539" spans="1:16" x14ac:dyDescent="0.3">
      <c r="A539" s="2" t="s">
        <v>583</v>
      </c>
      <c r="B539" s="2" t="s">
        <v>11</v>
      </c>
      <c r="C539" s="3">
        <v>26</v>
      </c>
      <c r="D539" t="s">
        <v>18</v>
      </c>
      <c r="E539" s="2" t="s">
        <v>13</v>
      </c>
      <c r="F539" s="2" t="s">
        <v>20</v>
      </c>
      <c r="G539">
        <v>5</v>
      </c>
      <c r="H539" s="4">
        <v>45120</v>
      </c>
      <c r="I539" s="2" t="s">
        <v>49</v>
      </c>
      <c r="J539" s="2" t="s">
        <v>16</v>
      </c>
      <c r="M539" t="str">
        <f t="shared" si="32"/>
        <v>Male</v>
      </c>
      <c r="N539" t="str">
        <f t="shared" si="33"/>
        <v>Chennai</v>
      </c>
      <c r="O539" t="str">
        <f t="shared" si="34"/>
        <v>Kannada</v>
      </c>
      <c r="P539" t="str">
        <f t="shared" si="35"/>
        <v>Basic</v>
      </c>
    </row>
    <row r="540" spans="1:16" x14ac:dyDescent="0.3">
      <c r="A540" s="2" t="s">
        <v>584</v>
      </c>
      <c r="B540" s="2" t="s">
        <v>61</v>
      </c>
      <c r="C540" s="3">
        <v>36</v>
      </c>
      <c r="D540" t="s">
        <v>12</v>
      </c>
      <c r="E540" s="2" t="s">
        <v>13</v>
      </c>
      <c r="F540" s="2" t="s">
        <v>64</v>
      </c>
      <c r="G540">
        <v>33</v>
      </c>
      <c r="H540" s="4">
        <v>44283</v>
      </c>
      <c r="I540" s="2" t="s">
        <v>29</v>
      </c>
      <c r="J540" s="2" t="s">
        <v>27</v>
      </c>
      <c r="M540" t="str">
        <f t="shared" si="32"/>
        <v>Male</v>
      </c>
      <c r="N540" t="str">
        <f t="shared" si="33"/>
        <v>Pune</v>
      </c>
      <c r="O540" t="str">
        <f t="shared" si="34"/>
        <v>English</v>
      </c>
      <c r="P540" t="str">
        <f t="shared" si="35"/>
        <v>Standard</v>
      </c>
    </row>
    <row r="541" spans="1:16" x14ac:dyDescent="0.3">
      <c r="A541" s="2" t="s">
        <v>585</v>
      </c>
      <c r="B541" s="2" t="s">
        <v>31</v>
      </c>
      <c r="C541" s="3">
        <v>45</v>
      </c>
      <c r="D541" t="s">
        <v>46</v>
      </c>
      <c r="E541" s="2" t="s">
        <v>19</v>
      </c>
      <c r="F541" s="2" t="s">
        <v>36</v>
      </c>
      <c r="G541">
        <v>19</v>
      </c>
      <c r="H541" s="4">
        <v>44698</v>
      </c>
      <c r="I541" s="2" t="s">
        <v>15</v>
      </c>
      <c r="J541" s="2" t="s">
        <v>16</v>
      </c>
      <c r="M541" t="str">
        <f t="shared" si="32"/>
        <v>Female</v>
      </c>
      <c r="N541" t="str">
        <f t="shared" si="33"/>
        <v>Ahmedabad</v>
      </c>
      <c r="O541" t="str">
        <f t="shared" si="34"/>
        <v>Telugu</v>
      </c>
      <c r="P541" t="str">
        <f t="shared" si="35"/>
        <v>Basic</v>
      </c>
    </row>
    <row r="542" spans="1:16" x14ac:dyDescent="0.3">
      <c r="A542" s="2" t="s">
        <v>586</v>
      </c>
      <c r="B542" s="2" t="s">
        <v>11</v>
      </c>
      <c r="C542" s="3">
        <v>28</v>
      </c>
      <c r="D542" t="s">
        <v>18</v>
      </c>
      <c r="E542" s="2" t="s">
        <v>13</v>
      </c>
      <c r="F542" s="2" t="s">
        <v>36</v>
      </c>
      <c r="G542">
        <v>24</v>
      </c>
      <c r="H542" s="4">
        <v>44552</v>
      </c>
      <c r="I542" s="2" t="s">
        <v>21</v>
      </c>
      <c r="J542" s="2" t="s">
        <v>27</v>
      </c>
      <c r="M542" t="str">
        <f t="shared" si="32"/>
        <v>Male</v>
      </c>
      <c r="N542" t="str">
        <f t="shared" si="33"/>
        <v>Ahmedabad</v>
      </c>
      <c r="O542" t="str">
        <f t="shared" si="34"/>
        <v>Bengali</v>
      </c>
      <c r="P542" t="str">
        <f t="shared" si="35"/>
        <v>Standard</v>
      </c>
    </row>
    <row r="543" spans="1:16" x14ac:dyDescent="0.3">
      <c r="A543" s="2" t="s">
        <v>587</v>
      </c>
      <c r="B543" s="2" t="s">
        <v>24</v>
      </c>
      <c r="C543" s="3">
        <v>41</v>
      </c>
      <c r="D543" t="s">
        <v>12</v>
      </c>
      <c r="E543" s="2" t="s">
        <v>19</v>
      </c>
      <c r="F543" s="2" t="s">
        <v>20</v>
      </c>
      <c r="G543">
        <v>60</v>
      </c>
      <c r="H543" s="4">
        <v>43480</v>
      </c>
      <c r="I543" s="2" t="s">
        <v>39</v>
      </c>
      <c r="J543" s="2" t="s">
        <v>16</v>
      </c>
      <c r="M543" t="str">
        <f t="shared" si="32"/>
        <v>Female</v>
      </c>
      <c r="N543" t="str">
        <f t="shared" si="33"/>
        <v>Chennai</v>
      </c>
      <c r="O543" t="str">
        <f t="shared" si="34"/>
        <v>Tamil</v>
      </c>
      <c r="P543" t="str">
        <f t="shared" si="35"/>
        <v>Basic</v>
      </c>
    </row>
    <row r="544" spans="1:16" x14ac:dyDescent="0.3">
      <c r="A544" s="2" t="s">
        <v>588</v>
      </c>
      <c r="B544" s="2" t="s">
        <v>31</v>
      </c>
      <c r="C544" s="3">
        <v>46</v>
      </c>
      <c r="D544" t="s">
        <v>46</v>
      </c>
      <c r="E544" s="2" t="s">
        <v>13</v>
      </c>
      <c r="F544" s="2" t="s">
        <v>38</v>
      </c>
      <c r="G544">
        <v>35</v>
      </c>
      <c r="H544" s="4">
        <v>44229</v>
      </c>
      <c r="I544" s="2" t="s">
        <v>34</v>
      </c>
      <c r="J544" s="2" t="s">
        <v>27</v>
      </c>
      <c r="M544" t="str">
        <f t="shared" si="32"/>
        <v>Male</v>
      </c>
      <c r="N544" t="str">
        <f t="shared" si="33"/>
        <v>Delhi</v>
      </c>
      <c r="O544" t="str">
        <f t="shared" si="34"/>
        <v>Marathi</v>
      </c>
      <c r="P544" t="str">
        <f t="shared" si="35"/>
        <v>Standard</v>
      </c>
    </row>
    <row r="545" spans="1:16" x14ac:dyDescent="0.3">
      <c r="A545" s="2" t="s">
        <v>589</v>
      </c>
      <c r="B545" s="2" t="s">
        <v>24</v>
      </c>
      <c r="C545" s="3">
        <v>44</v>
      </c>
      <c r="D545" t="s">
        <v>12</v>
      </c>
      <c r="E545" s="2" t="s">
        <v>13</v>
      </c>
      <c r="F545" s="2" t="s">
        <v>38</v>
      </c>
      <c r="G545">
        <v>49</v>
      </c>
      <c r="H545" s="4">
        <v>43810</v>
      </c>
      <c r="I545" s="2" t="s">
        <v>39</v>
      </c>
      <c r="J545" s="2" t="s">
        <v>27</v>
      </c>
      <c r="M545" t="str">
        <f t="shared" si="32"/>
        <v>Male</v>
      </c>
      <c r="N545" t="str">
        <f t="shared" si="33"/>
        <v>Delhi</v>
      </c>
      <c r="O545" t="str">
        <f t="shared" si="34"/>
        <v>Tamil</v>
      </c>
      <c r="P545" t="str">
        <f t="shared" si="35"/>
        <v>Standard</v>
      </c>
    </row>
    <row r="546" spans="1:16" x14ac:dyDescent="0.3">
      <c r="A546" s="2" t="s">
        <v>590</v>
      </c>
      <c r="B546" s="2" t="s">
        <v>31</v>
      </c>
      <c r="C546" s="3">
        <v>40</v>
      </c>
      <c r="D546" t="s">
        <v>12</v>
      </c>
      <c r="E546" s="2" t="s">
        <v>13</v>
      </c>
      <c r="F546" s="2" t="s">
        <v>38</v>
      </c>
      <c r="G546">
        <v>13</v>
      </c>
      <c r="H546" s="4">
        <v>44900</v>
      </c>
      <c r="I546" s="2" t="s">
        <v>21</v>
      </c>
      <c r="J546" s="2" t="s">
        <v>16</v>
      </c>
      <c r="M546" t="str">
        <f t="shared" si="32"/>
        <v>Male</v>
      </c>
      <c r="N546" t="str">
        <f t="shared" si="33"/>
        <v>Delhi</v>
      </c>
      <c r="O546" t="str">
        <f t="shared" si="34"/>
        <v>Bengali</v>
      </c>
      <c r="P546" t="str">
        <f t="shared" si="35"/>
        <v>Basic</v>
      </c>
    </row>
    <row r="547" spans="1:16" x14ac:dyDescent="0.3">
      <c r="A547" s="2" t="s">
        <v>591</v>
      </c>
      <c r="B547" s="2" t="s">
        <v>11</v>
      </c>
      <c r="C547" s="3">
        <v>30</v>
      </c>
      <c r="D547" t="s">
        <v>18</v>
      </c>
      <c r="E547" s="2" t="s">
        <v>13</v>
      </c>
      <c r="F547" s="2" t="s">
        <v>25</v>
      </c>
      <c r="G547">
        <v>58</v>
      </c>
      <c r="H547" s="4">
        <v>43549</v>
      </c>
      <c r="I547" s="2" t="s">
        <v>62</v>
      </c>
      <c r="J547" s="2" t="s">
        <v>27</v>
      </c>
      <c r="M547" t="str">
        <f t="shared" si="32"/>
        <v>Male</v>
      </c>
      <c r="N547" t="str">
        <f t="shared" si="33"/>
        <v>Mumbai</v>
      </c>
      <c r="O547" t="str">
        <f t="shared" si="34"/>
        <v>Gujarati</v>
      </c>
      <c r="P547" t="str">
        <f t="shared" si="35"/>
        <v>Standard</v>
      </c>
    </row>
    <row r="548" spans="1:16" x14ac:dyDescent="0.3">
      <c r="A548" s="2" t="s">
        <v>592</v>
      </c>
      <c r="B548" s="2" t="s">
        <v>61</v>
      </c>
      <c r="C548" s="3">
        <v>41</v>
      </c>
      <c r="D548" t="s">
        <v>12</v>
      </c>
      <c r="E548" s="2" t="s">
        <v>13</v>
      </c>
      <c r="F548" s="2" t="s">
        <v>25</v>
      </c>
      <c r="G548">
        <v>29</v>
      </c>
      <c r="H548" s="4">
        <v>44399</v>
      </c>
      <c r="I548" s="2" t="s">
        <v>47</v>
      </c>
      <c r="J548" s="2" t="s">
        <v>65</v>
      </c>
      <c r="M548" t="str">
        <f t="shared" si="32"/>
        <v>Male</v>
      </c>
      <c r="N548" t="str">
        <f t="shared" si="33"/>
        <v>Mumbai</v>
      </c>
      <c r="O548" t="str">
        <f t="shared" si="34"/>
        <v>Hindi</v>
      </c>
      <c r="P548" t="str">
        <f t="shared" si="35"/>
        <v>Family</v>
      </c>
    </row>
    <row r="549" spans="1:16" x14ac:dyDescent="0.3">
      <c r="A549" s="2" t="s">
        <v>593</v>
      </c>
      <c r="B549" s="2" t="s">
        <v>42</v>
      </c>
      <c r="C549" s="3">
        <v>24</v>
      </c>
      <c r="D549" t="s">
        <v>32</v>
      </c>
      <c r="E549" s="2" t="s">
        <v>13</v>
      </c>
      <c r="F549" s="2" t="s">
        <v>20</v>
      </c>
      <c r="G549">
        <v>43</v>
      </c>
      <c r="H549" s="4">
        <v>43983</v>
      </c>
      <c r="I549" s="2" t="s">
        <v>15</v>
      </c>
      <c r="J549" s="2" t="s">
        <v>65</v>
      </c>
      <c r="M549" t="str">
        <f t="shared" si="32"/>
        <v>Male</v>
      </c>
      <c r="N549" t="str">
        <f t="shared" si="33"/>
        <v>Chennai</v>
      </c>
      <c r="O549" t="str">
        <f t="shared" si="34"/>
        <v>Telugu</v>
      </c>
      <c r="P549" t="str">
        <f t="shared" si="35"/>
        <v>Family</v>
      </c>
    </row>
    <row r="550" spans="1:16" x14ac:dyDescent="0.3">
      <c r="A550" s="2" t="s">
        <v>594</v>
      </c>
      <c r="B550" s="2" t="s">
        <v>24</v>
      </c>
      <c r="C550" s="3">
        <v>47</v>
      </c>
      <c r="D550" t="s">
        <v>46</v>
      </c>
      <c r="E550" s="2" t="s">
        <v>13</v>
      </c>
      <c r="F550" s="2" t="s">
        <v>14</v>
      </c>
      <c r="G550">
        <v>45</v>
      </c>
      <c r="H550" s="4">
        <v>43931</v>
      </c>
      <c r="I550" s="2" t="s">
        <v>34</v>
      </c>
      <c r="J550" s="2" t="s">
        <v>16</v>
      </c>
      <c r="M550" t="str">
        <f t="shared" si="32"/>
        <v>Male</v>
      </c>
      <c r="N550" t="str">
        <f t="shared" si="33"/>
        <v>Kolkata</v>
      </c>
      <c r="O550" t="str">
        <f t="shared" si="34"/>
        <v>Marathi</v>
      </c>
      <c r="P550" t="str">
        <f t="shared" si="35"/>
        <v>Basic</v>
      </c>
    </row>
    <row r="551" spans="1:16" x14ac:dyDescent="0.3">
      <c r="A551" s="2" t="s">
        <v>595</v>
      </c>
      <c r="B551" s="2" t="s">
        <v>31</v>
      </c>
      <c r="C551" s="3">
        <v>39</v>
      </c>
      <c r="D551" t="s">
        <v>12</v>
      </c>
      <c r="E551" s="2" t="s">
        <v>13</v>
      </c>
      <c r="F551" s="2" t="s">
        <v>56</v>
      </c>
      <c r="G551">
        <v>44</v>
      </c>
      <c r="H551" s="4">
        <v>43970</v>
      </c>
      <c r="I551" s="2" t="s">
        <v>49</v>
      </c>
      <c r="J551" s="2" t="s">
        <v>22</v>
      </c>
      <c r="M551" t="str">
        <f t="shared" si="32"/>
        <v>Male</v>
      </c>
      <c r="N551" t="str">
        <f t="shared" si="33"/>
        <v>Hyderabad</v>
      </c>
      <c r="O551" t="str">
        <f t="shared" si="34"/>
        <v>Kannada</v>
      </c>
      <c r="P551" t="str">
        <f t="shared" si="35"/>
        <v>Premium</v>
      </c>
    </row>
    <row r="552" spans="1:16" x14ac:dyDescent="0.3">
      <c r="A552" s="2" t="s">
        <v>596</v>
      </c>
      <c r="B552" s="2" t="s">
        <v>61</v>
      </c>
      <c r="C552" s="3">
        <v>31</v>
      </c>
      <c r="D552" t="s">
        <v>18</v>
      </c>
      <c r="E552" s="2" t="s">
        <v>13</v>
      </c>
      <c r="F552" s="2" t="s">
        <v>33</v>
      </c>
      <c r="G552">
        <v>44</v>
      </c>
      <c r="H552" s="4">
        <v>43951</v>
      </c>
      <c r="I552" s="2" t="s">
        <v>15</v>
      </c>
      <c r="J552" s="2" t="s">
        <v>27</v>
      </c>
      <c r="M552" t="str">
        <f t="shared" si="32"/>
        <v>Male</v>
      </c>
      <c r="N552" t="str">
        <f t="shared" si="33"/>
        <v>Jaipur</v>
      </c>
      <c r="O552" t="str">
        <f t="shared" si="34"/>
        <v>Telugu</v>
      </c>
      <c r="P552" t="str">
        <f t="shared" si="35"/>
        <v>Standard</v>
      </c>
    </row>
    <row r="553" spans="1:16" x14ac:dyDescent="0.3">
      <c r="A553" s="2" t="s">
        <v>597</v>
      </c>
      <c r="B553" s="2" t="s">
        <v>31</v>
      </c>
      <c r="C553" s="3">
        <v>20</v>
      </c>
      <c r="D553" t="s">
        <v>32</v>
      </c>
      <c r="E553" s="2" t="s">
        <v>13</v>
      </c>
      <c r="F553" s="2" t="s">
        <v>14</v>
      </c>
      <c r="G553">
        <v>14</v>
      </c>
      <c r="H553" s="4">
        <v>44849</v>
      </c>
      <c r="I553" s="2" t="s">
        <v>39</v>
      </c>
      <c r="J553" s="2" t="s">
        <v>27</v>
      </c>
      <c r="M553" t="str">
        <f t="shared" si="32"/>
        <v>Male</v>
      </c>
      <c r="N553" t="str">
        <f t="shared" si="33"/>
        <v>Kolkata</v>
      </c>
      <c r="O553" t="str">
        <f t="shared" si="34"/>
        <v>Tamil</v>
      </c>
      <c r="P553" t="str">
        <f t="shared" si="35"/>
        <v>Standard</v>
      </c>
    </row>
    <row r="554" spans="1:16" x14ac:dyDescent="0.3">
      <c r="A554" s="2" t="s">
        <v>598</v>
      </c>
      <c r="B554" s="2" t="s">
        <v>31</v>
      </c>
      <c r="C554" s="3">
        <v>43</v>
      </c>
      <c r="D554" t="s">
        <v>12</v>
      </c>
      <c r="E554" s="2" t="s">
        <v>19</v>
      </c>
      <c r="F554" s="2" t="s">
        <v>64</v>
      </c>
      <c r="G554">
        <v>45</v>
      </c>
      <c r="H554" s="4">
        <v>43935</v>
      </c>
      <c r="I554" s="2" t="s">
        <v>21</v>
      </c>
      <c r="J554" s="2" t="s">
        <v>22</v>
      </c>
      <c r="M554" t="str">
        <f t="shared" si="32"/>
        <v>Female</v>
      </c>
      <c r="N554" t="str">
        <f t="shared" si="33"/>
        <v>Pune</v>
      </c>
      <c r="O554" t="str">
        <f t="shared" si="34"/>
        <v>Bengali</v>
      </c>
      <c r="P554" t="str">
        <f t="shared" si="35"/>
        <v>Premium</v>
      </c>
    </row>
    <row r="555" spans="1:16" x14ac:dyDescent="0.3">
      <c r="A555" s="2" t="s">
        <v>599</v>
      </c>
      <c r="B555" s="2" t="s">
        <v>42</v>
      </c>
      <c r="C555" s="3">
        <v>39</v>
      </c>
      <c r="D555" t="s">
        <v>12</v>
      </c>
      <c r="E555" s="2" t="s">
        <v>19</v>
      </c>
      <c r="F555" s="2" t="s">
        <v>54</v>
      </c>
      <c r="G555">
        <v>31</v>
      </c>
      <c r="H555" s="4">
        <v>44357</v>
      </c>
      <c r="I555" s="2" t="s">
        <v>47</v>
      </c>
      <c r="J555" s="2" t="s">
        <v>16</v>
      </c>
      <c r="M555" t="str">
        <f t="shared" si="32"/>
        <v>Female</v>
      </c>
      <c r="N555" t="str">
        <f t="shared" si="33"/>
        <v>Bangalore</v>
      </c>
      <c r="O555" t="str">
        <f t="shared" si="34"/>
        <v>Hindi</v>
      </c>
      <c r="P555" t="str">
        <f t="shared" si="35"/>
        <v>Basic</v>
      </c>
    </row>
    <row r="556" spans="1:16" x14ac:dyDescent="0.3">
      <c r="A556" s="2" t="s">
        <v>600</v>
      </c>
      <c r="B556" s="2" t="s">
        <v>61</v>
      </c>
      <c r="C556" s="3">
        <v>41</v>
      </c>
      <c r="D556" t="s">
        <v>12</v>
      </c>
      <c r="E556" s="2" t="s">
        <v>13</v>
      </c>
      <c r="F556" s="2" t="s">
        <v>38</v>
      </c>
      <c r="G556">
        <v>30</v>
      </c>
      <c r="H556" s="4">
        <v>44390</v>
      </c>
      <c r="I556" s="2" t="s">
        <v>26</v>
      </c>
      <c r="J556" s="2" t="s">
        <v>27</v>
      </c>
      <c r="M556" t="str">
        <f t="shared" si="32"/>
        <v>Male</v>
      </c>
      <c r="N556" t="str">
        <f t="shared" si="33"/>
        <v>Delhi</v>
      </c>
      <c r="O556" t="str">
        <f t="shared" si="34"/>
        <v>Malayalam</v>
      </c>
      <c r="P556" t="str">
        <f t="shared" si="35"/>
        <v>Standard</v>
      </c>
    </row>
    <row r="557" spans="1:16" x14ac:dyDescent="0.3">
      <c r="A557" s="2" t="s">
        <v>601</v>
      </c>
      <c r="B557" s="2" t="s">
        <v>24</v>
      </c>
      <c r="C557" s="3">
        <v>25</v>
      </c>
      <c r="D557" t="s">
        <v>18</v>
      </c>
      <c r="E557" s="2" t="s">
        <v>19</v>
      </c>
      <c r="F557" s="2" t="s">
        <v>56</v>
      </c>
      <c r="G557">
        <v>28</v>
      </c>
      <c r="H557" s="4">
        <v>44447</v>
      </c>
      <c r="I557" s="2" t="s">
        <v>49</v>
      </c>
      <c r="J557" s="2" t="s">
        <v>16</v>
      </c>
      <c r="M557" t="str">
        <f t="shared" si="32"/>
        <v>Female</v>
      </c>
      <c r="N557" t="str">
        <f t="shared" si="33"/>
        <v>Hyderabad</v>
      </c>
      <c r="O557" t="str">
        <f t="shared" si="34"/>
        <v>Kannada</v>
      </c>
      <c r="P557" t="str">
        <f t="shared" si="35"/>
        <v>Basic</v>
      </c>
    </row>
    <row r="558" spans="1:16" x14ac:dyDescent="0.3">
      <c r="A558" s="2" t="s">
        <v>602</v>
      </c>
      <c r="B558" s="2" t="s">
        <v>42</v>
      </c>
      <c r="C558" s="3">
        <v>23</v>
      </c>
      <c r="D558" t="s">
        <v>32</v>
      </c>
      <c r="E558" s="2" t="s">
        <v>19</v>
      </c>
      <c r="F558" s="2" t="s">
        <v>88</v>
      </c>
      <c r="G558">
        <v>37</v>
      </c>
      <c r="H558" s="4">
        <v>44162</v>
      </c>
      <c r="I558" s="2" t="s">
        <v>39</v>
      </c>
      <c r="J558" s="2" t="s">
        <v>27</v>
      </c>
      <c r="M558" t="str">
        <f t="shared" si="32"/>
        <v>Female</v>
      </c>
      <c r="N558" t="str">
        <f t="shared" si="33"/>
        <v>Lucknow</v>
      </c>
      <c r="O558" t="str">
        <f t="shared" si="34"/>
        <v>Tamil</v>
      </c>
      <c r="P558" t="str">
        <f t="shared" si="35"/>
        <v>Standard</v>
      </c>
    </row>
    <row r="559" spans="1:16" x14ac:dyDescent="0.3">
      <c r="A559" s="2" t="s">
        <v>603</v>
      </c>
      <c r="B559" s="2" t="s">
        <v>31</v>
      </c>
      <c r="C559" s="3">
        <v>49</v>
      </c>
      <c r="D559" t="s">
        <v>46</v>
      </c>
      <c r="E559" s="2" t="s">
        <v>13</v>
      </c>
      <c r="F559" s="2" t="s">
        <v>25</v>
      </c>
      <c r="G559">
        <v>59</v>
      </c>
      <c r="H559" s="4">
        <v>43498</v>
      </c>
      <c r="I559" s="2" t="s">
        <v>62</v>
      </c>
      <c r="J559" s="2" t="s">
        <v>22</v>
      </c>
      <c r="M559" t="str">
        <f t="shared" si="32"/>
        <v>Male</v>
      </c>
      <c r="N559" t="str">
        <f t="shared" si="33"/>
        <v>Mumbai</v>
      </c>
      <c r="O559" t="str">
        <f t="shared" si="34"/>
        <v>Gujarati</v>
      </c>
      <c r="P559" t="str">
        <f t="shared" si="35"/>
        <v>Premium</v>
      </c>
    </row>
    <row r="560" spans="1:16" x14ac:dyDescent="0.3">
      <c r="A560" s="2" t="s">
        <v>604</v>
      </c>
      <c r="B560" s="2" t="s">
        <v>24</v>
      </c>
      <c r="C560" s="3">
        <v>40</v>
      </c>
      <c r="D560" t="s">
        <v>12</v>
      </c>
      <c r="E560" s="2" t="s">
        <v>13</v>
      </c>
      <c r="F560" s="2" t="s">
        <v>38</v>
      </c>
      <c r="G560">
        <v>27</v>
      </c>
      <c r="H560" s="4">
        <v>44474</v>
      </c>
      <c r="I560" s="2" t="s">
        <v>39</v>
      </c>
      <c r="J560" s="2" t="s">
        <v>16</v>
      </c>
      <c r="M560" t="str">
        <f t="shared" si="32"/>
        <v>Male</v>
      </c>
      <c r="N560" t="str">
        <f t="shared" si="33"/>
        <v>Delhi</v>
      </c>
      <c r="O560" t="str">
        <f t="shared" si="34"/>
        <v>Tamil</v>
      </c>
      <c r="P560" t="str">
        <f t="shared" si="35"/>
        <v>Basic</v>
      </c>
    </row>
    <row r="561" spans="1:16" x14ac:dyDescent="0.3">
      <c r="A561" s="2" t="s">
        <v>605</v>
      </c>
      <c r="B561" s="2" t="s">
        <v>24</v>
      </c>
      <c r="C561" s="3">
        <v>18</v>
      </c>
      <c r="D561" t="s">
        <v>32</v>
      </c>
      <c r="E561" s="2" t="s">
        <v>13</v>
      </c>
      <c r="F561" s="2" t="s">
        <v>36</v>
      </c>
      <c r="G561">
        <v>3</v>
      </c>
      <c r="H561" s="4">
        <v>45192</v>
      </c>
      <c r="I561" s="2" t="s">
        <v>34</v>
      </c>
      <c r="J561" s="2" t="s">
        <v>27</v>
      </c>
      <c r="M561" t="str">
        <f t="shared" si="32"/>
        <v>Male</v>
      </c>
      <c r="N561" t="str">
        <f t="shared" si="33"/>
        <v>Ahmedabad</v>
      </c>
      <c r="O561" t="str">
        <f t="shared" si="34"/>
        <v>Marathi</v>
      </c>
      <c r="P561" t="str">
        <f t="shared" si="35"/>
        <v>Standard</v>
      </c>
    </row>
    <row r="562" spans="1:16" x14ac:dyDescent="0.3">
      <c r="A562" s="2" t="s">
        <v>606</v>
      </c>
      <c r="B562" s="2" t="s">
        <v>42</v>
      </c>
      <c r="C562" s="3">
        <v>27</v>
      </c>
      <c r="D562" t="s">
        <v>18</v>
      </c>
      <c r="E562" s="2" t="s">
        <v>13</v>
      </c>
      <c r="F562" s="2" t="s">
        <v>38</v>
      </c>
      <c r="G562">
        <v>44</v>
      </c>
      <c r="H562" s="4">
        <v>43943</v>
      </c>
      <c r="I562" s="2" t="s">
        <v>49</v>
      </c>
      <c r="J562" s="2" t="s">
        <v>27</v>
      </c>
      <c r="M562" t="str">
        <f t="shared" si="32"/>
        <v>Male</v>
      </c>
      <c r="N562" t="str">
        <f t="shared" si="33"/>
        <v>Delhi</v>
      </c>
      <c r="O562" t="str">
        <f t="shared" si="34"/>
        <v>Kannada</v>
      </c>
      <c r="P562" t="str">
        <f t="shared" si="35"/>
        <v>Standard</v>
      </c>
    </row>
    <row r="563" spans="1:16" x14ac:dyDescent="0.3">
      <c r="A563" s="2" t="s">
        <v>607</v>
      </c>
      <c r="B563" s="2" t="s">
        <v>11</v>
      </c>
      <c r="C563" s="3">
        <v>39</v>
      </c>
      <c r="D563" t="s">
        <v>12</v>
      </c>
      <c r="E563" s="2" t="s">
        <v>13</v>
      </c>
      <c r="F563" s="2" t="s">
        <v>14</v>
      </c>
      <c r="G563">
        <v>51</v>
      </c>
      <c r="H563" s="4">
        <v>43759</v>
      </c>
      <c r="I563" s="2" t="s">
        <v>49</v>
      </c>
      <c r="J563" s="2" t="s">
        <v>22</v>
      </c>
      <c r="M563" t="str">
        <f t="shared" si="32"/>
        <v>Male</v>
      </c>
      <c r="N563" t="str">
        <f t="shared" si="33"/>
        <v>Kolkata</v>
      </c>
      <c r="O563" t="str">
        <f t="shared" si="34"/>
        <v>Kannada</v>
      </c>
      <c r="P563" t="str">
        <f t="shared" si="35"/>
        <v>Premium</v>
      </c>
    </row>
    <row r="564" spans="1:16" x14ac:dyDescent="0.3">
      <c r="A564" s="2" t="s">
        <v>608</v>
      </c>
      <c r="B564" s="2" t="s">
        <v>11</v>
      </c>
      <c r="C564" s="3">
        <v>24</v>
      </c>
      <c r="D564" t="s">
        <v>32</v>
      </c>
      <c r="E564" s="2" t="s">
        <v>13</v>
      </c>
      <c r="F564" s="2" t="s">
        <v>54</v>
      </c>
      <c r="G564">
        <v>56</v>
      </c>
      <c r="H564" s="4">
        <v>43591</v>
      </c>
      <c r="I564" s="2" t="s">
        <v>26</v>
      </c>
      <c r="J564" s="2" t="s">
        <v>16</v>
      </c>
      <c r="M564" t="str">
        <f t="shared" si="32"/>
        <v>Male</v>
      </c>
      <c r="N564" t="str">
        <f t="shared" si="33"/>
        <v>Bangalore</v>
      </c>
      <c r="O564" t="str">
        <f t="shared" si="34"/>
        <v>Malayalam</v>
      </c>
      <c r="P564" t="str">
        <f t="shared" si="35"/>
        <v>Basic</v>
      </c>
    </row>
    <row r="565" spans="1:16" x14ac:dyDescent="0.3">
      <c r="A565" s="2" t="s">
        <v>609</v>
      </c>
      <c r="B565" s="2" t="s">
        <v>24</v>
      </c>
      <c r="C565" s="3">
        <v>34</v>
      </c>
      <c r="D565" t="s">
        <v>18</v>
      </c>
      <c r="E565" s="2" t="s">
        <v>19</v>
      </c>
      <c r="F565" s="2" t="s">
        <v>38</v>
      </c>
      <c r="G565">
        <v>31</v>
      </c>
      <c r="H565" s="4">
        <v>44340</v>
      </c>
      <c r="I565" s="2" t="s">
        <v>15</v>
      </c>
      <c r="J565" s="2" t="s">
        <v>16</v>
      </c>
      <c r="M565" t="str">
        <f t="shared" si="32"/>
        <v>Female</v>
      </c>
      <c r="N565" t="str">
        <f t="shared" si="33"/>
        <v>Delhi</v>
      </c>
      <c r="O565" t="str">
        <f t="shared" si="34"/>
        <v>Telugu</v>
      </c>
      <c r="P565" t="str">
        <f t="shared" si="35"/>
        <v>Basic</v>
      </c>
    </row>
    <row r="566" spans="1:16" x14ac:dyDescent="0.3">
      <c r="A566" s="2" t="s">
        <v>610</v>
      </c>
      <c r="B566" s="2" t="s">
        <v>11</v>
      </c>
      <c r="C566" s="3">
        <v>18</v>
      </c>
      <c r="D566" t="s">
        <v>32</v>
      </c>
      <c r="E566" s="2" t="s">
        <v>13</v>
      </c>
      <c r="F566" s="2" t="s">
        <v>38</v>
      </c>
      <c r="G566">
        <v>26</v>
      </c>
      <c r="H566" s="4">
        <v>44489</v>
      </c>
      <c r="I566" s="2" t="s">
        <v>29</v>
      </c>
      <c r="J566" s="2" t="s">
        <v>16</v>
      </c>
      <c r="M566" t="str">
        <f t="shared" si="32"/>
        <v>Male</v>
      </c>
      <c r="N566" t="str">
        <f t="shared" si="33"/>
        <v>Delhi</v>
      </c>
      <c r="O566" t="str">
        <f t="shared" si="34"/>
        <v>English</v>
      </c>
      <c r="P566" t="str">
        <f t="shared" si="35"/>
        <v>Basic</v>
      </c>
    </row>
    <row r="567" spans="1:16" x14ac:dyDescent="0.3">
      <c r="A567" s="2" t="s">
        <v>611</v>
      </c>
      <c r="B567" s="2" t="s">
        <v>42</v>
      </c>
      <c r="C567" s="3">
        <v>38</v>
      </c>
      <c r="D567" t="s">
        <v>12</v>
      </c>
      <c r="E567" s="2" t="s">
        <v>13</v>
      </c>
      <c r="F567" s="2" t="s">
        <v>20</v>
      </c>
      <c r="G567">
        <v>36</v>
      </c>
      <c r="H567" s="4">
        <v>44193</v>
      </c>
      <c r="I567" s="2" t="s">
        <v>47</v>
      </c>
      <c r="J567" s="2" t="s">
        <v>27</v>
      </c>
      <c r="M567" t="str">
        <f t="shared" si="32"/>
        <v>Male</v>
      </c>
      <c r="N567" t="str">
        <f t="shared" si="33"/>
        <v>Chennai</v>
      </c>
      <c r="O567" t="str">
        <f t="shared" si="34"/>
        <v>Hindi</v>
      </c>
      <c r="P567" t="str">
        <f t="shared" si="35"/>
        <v>Standard</v>
      </c>
    </row>
    <row r="568" spans="1:16" x14ac:dyDescent="0.3">
      <c r="A568" s="2" t="s">
        <v>612</v>
      </c>
      <c r="B568" s="2" t="s">
        <v>61</v>
      </c>
      <c r="C568" s="3">
        <v>30</v>
      </c>
      <c r="D568" t="s">
        <v>18</v>
      </c>
      <c r="E568" s="2" t="s">
        <v>19</v>
      </c>
      <c r="F568" s="2" t="s">
        <v>56</v>
      </c>
      <c r="G568">
        <v>46</v>
      </c>
      <c r="H568" s="4">
        <v>43900</v>
      </c>
      <c r="I568" s="2" t="s">
        <v>49</v>
      </c>
      <c r="J568" s="2" t="s">
        <v>27</v>
      </c>
      <c r="M568" t="str">
        <f t="shared" si="32"/>
        <v>Female</v>
      </c>
      <c r="N568" t="str">
        <f t="shared" si="33"/>
        <v>Hyderabad</v>
      </c>
      <c r="O568" t="str">
        <f t="shared" si="34"/>
        <v>Kannada</v>
      </c>
      <c r="P568" t="str">
        <f t="shared" si="35"/>
        <v>Standard</v>
      </c>
    </row>
    <row r="569" spans="1:16" x14ac:dyDescent="0.3">
      <c r="A569" s="2" t="s">
        <v>613</v>
      </c>
      <c r="B569" s="2" t="s">
        <v>11</v>
      </c>
      <c r="C569" s="3">
        <v>30</v>
      </c>
      <c r="D569" t="s">
        <v>18</v>
      </c>
      <c r="E569" s="2" t="s">
        <v>19</v>
      </c>
      <c r="F569" s="2" t="s">
        <v>14</v>
      </c>
      <c r="G569">
        <v>48</v>
      </c>
      <c r="H569" s="4">
        <v>43830</v>
      </c>
      <c r="I569" s="2" t="s">
        <v>15</v>
      </c>
      <c r="J569" s="2" t="s">
        <v>27</v>
      </c>
      <c r="M569" t="str">
        <f t="shared" si="32"/>
        <v>Female</v>
      </c>
      <c r="N569" t="str">
        <f t="shared" si="33"/>
        <v>Kolkata</v>
      </c>
      <c r="O569" t="str">
        <f t="shared" si="34"/>
        <v>Telugu</v>
      </c>
      <c r="P569" t="str">
        <f t="shared" si="35"/>
        <v>Standard</v>
      </c>
    </row>
    <row r="570" spans="1:16" x14ac:dyDescent="0.3">
      <c r="A570" s="2" t="s">
        <v>614</v>
      </c>
      <c r="B570" s="2" t="s">
        <v>24</v>
      </c>
      <c r="C570" s="3">
        <v>18</v>
      </c>
      <c r="D570" t="s">
        <v>32</v>
      </c>
      <c r="E570" s="2" t="s">
        <v>13</v>
      </c>
      <c r="F570" s="2" t="s">
        <v>88</v>
      </c>
      <c r="G570">
        <v>34</v>
      </c>
      <c r="H570" s="4">
        <v>44270</v>
      </c>
      <c r="I570" s="2" t="s">
        <v>49</v>
      </c>
      <c r="J570" s="2" t="s">
        <v>22</v>
      </c>
      <c r="M570" t="str">
        <f t="shared" si="32"/>
        <v>Male</v>
      </c>
      <c r="N570" t="str">
        <f t="shared" si="33"/>
        <v>Lucknow</v>
      </c>
      <c r="O570" t="str">
        <f t="shared" si="34"/>
        <v>Kannada</v>
      </c>
      <c r="P570" t="str">
        <f t="shared" si="35"/>
        <v>Premium</v>
      </c>
    </row>
    <row r="571" spans="1:16" x14ac:dyDescent="0.3">
      <c r="A571" s="2" t="s">
        <v>615</v>
      </c>
      <c r="B571" s="2" t="s">
        <v>31</v>
      </c>
      <c r="C571" s="3">
        <v>29</v>
      </c>
      <c r="D571" t="s">
        <v>18</v>
      </c>
      <c r="E571" s="2" t="s">
        <v>19</v>
      </c>
      <c r="F571" s="2" t="s">
        <v>88</v>
      </c>
      <c r="G571">
        <v>54</v>
      </c>
      <c r="H571" s="4">
        <v>43655</v>
      </c>
      <c r="I571" s="2" t="s">
        <v>62</v>
      </c>
      <c r="J571" s="2" t="s">
        <v>16</v>
      </c>
      <c r="M571" t="str">
        <f t="shared" si="32"/>
        <v>Female</v>
      </c>
      <c r="N571" t="str">
        <f t="shared" si="33"/>
        <v>Lucknow</v>
      </c>
      <c r="O571" t="str">
        <f t="shared" si="34"/>
        <v>Gujarati</v>
      </c>
      <c r="P571" t="str">
        <f t="shared" si="35"/>
        <v>Basic</v>
      </c>
    </row>
    <row r="572" spans="1:16" x14ac:dyDescent="0.3">
      <c r="A572" s="2" t="s">
        <v>616</v>
      </c>
      <c r="B572" s="2" t="s">
        <v>31</v>
      </c>
      <c r="C572" s="3">
        <v>38</v>
      </c>
      <c r="D572" t="s">
        <v>12</v>
      </c>
      <c r="E572" s="2" t="s">
        <v>13</v>
      </c>
      <c r="F572" s="2" t="s">
        <v>38</v>
      </c>
      <c r="G572">
        <v>8</v>
      </c>
      <c r="H572" s="4">
        <v>45046</v>
      </c>
      <c r="I572" s="2" t="s">
        <v>49</v>
      </c>
      <c r="J572" s="2" t="s">
        <v>65</v>
      </c>
      <c r="M572" t="str">
        <f t="shared" si="32"/>
        <v>Male</v>
      </c>
      <c r="N572" t="str">
        <f t="shared" si="33"/>
        <v>Delhi</v>
      </c>
      <c r="O572" t="str">
        <f t="shared" si="34"/>
        <v>Kannada</v>
      </c>
      <c r="P572" t="str">
        <f t="shared" si="35"/>
        <v>Family</v>
      </c>
    </row>
    <row r="573" spans="1:16" x14ac:dyDescent="0.3">
      <c r="A573" s="2" t="s">
        <v>617</v>
      </c>
      <c r="B573" s="2" t="s">
        <v>11</v>
      </c>
      <c r="C573" s="3">
        <v>31</v>
      </c>
      <c r="D573" t="s">
        <v>18</v>
      </c>
      <c r="E573" s="2" t="s">
        <v>19</v>
      </c>
      <c r="F573" s="2" t="s">
        <v>36</v>
      </c>
      <c r="G573">
        <v>7</v>
      </c>
      <c r="H573" s="4">
        <v>45077</v>
      </c>
      <c r="I573" s="2" t="s">
        <v>34</v>
      </c>
      <c r="J573" s="2" t="s">
        <v>22</v>
      </c>
      <c r="M573" t="str">
        <f t="shared" si="32"/>
        <v>Female</v>
      </c>
      <c r="N573" t="str">
        <f t="shared" si="33"/>
        <v>Ahmedabad</v>
      </c>
      <c r="O573" t="str">
        <f t="shared" si="34"/>
        <v>Marathi</v>
      </c>
      <c r="P573" t="str">
        <f t="shared" si="35"/>
        <v>Premium</v>
      </c>
    </row>
    <row r="574" spans="1:16" x14ac:dyDescent="0.3">
      <c r="A574" s="2" t="s">
        <v>618</v>
      </c>
      <c r="B574" s="2" t="s">
        <v>24</v>
      </c>
      <c r="C574" s="3">
        <v>24</v>
      </c>
      <c r="D574" t="s">
        <v>32</v>
      </c>
      <c r="E574" s="2" t="s">
        <v>13</v>
      </c>
      <c r="F574" s="2" t="s">
        <v>14</v>
      </c>
      <c r="G574">
        <v>8</v>
      </c>
      <c r="H574" s="4">
        <v>45026</v>
      </c>
      <c r="I574" s="2" t="s">
        <v>21</v>
      </c>
      <c r="J574" s="2" t="s">
        <v>16</v>
      </c>
      <c r="M574" t="str">
        <f t="shared" si="32"/>
        <v>Male</v>
      </c>
      <c r="N574" t="str">
        <f t="shared" si="33"/>
        <v>Kolkata</v>
      </c>
      <c r="O574" t="str">
        <f t="shared" si="34"/>
        <v>Bengali</v>
      </c>
      <c r="P574" t="str">
        <f t="shared" si="35"/>
        <v>Basic</v>
      </c>
    </row>
    <row r="575" spans="1:16" x14ac:dyDescent="0.3">
      <c r="A575" s="2" t="s">
        <v>619</v>
      </c>
      <c r="B575" s="2" t="s">
        <v>11</v>
      </c>
      <c r="C575" s="3">
        <v>24</v>
      </c>
      <c r="D575" t="s">
        <v>32</v>
      </c>
      <c r="E575" s="2" t="s">
        <v>13</v>
      </c>
      <c r="F575" s="2" t="s">
        <v>88</v>
      </c>
      <c r="G575">
        <v>37</v>
      </c>
      <c r="H575" s="4">
        <v>44166</v>
      </c>
      <c r="I575" s="2" t="s">
        <v>15</v>
      </c>
      <c r="J575" s="2" t="s">
        <v>22</v>
      </c>
      <c r="M575" t="str">
        <f t="shared" si="32"/>
        <v>Male</v>
      </c>
      <c r="N575" t="str">
        <f t="shared" si="33"/>
        <v>Lucknow</v>
      </c>
      <c r="O575" t="str">
        <f t="shared" si="34"/>
        <v>Telugu</v>
      </c>
      <c r="P575" t="str">
        <f t="shared" si="35"/>
        <v>Premium</v>
      </c>
    </row>
    <row r="576" spans="1:16" x14ac:dyDescent="0.3">
      <c r="A576" s="2" t="s">
        <v>620</v>
      </c>
      <c r="B576" s="2" t="s">
        <v>31</v>
      </c>
      <c r="C576" s="3">
        <v>24</v>
      </c>
      <c r="D576" t="s">
        <v>32</v>
      </c>
      <c r="E576" s="2" t="s">
        <v>19</v>
      </c>
      <c r="F576" s="2" t="s">
        <v>56</v>
      </c>
      <c r="G576">
        <v>10</v>
      </c>
      <c r="H576" s="4">
        <v>44966</v>
      </c>
      <c r="I576" s="2" t="s">
        <v>21</v>
      </c>
      <c r="J576" s="2" t="s">
        <v>22</v>
      </c>
      <c r="M576" t="str">
        <f t="shared" si="32"/>
        <v>Female</v>
      </c>
      <c r="N576" t="str">
        <f t="shared" si="33"/>
        <v>Hyderabad</v>
      </c>
      <c r="O576" t="str">
        <f t="shared" si="34"/>
        <v>Bengali</v>
      </c>
      <c r="P576" t="str">
        <f t="shared" si="35"/>
        <v>Premium</v>
      </c>
    </row>
    <row r="577" spans="1:16" x14ac:dyDescent="0.3">
      <c r="A577" s="2" t="s">
        <v>621</v>
      </c>
      <c r="B577" s="2" t="s">
        <v>31</v>
      </c>
      <c r="C577" s="3">
        <v>18</v>
      </c>
      <c r="D577" t="s">
        <v>32</v>
      </c>
      <c r="E577" s="2" t="s">
        <v>105</v>
      </c>
      <c r="F577" s="2" t="s">
        <v>88</v>
      </c>
      <c r="G577">
        <v>33</v>
      </c>
      <c r="H577" s="4">
        <v>44283</v>
      </c>
      <c r="I577" s="2" t="s">
        <v>15</v>
      </c>
      <c r="J577" s="2" t="s">
        <v>27</v>
      </c>
      <c r="M577" t="str">
        <f t="shared" si="32"/>
        <v>Non-Binary</v>
      </c>
      <c r="N577" t="str">
        <f t="shared" si="33"/>
        <v>Lucknow</v>
      </c>
      <c r="O577" t="str">
        <f t="shared" si="34"/>
        <v>Telugu</v>
      </c>
      <c r="P577" t="str">
        <f t="shared" si="35"/>
        <v>Standard</v>
      </c>
    </row>
    <row r="578" spans="1:16" x14ac:dyDescent="0.3">
      <c r="A578" s="2" t="s">
        <v>622</v>
      </c>
      <c r="B578" s="2" t="s">
        <v>61</v>
      </c>
      <c r="C578" s="3">
        <v>30</v>
      </c>
      <c r="D578" t="s">
        <v>18</v>
      </c>
      <c r="E578" s="2" t="s">
        <v>19</v>
      </c>
      <c r="F578" s="2" t="s">
        <v>36</v>
      </c>
      <c r="G578">
        <v>50</v>
      </c>
      <c r="H578" s="4">
        <v>43773</v>
      </c>
      <c r="I578" s="2" t="s">
        <v>49</v>
      </c>
      <c r="J578" s="2" t="s">
        <v>16</v>
      </c>
      <c r="M578" t="str">
        <f t="shared" si="32"/>
        <v>Female</v>
      </c>
      <c r="N578" t="str">
        <f t="shared" si="33"/>
        <v>Ahmedabad</v>
      </c>
      <c r="O578" t="str">
        <f t="shared" si="34"/>
        <v>Kannada</v>
      </c>
      <c r="P578" t="str">
        <f t="shared" si="35"/>
        <v>Basic</v>
      </c>
    </row>
    <row r="579" spans="1:16" x14ac:dyDescent="0.3">
      <c r="A579" s="2" t="s">
        <v>623</v>
      </c>
      <c r="B579" s="2" t="s">
        <v>24</v>
      </c>
      <c r="C579" s="3">
        <v>22</v>
      </c>
      <c r="D579" t="s">
        <v>32</v>
      </c>
      <c r="E579" s="2" t="s">
        <v>19</v>
      </c>
      <c r="F579" s="2" t="s">
        <v>14</v>
      </c>
      <c r="G579">
        <v>20</v>
      </c>
      <c r="H579" s="4">
        <v>44684</v>
      </c>
      <c r="I579" s="2" t="s">
        <v>15</v>
      </c>
      <c r="J579" s="2" t="s">
        <v>22</v>
      </c>
      <c r="M579" t="str">
        <f t="shared" ref="M579:M642" si="36">TRIM(E579)</f>
        <v>Female</v>
      </c>
      <c r="N579" t="str">
        <f t="shared" ref="N579:N642" si="37">TRIM(F579)</f>
        <v>Kolkata</v>
      </c>
      <c r="O579" t="str">
        <f t="shared" ref="O579:O642" si="38">TRIM(I579)</f>
        <v>Telugu</v>
      </c>
      <c r="P579" t="str">
        <f t="shared" ref="P579:P642" si="39">TRIM(J579)</f>
        <v>Premium</v>
      </c>
    </row>
    <row r="580" spans="1:16" x14ac:dyDescent="0.3">
      <c r="A580" s="2" t="s">
        <v>624</v>
      </c>
      <c r="B580" s="2" t="s">
        <v>31</v>
      </c>
      <c r="C580" s="3">
        <v>31</v>
      </c>
      <c r="D580" t="s">
        <v>18</v>
      </c>
      <c r="E580" s="2" t="s">
        <v>13</v>
      </c>
      <c r="F580" s="2" t="s">
        <v>36</v>
      </c>
      <c r="G580">
        <v>20</v>
      </c>
      <c r="H580" s="4">
        <v>44666</v>
      </c>
      <c r="I580" s="2" t="s">
        <v>39</v>
      </c>
      <c r="J580" s="2" t="s">
        <v>16</v>
      </c>
      <c r="M580" t="str">
        <f t="shared" si="36"/>
        <v>Male</v>
      </c>
      <c r="N580" t="str">
        <f t="shared" si="37"/>
        <v>Ahmedabad</v>
      </c>
      <c r="O580" t="str">
        <f t="shared" si="38"/>
        <v>Tamil</v>
      </c>
      <c r="P580" t="str">
        <f t="shared" si="39"/>
        <v>Basic</v>
      </c>
    </row>
    <row r="581" spans="1:16" x14ac:dyDescent="0.3">
      <c r="A581" s="2" t="s">
        <v>625</v>
      </c>
      <c r="B581" s="2" t="s">
        <v>61</v>
      </c>
      <c r="C581" s="3">
        <v>40</v>
      </c>
      <c r="D581" t="s">
        <v>12</v>
      </c>
      <c r="E581" s="2" t="s">
        <v>13</v>
      </c>
      <c r="F581" s="2" t="s">
        <v>54</v>
      </c>
      <c r="G581">
        <v>4</v>
      </c>
      <c r="H581" s="4">
        <v>45147</v>
      </c>
      <c r="I581" s="2" t="s">
        <v>29</v>
      </c>
      <c r="J581" s="2" t="s">
        <v>27</v>
      </c>
      <c r="M581" t="str">
        <f t="shared" si="36"/>
        <v>Male</v>
      </c>
      <c r="N581" t="str">
        <f t="shared" si="37"/>
        <v>Bangalore</v>
      </c>
      <c r="O581" t="str">
        <f t="shared" si="38"/>
        <v>English</v>
      </c>
      <c r="P581" t="str">
        <f t="shared" si="39"/>
        <v>Standard</v>
      </c>
    </row>
    <row r="582" spans="1:16" x14ac:dyDescent="0.3">
      <c r="A582" s="2" t="s">
        <v>626</v>
      </c>
      <c r="B582" s="2" t="s">
        <v>31</v>
      </c>
      <c r="C582" s="3">
        <v>34</v>
      </c>
      <c r="D582" t="s">
        <v>18</v>
      </c>
      <c r="E582" s="2" t="s">
        <v>13</v>
      </c>
      <c r="F582" s="2" t="s">
        <v>36</v>
      </c>
      <c r="G582">
        <v>21</v>
      </c>
      <c r="H582" s="4">
        <v>44643</v>
      </c>
      <c r="I582" s="2" t="s">
        <v>39</v>
      </c>
      <c r="J582" s="2" t="s">
        <v>22</v>
      </c>
      <c r="M582" t="str">
        <f t="shared" si="36"/>
        <v>Male</v>
      </c>
      <c r="N582" t="str">
        <f t="shared" si="37"/>
        <v>Ahmedabad</v>
      </c>
      <c r="O582" t="str">
        <f t="shared" si="38"/>
        <v>Tamil</v>
      </c>
      <c r="P582" t="str">
        <f t="shared" si="39"/>
        <v>Premium</v>
      </c>
    </row>
    <row r="583" spans="1:16" x14ac:dyDescent="0.3">
      <c r="A583" s="2" t="s">
        <v>627</v>
      </c>
      <c r="B583" s="2" t="s">
        <v>31</v>
      </c>
      <c r="C583" s="3">
        <v>32</v>
      </c>
      <c r="D583" t="s">
        <v>18</v>
      </c>
      <c r="E583" s="2" t="s">
        <v>13</v>
      </c>
      <c r="F583" s="2" t="s">
        <v>36</v>
      </c>
      <c r="G583">
        <v>44</v>
      </c>
      <c r="H583" s="4">
        <v>43949</v>
      </c>
      <c r="I583" s="2" t="s">
        <v>62</v>
      </c>
      <c r="J583" s="2" t="s">
        <v>16</v>
      </c>
      <c r="M583" t="str">
        <f t="shared" si="36"/>
        <v>Male</v>
      </c>
      <c r="N583" t="str">
        <f t="shared" si="37"/>
        <v>Ahmedabad</v>
      </c>
      <c r="O583" t="str">
        <f t="shared" si="38"/>
        <v>Gujarati</v>
      </c>
      <c r="P583" t="str">
        <f t="shared" si="39"/>
        <v>Basic</v>
      </c>
    </row>
    <row r="584" spans="1:16" x14ac:dyDescent="0.3">
      <c r="A584" s="2" t="s">
        <v>628</v>
      </c>
      <c r="B584" s="2" t="s">
        <v>24</v>
      </c>
      <c r="C584" s="3">
        <v>23</v>
      </c>
      <c r="D584" t="s">
        <v>32</v>
      </c>
      <c r="E584" s="2" t="s">
        <v>19</v>
      </c>
      <c r="F584" s="2" t="s">
        <v>38</v>
      </c>
      <c r="G584">
        <v>23</v>
      </c>
      <c r="H584" s="4">
        <v>44596</v>
      </c>
      <c r="I584" s="2" t="s">
        <v>29</v>
      </c>
      <c r="J584" s="2" t="s">
        <v>22</v>
      </c>
      <c r="M584" t="str">
        <f t="shared" si="36"/>
        <v>Female</v>
      </c>
      <c r="N584" t="str">
        <f t="shared" si="37"/>
        <v>Delhi</v>
      </c>
      <c r="O584" t="str">
        <f t="shared" si="38"/>
        <v>English</v>
      </c>
      <c r="P584" t="str">
        <f t="shared" si="39"/>
        <v>Premium</v>
      </c>
    </row>
    <row r="585" spans="1:16" x14ac:dyDescent="0.3">
      <c r="A585" s="2" t="s">
        <v>629</v>
      </c>
      <c r="B585" s="2" t="s">
        <v>42</v>
      </c>
      <c r="C585" s="3">
        <v>51</v>
      </c>
      <c r="D585" t="s">
        <v>46</v>
      </c>
      <c r="E585" s="2" t="s">
        <v>19</v>
      </c>
      <c r="F585" s="2" t="s">
        <v>38</v>
      </c>
      <c r="G585">
        <v>52</v>
      </c>
      <c r="H585" s="4">
        <v>43719</v>
      </c>
      <c r="I585" s="2" t="s">
        <v>15</v>
      </c>
      <c r="J585" s="2" t="s">
        <v>65</v>
      </c>
      <c r="M585" t="str">
        <f t="shared" si="36"/>
        <v>Female</v>
      </c>
      <c r="N585" t="str">
        <f t="shared" si="37"/>
        <v>Delhi</v>
      </c>
      <c r="O585" t="str">
        <f t="shared" si="38"/>
        <v>Telugu</v>
      </c>
      <c r="P585" t="str">
        <f t="shared" si="39"/>
        <v>Family</v>
      </c>
    </row>
    <row r="586" spans="1:16" x14ac:dyDescent="0.3">
      <c r="A586" s="2" t="s">
        <v>630</v>
      </c>
      <c r="B586" s="2" t="s">
        <v>11</v>
      </c>
      <c r="C586" s="3">
        <v>23</v>
      </c>
      <c r="D586" t="s">
        <v>32</v>
      </c>
      <c r="E586" s="2" t="s">
        <v>19</v>
      </c>
      <c r="F586" s="2" t="s">
        <v>25</v>
      </c>
      <c r="G586">
        <v>6</v>
      </c>
      <c r="H586" s="4">
        <v>45089</v>
      </c>
      <c r="I586" s="2" t="s">
        <v>29</v>
      </c>
      <c r="J586" s="2" t="s">
        <v>27</v>
      </c>
      <c r="M586" t="str">
        <f t="shared" si="36"/>
        <v>Female</v>
      </c>
      <c r="N586" t="str">
        <f t="shared" si="37"/>
        <v>Mumbai</v>
      </c>
      <c r="O586" t="str">
        <f t="shared" si="38"/>
        <v>English</v>
      </c>
      <c r="P586" t="str">
        <f t="shared" si="39"/>
        <v>Standard</v>
      </c>
    </row>
    <row r="587" spans="1:16" x14ac:dyDescent="0.3">
      <c r="A587" s="2" t="s">
        <v>631</v>
      </c>
      <c r="B587" s="2" t="s">
        <v>24</v>
      </c>
      <c r="C587" s="3">
        <v>50</v>
      </c>
      <c r="D587" t="s">
        <v>46</v>
      </c>
      <c r="E587" s="2" t="s">
        <v>19</v>
      </c>
      <c r="F587" s="2" t="s">
        <v>54</v>
      </c>
      <c r="G587">
        <v>40</v>
      </c>
      <c r="H587" s="4">
        <v>44081</v>
      </c>
      <c r="I587" s="2" t="s">
        <v>26</v>
      </c>
      <c r="J587" s="2" t="s">
        <v>22</v>
      </c>
      <c r="M587" t="str">
        <f t="shared" si="36"/>
        <v>Female</v>
      </c>
      <c r="N587" t="str">
        <f t="shared" si="37"/>
        <v>Bangalore</v>
      </c>
      <c r="O587" t="str">
        <f t="shared" si="38"/>
        <v>Malayalam</v>
      </c>
      <c r="P587" t="str">
        <f t="shared" si="39"/>
        <v>Premium</v>
      </c>
    </row>
    <row r="588" spans="1:16" x14ac:dyDescent="0.3">
      <c r="A588" s="2" t="s">
        <v>632</v>
      </c>
      <c r="B588" s="2" t="s">
        <v>42</v>
      </c>
      <c r="C588" s="3">
        <v>25</v>
      </c>
      <c r="D588" t="s">
        <v>18</v>
      </c>
      <c r="E588" s="2" t="s">
        <v>13</v>
      </c>
      <c r="F588" s="2" t="s">
        <v>54</v>
      </c>
      <c r="G588">
        <v>42</v>
      </c>
      <c r="H588" s="4">
        <v>44029</v>
      </c>
      <c r="I588" s="2" t="s">
        <v>62</v>
      </c>
      <c r="J588" s="2" t="s">
        <v>16</v>
      </c>
      <c r="M588" t="str">
        <f t="shared" si="36"/>
        <v>Male</v>
      </c>
      <c r="N588" t="str">
        <f t="shared" si="37"/>
        <v>Bangalore</v>
      </c>
      <c r="O588" t="str">
        <f t="shared" si="38"/>
        <v>Gujarati</v>
      </c>
      <c r="P588" t="str">
        <f t="shared" si="39"/>
        <v>Basic</v>
      </c>
    </row>
    <row r="589" spans="1:16" x14ac:dyDescent="0.3">
      <c r="A589" s="2" t="s">
        <v>633</v>
      </c>
      <c r="B589" s="2" t="s">
        <v>61</v>
      </c>
      <c r="C589" s="3">
        <v>18</v>
      </c>
      <c r="D589" t="s">
        <v>32</v>
      </c>
      <c r="E589" s="2" t="s">
        <v>19</v>
      </c>
      <c r="F589" s="2" t="s">
        <v>54</v>
      </c>
      <c r="G589">
        <v>37</v>
      </c>
      <c r="H589" s="4">
        <v>44165</v>
      </c>
      <c r="I589" s="2" t="s">
        <v>15</v>
      </c>
      <c r="J589" s="2" t="s">
        <v>16</v>
      </c>
      <c r="M589" t="str">
        <f t="shared" si="36"/>
        <v>Female</v>
      </c>
      <c r="N589" t="str">
        <f t="shared" si="37"/>
        <v>Bangalore</v>
      </c>
      <c r="O589" t="str">
        <f t="shared" si="38"/>
        <v>Telugu</v>
      </c>
      <c r="P589" t="str">
        <f t="shared" si="39"/>
        <v>Basic</v>
      </c>
    </row>
    <row r="590" spans="1:16" x14ac:dyDescent="0.3">
      <c r="A590" s="2" t="s">
        <v>634</v>
      </c>
      <c r="B590" s="2" t="s">
        <v>24</v>
      </c>
      <c r="C590" s="3">
        <v>18</v>
      </c>
      <c r="D590" t="s">
        <v>32</v>
      </c>
      <c r="E590" s="2" t="s">
        <v>13</v>
      </c>
      <c r="F590" s="2" t="s">
        <v>88</v>
      </c>
      <c r="G590">
        <v>17</v>
      </c>
      <c r="H590" s="4">
        <v>44756</v>
      </c>
      <c r="I590" s="2" t="s">
        <v>29</v>
      </c>
      <c r="J590" s="2" t="s">
        <v>16</v>
      </c>
      <c r="M590" t="str">
        <f t="shared" si="36"/>
        <v>Male</v>
      </c>
      <c r="N590" t="str">
        <f t="shared" si="37"/>
        <v>Lucknow</v>
      </c>
      <c r="O590" t="str">
        <f t="shared" si="38"/>
        <v>English</v>
      </c>
      <c r="P590" t="str">
        <f t="shared" si="39"/>
        <v>Basic</v>
      </c>
    </row>
    <row r="591" spans="1:16" x14ac:dyDescent="0.3">
      <c r="A591" s="2" t="s">
        <v>635</v>
      </c>
      <c r="B591" s="2" t="s">
        <v>31</v>
      </c>
      <c r="C591" s="3">
        <v>27</v>
      </c>
      <c r="D591" t="s">
        <v>18</v>
      </c>
      <c r="E591" s="2" t="s">
        <v>13</v>
      </c>
      <c r="F591" s="2" t="s">
        <v>20</v>
      </c>
      <c r="G591">
        <v>26</v>
      </c>
      <c r="H591" s="4">
        <v>44487</v>
      </c>
      <c r="I591" s="2" t="s">
        <v>29</v>
      </c>
      <c r="J591" s="2" t="s">
        <v>22</v>
      </c>
      <c r="M591" t="str">
        <f t="shared" si="36"/>
        <v>Male</v>
      </c>
      <c r="N591" t="str">
        <f t="shared" si="37"/>
        <v>Chennai</v>
      </c>
      <c r="O591" t="str">
        <f t="shared" si="38"/>
        <v>English</v>
      </c>
      <c r="P591" t="str">
        <f t="shared" si="39"/>
        <v>Premium</v>
      </c>
    </row>
    <row r="592" spans="1:16" x14ac:dyDescent="0.3">
      <c r="A592" s="2" t="s">
        <v>636</v>
      </c>
      <c r="B592" s="2" t="s">
        <v>11</v>
      </c>
      <c r="C592" s="3">
        <v>26</v>
      </c>
      <c r="D592" t="s">
        <v>18</v>
      </c>
      <c r="E592" s="2" t="s">
        <v>19</v>
      </c>
      <c r="F592" s="2" t="s">
        <v>25</v>
      </c>
      <c r="G592">
        <v>12</v>
      </c>
      <c r="H592" s="4">
        <v>44913</v>
      </c>
      <c r="I592" s="2" t="s">
        <v>34</v>
      </c>
      <c r="J592" s="2" t="s">
        <v>65</v>
      </c>
      <c r="M592" t="str">
        <f t="shared" si="36"/>
        <v>Female</v>
      </c>
      <c r="N592" t="str">
        <f t="shared" si="37"/>
        <v>Mumbai</v>
      </c>
      <c r="O592" t="str">
        <f t="shared" si="38"/>
        <v>Marathi</v>
      </c>
      <c r="P592" t="str">
        <f t="shared" si="39"/>
        <v>Family</v>
      </c>
    </row>
    <row r="593" spans="1:16" x14ac:dyDescent="0.3">
      <c r="A593" s="2" t="s">
        <v>637</v>
      </c>
      <c r="B593" s="2" t="s">
        <v>31</v>
      </c>
      <c r="C593" s="3">
        <v>29</v>
      </c>
      <c r="D593" t="s">
        <v>18</v>
      </c>
      <c r="E593" s="2" t="s">
        <v>19</v>
      </c>
      <c r="F593" s="2" t="s">
        <v>54</v>
      </c>
      <c r="G593">
        <v>45</v>
      </c>
      <c r="H593" s="4">
        <v>43916</v>
      </c>
      <c r="I593" s="2" t="s">
        <v>39</v>
      </c>
      <c r="J593" s="2" t="s">
        <v>16</v>
      </c>
      <c r="M593" t="str">
        <f t="shared" si="36"/>
        <v>Female</v>
      </c>
      <c r="N593" t="str">
        <f t="shared" si="37"/>
        <v>Bangalore</v>
      </c>
      <c r="O593" t="str">
        <f t="shared" si="38"/>
        <v>Tamil</v>
      </c>
      <c r="P593" t="str">
        <f t="shared" si="39"/>
        <v>Basic</v>
      </c>
    </row>
    <row r="594" spans="1:16" x14ac:dyDescent="0.3">
      <c r="A594" s="2" t="s">
        <v>638</v>
      </c>
      <c r="B594" s="2" t="s">
        <v>24</v>
      </c>
      <c r="C594" s="3">
        <v>46</v>
      </c>
      <c r="D594" t="s">
        <v>46</v>
      </c>
      <c r="E594" s="2" t="s">
        <v>13</v>
      </c>
      <c r="F594" s="2" t="s">
        <v>36</v>
      </c>
      <c r="G594">
        <v>35</v>
      </c>
      <c r="H594" s="4">
        <v>44234</v>
      </c>
      <c r="I594" s="2" t="s">
        <v>21</v>
      </c>
      <c r="J594" s="2" t="s">
        <v>16</v>
      </c>
      <c r="M594" t="str">
        <f t="shared" si="36"/>
        <v>Male</v>
      </c>
      <c r="N594" t="str">
        <f t="shared" si="37"/>
        <v>Ahmedabad</v>
      </c>
      <c r="O594" t="str">
        <f t="shared" si="38"/>
        <v>Bengali</v>
      </c>
      <c r="P594" t="str">
        <f t="shared" si="39"/>
        <v>Basic</v>
      </c>
    </row>
    <row r="595" spans="1:16" x14ac:dyDescent="0.3">
      <c r="A595" s="2" t="s">
        <v>639</v>
      </c>
      <c r="B595" s="2" t="s">
        <v>31</v>
      </c>
      <c r="C595" s="3">
        <v>27</v>
      </c>
      <c r="D595" t="s">
        <v>18</v>
      </c>
      <c r="E595" s="2" t="s">
        <v>19</v>
      </c>
      <c r="F595" s="2" t="s">
        <v>38</v>
      </c>
      <c r="G595">
        <v>12</v>
      </c>
      <c r="H595" s="4">
        <v>44924</v>
      </c>
      <c r="I595" s="2" t="s">
        <v>47</v>
      </c>
      <c r="J595" s="2" t="s">
        <v>16</v>
      </c>
      <c r="M595" t="str">
        <f t="shared" si="36"/>
        <v>Female</v>
      </c>
      <c r="N595" t="str">
        <f t="shared" si="37"/>
        <v>Delhi</v>
      </c>
      <c r="O595" t="str">
        <f t="shared" si="38"/>
        <v>Hindi</v>
      </c>
      <c r="P595" t="str">
        <f t="shared" si="39"/>
        <v>Basic</v>
      </c>
    </row>
    <row r="596" spans="1:16" x14ac:dyDescent="0.3">
      <c r="A596" s="2" t="s">
        <v>640</v>
      </c>
      <c r="B596" s="2" t="s">
        <v>11</v>
      </c>
      <c r="C596" s="3">
        <v>30</v>
      </c>
      <c r="D596" t="s">
        <v>18</v>
      </c>
      <c r="E596" s="2" t="s">
        <v>19</v>
      </c>
      <c r="F596" s="2" t="s">
        <v>33</v>
      </c>
      <c r="G596">
        <v>48</v>
      </c>
      <c r="H596" s="4">
        <v>43833</v>
      </c>
      <c r="I596" s="2" t="s">
        <v>29</v>
      </c>
      <c r="J596" s="2" t="s">
        <v>27</v>
      </c>
      <c r="M596" t="str">
        <f t="shared" si="36"/>
        <v>Female</v>
      </c>
      <c r="N596" t="str">
        <f t="shared" si="37"/>
        <v>Jaipur</v>
      </c>
      <c r="O596" t="str">
        <f t="shared" si="38"/>
        <v>English</v>
      </c>
      <c r="P596" t="str">
        <f t="shared" si="39"/>
        <v>Standard</v>
      </c>
    </row>
    <row r="597" spans="1:16" x14ac:dyDescent="0.3">
      <c r="A597" s="2" t="s">
        <v>641</v>
      </c>
      <c r="B597" s="2" t="s">
        <v>42</v>
      </c>
      <c r="C597" s="3">
        <v>25</v>
      </c>
      <c r="D597" t="s">
        <v>18</v>
      </c>
      <c r="E597" s="2" t="s">
        <v>19</v>
      </c>
      <c r="F597" s="2" t="s">
        <v>33</v>
      </c>
      <c r="G597">
        <v>47</v>
      </c>
      <c r="H597" s="4">
        <v>43862</v>
      </c>
      <c r="I597" s="2" t="s">
        <v>47</v>
      </c>
      <c r="J597" s="2" t="s">
        <v>27</v>
      </c>
      <c r="M597" t="str">
        <f t="shared" si="36"/>
        <v>Female</v>
      </c>
      <c r="N597" t="str">
        <f t="shared" si="37"/>
        <v>Jaipur</v>
      </c>
      <c r="O597" t="str">
        <f t="shared" si="38"/>
        <v>Hindi</v>
      </c>
      <c r="P597" t="str">
        <f t="shared" si="39"/>
        <v>Standard</v>
      </c>
    </row>
    <row r="598" spans="1:16" x14ac:dyDescent="0.3">
      <c r="A598" s="2" t="s">
        <v>642</v>
      </c>
      <c r="B598" s="2" t="s">
        <v>31</v>
      </c>
      <c r="C598" s="3">
        <v>22</v>
      </c>
      <c r="D598" t="s">
        <v>32</v>
      </c>
      <c r="E598" s="2" t="s">
        <v>13</v>
      </c>
      <c r="F598" s="2" t="s">
        <v>54</v>
      </c>
      <c r="G598">
        <v>26</v>
      </c>
      <c r="H598" s="4">
        <v>44498</v>
      </c>
      <c r="I598" s="2" t="s">
        <v>29</v>
      </c>
      <c r="J598" s="2" t="s">
        <v>27</v>
      </c>
      <c r="M598" t="str">
        <f t="shared" si="36"/>
        <v>Male</v>
      </c>
      <c r="N598" t="str">
        <f t="shared" si="37"/>
        <v>Bangalore</v>
      </c>
      <c r="O598" t="str">
        <f t="shared" si="38"/>
        <v>English</v>
      </c>
      <c r="P598" t="str">
        <f t="shared" si="39"/>
        <v>Standard</v>
      </c>
    </row>
    <row r="599" spans="1:16" x14ac:dyDescent="0.3">
      <c r="A599" s="2" t="s">
        <v>643</v>
      </c>
      <c r="B599" s="2" t="s">
        <v>11</v>
      </c>
      <c r="C599" s="3">
        <v>37</v>
      </c>
      <c r="D599" t="s">
        <v>12</v>
      </c>
      <c r="E599" s="2" t="s">
        <v>13</v>
      </c>
      <c r="F599" s="2" t="s">
        <v>14</v>
      </c>
      <c r="G599">
        <v>44</v>
      </c>
      <c r="H599" s="4">
        <v>43946</v>
      </c>
      <c r="I599" s="2" t="s">
        <v>62</v>
      </c>
      <c r="J599" s="2" t="s">
        <v>22</v>
      </c>
      <c r="M599" t="str">
        <f t="shared" si="36"/>
        <v>Male</v>
      </c>
      <c r="N599" t="str">
        <f t="shared" si="37"/>
        <v>Kolkata</v>
      </c>
      <c r="O599" t="str">
        <f t="shared" si="38"/>
        <v>Gujarati</v>
      </c>
      <c r="P599" t="str">
        <f t="shared" si="39"/>
        <v>Premium</v>
      </c>
    </row>
    <row r="600" spans="1:16" x14ac:dyDescent="0.3">
      <c r="A600" s="2" t="s">
        <v>644</v>
      </c>
      <c r="B600" s="2" t="s">
        <v>24</v>
      </c>
      <c r="C600" s="3">
        <v>35</v>
      </c>
      <c r="D600" t="s">
        <v>12</v>
      </c>
      <c r="E600" s="2" t="s">
        <v>19</v>
      </c>
      <c r="F600" s="2" t="s">
        <v>64</v>
      </c>
      <c r="G600">
        <v>25</v>
      </c>
      <c r="H600" s="4">
        <v>44536</v>
      </c>
      <c r="I600" s="2" t="s">
        <v>47</v>
      </c>
      <c r="J600" s="2" t="s">
        <v>16</v>
      </c>
      <c r="M600" t="str">
        <f t="shared" si="36"/>
        <v>Female</v>
      </c>
      <c r="N600" t="str">
        <f t="shared" si="37"/>
        <v>Pune</v>
      </c>
      <c r="O600" t="str">
        <f t="shared" si="38"/>
        <v>Hindi</v>
      </c>
      <c r="P600" t="str">
        <f t="shared" si="39"/>
        <v>Basic</v>
      </c>
    </row>
    <row r="601" spans="1:16" x14ac:dyDescent="0.3">
      <c r="A601" s="2" t="s">
        <v>645</v>
      </c>
      <c r="B601" s="2" t="s">
        <v>24</v>
      </c>
      <c r="C601" s="3">
        <v>24</v>
      </c>
      <c r="D601" t="s">
        <v>32</v>
      </c>
      <c r="E601" s="2" t="s">
        <v>13</v>
      </c>
      <c r="F601" s="2" t="s">
        <v>56</v>
      </c>
      <c r="G601">
        <v>30</v>
      </c>
      <c r="H601" s="4">
        <v>44385</v>
      </c>
      <c r="I601" s="2" t="s">
        <v>39</v>
      </c>
      <c r="J601" s="2" t="s">
        <v>27</v>
      </c>
      <c r="M601" t="str">
        <f t="shared" si="36"/>
        <v>Male</v>
      </c>
      <c r="N601" t="str">
        <f t="shared" si="37"/>
        <v>Hyderabad</v>
      </c>
      <c r="O601" t="str">
        <f t="shared" si="38"/>
        <v>Tamil</v>
      </c>
      <c r="P601" t="str">
        <f t="shared" si="39"/>
        <v>Standard</v>
      </c>
    </row>
    <row r="602" spans="1:16" x14ac:dyDescent="0.3">
      <c r="A602" s="2" t="s">
        <v>646</v>
      </c>
      <c r="B602" s="2" t="s">
        <v>31</v>
      </c>
      <c r="C602" s="3">
        <v>33</v>
      </c>
      <c r="D602" t="s">
        <v>18</v>
      </c>
      <c r="E602" s="2" t="s">
        <v>13</v>
      </c>
      <c r="F602" s="2" t="s">
        <v>54</v>
      </c>
      <c r="G602">
        <v>27</v>
      </c>
      <c r="H602" s="4">
        <v>44454</v>
      </c>
      <c r="I602" s="2" t="s">
        <v>49</v>
      </c>
      <c r="J602" s="2" t="s">
        <v>22</v>
      </c>
      <c r="M602" t="str">
        <f t="shared" si="36"/>
        <v>Male</v>
      </c>
      <c r="N602" t="str">
        <f t="shared" si="37"/>
        <v>Bangalore</v>
      </c>
      <c r="O602" t="str">
        <f t="shared" si="38"/>
        <v>Kannada</v>
      </c>
      <c r="P602" t="str">
        <f t="shared" si="39"/>
        <v>Premium</v>
      </c>
    </row>
    <row r="603" spans="1:16" x14ac:dyDescent="0.3">
      <c r="A603" s="2" t="s">
        <v>647</v>
      </c>
      <c r="B603" s="2" t="s">
        <v>11</v>
      </c>
      <c r="C603" s="3">
        <v>33</v>
      </c>
      <c r="D603" t="s">
        <v>18</v>
      </c>
      <c r="E603" s="2" t="s">
        <v>13</v>
      </c>
      <c r="F603" s="2" t="s">
        <v>64</v>
      </c>
      <c r="G603">
        <v>35</v>
      </c>
      <c r="H603" s="4">
        <v>44235</v>
      </c>
      <c r="I603" s="2" t="s">
        <v>49</v>
      </c>
      <c r="J603" s="2" t="s">
        <v>16</v>
      </c>
      <c r="M603" t="str">
        <f t="shared" si="36"/>
        <v>Male</v>
      </c>
      <c r="N603" t="str">
        <f t="shared" si="37"/>
        <v>Pune</v>
      </c>
      <c r="O603" t="str">
        <f t="shared" si="38"/>
        <v>Kannada</v>
      </c>
      <c r="P603" t="str">
        <f t="shared" si="39"/>
        <v>Basic</v>
      </c>
    </row>
    <row r="604" spans="1:16" x14ac:dyDescent="0.3">
      <c r="A604" s="2" t="s">
        <v>648</v>
      </c>
      <c r="B604" s="2" t="s">
        <v>11</v>
      </c>
      <c r="C604" s="3">
        <v>41</v>
      </c>
      <c r="D604" t="s">
        <v>12</v>
      </c>
      <c r="E604" s="2" t="s">
        <v>13</v>
      </c>
      <c r="F604" s="2" t="s">
        <v>36</v>
      </c>
      <c r="G604">
        <v>20</v>
      </c>
      <c r="H604" s="4">
        <v>44670</v>
      </c>
      <c r="I604" s="2" t="s">
        <v>21</v>
      </c>
      <c r="J604" s="2" t="s">
        <v>27</v>
      </c>
      <c r="M604" t="str">
        <f t="shared" si="36"/>
        <v>Male</v>
      </c>
      <c r="N604" t="str">
        <f t="shared" si="37"/>
        <v>Ahmedabad</v>
      </c>
      <c r="O604" t="str">
        <f t="shared" si="38"/>
        <v>Bengali</v>
      </c>
      <c r="P604" t="str">
        <f t="shared" si="39"/>
        <v>Standard</v>
      </c>
    </row>
    <row r="605" spans="1:16" x14ac:dyDescent="0.3">
      <c r="A605" s="2" t="s">
        <v>649</v>
      </c>
      <c r="B605" s="2" t="s">
        <v>31</v>
      </c>
      <c r="C605" s="3">
        <v>21</v>
      </c>
      <c r="D605" t="s">
        <v>32</v>
      </c>
      <c r="E605" s="2" t="s">
        <v>19</v>
      </c>
      <c r="F605" s="2" t="s">
        <v>38</v>
      </c>
      <c r="G605">
        <v>48</v>
      </c>
      <c r="H605" s="4">
        <v>43827</v>
      </c>
      <c r="I605" s="2" t="s">
        <v>62</v>
      </c>
      <c r="J605" s="2" t="s">
        <v>27</v>
      </c>
      <c r="M605" t="str">
        <f t="shared" si="36"/>
        <v>Female</v>
      </c>
      <c r="N605" t="str">
        <f t="shared" si="37"/>
        <v>Delhi</v>
      </c>
      <c r="O605" t="str">
        <f t="shared" si="38"/>
        <v>Gujarati</v>
      </c>
      <c r="P605" t="str">
        <f t="shared" si="39"/>
        <v>Standard</v>
      </c>
    </row>
    <row r="606" spans="1:16" x14ac:dyDescent="0.3">
      <c r="A606" s="2" t="s">
        <v>650</v>
      </c>
      <c r="B606" s="2" t="s">
        <v>24</v>
      </c>
      <c r="C606" s="3">
        <v>35</v>
      </c>
      <c r="D606" t="s">
        <v>12</v>
      </c>
      <c r="E606" s="2" t="s">
        <v>19</v>
      </c>
      <c r="F606" s="2" t="s">
        <v>38</v>
      </c>
      <c r="G606">
        <v>60</v>
      </c>
      <c r="H606" s="4">
        <v>43492</v>
      </c>
      <c r="I606" s="2" t="s">
        <v>47</v>
      </c>
      <c r="J606" s="2" t="s">
        <v>27</v>
      </c>
      <c r="M606" t="str">
        <f t="shared" si="36"/>
        <v>Female</v>
      </c>
      <c r="N606" t="str">
        <f t="shared" si="37"/>
        <v>Delhi</v>
      </c>
      <c r="O606" t="str">
        <f t="shared" si="38"/>
        <v>Hindi</v>
      </c>
      <c r="P606" t="str">
        <f t="shared" si="39"/>
        <v>Standard</v>
      </c>
    </row>
    <row r="607" spans="1:16" x14ac:dyDescent="0.3">
      <c r="A607" s="2" t="s">
        <v>651</v>
      </c>
      <c r="B607" s="2" t="s">
        <v>31</v>
      </c>
      <c r="C607" s="3">
        <v>27</v>
      </c>
      <c r="D607" t="s">
        <v>18</v>
      </c>
      <c r="E607" s="2" t="s">
        <v>13</v>
      </c>
      <c r="F607" s="2" t="s">
        <v>56</v>
      </c>
      <c r="G607">
        <v>49</v>
      </c>
      <c r="H607" s="4">
        <v>43805</v>
      </c>
      <c r="I607" s="2" t="s">
        <v>49</v>
      </c>
      <c r="J607" s="2" t="s">
        <v>16</v>
      </c>
      <c r="M607" t="str">
        <f t="shared" si="36"/>
        <v>Male</v>
      </c>
      <c r="N607" t="str">
        <f t="shared" si="37"/>
        <v>Hyderabad</v>
      </c>
      <c r="O607" t="str">
        <f t="shared" si="38"/>
        <v>Kannada</v>
      </c>
      <c r="P607" t="str">
        <f t="shared" si="39"/>
        <v>Basic</v>
      </c>
    </row>
    <row r="608" spans="1:16" x14ac:dyDescent="0.3">
      <c r="A608" s="2" t="s">
        <v>652</v>
      </c>
      <c r="B608" s="2" t="s">
        <v>61</v>
      </c>
      <c r="C608" s="3">
        <v>18</v>
      </c>
      <c r="D608" t="s">
        <v>32</v>
      </c>
      <c r="E608" s="2" t="s">
        <v>13</v>
      </c>
      <c r="F608" s="2" t="s">
        <v>14</v>
      </c>
      <c r="G608">
        <v>8</v>
      </c>
      <c r="H608" s="4">
        <v>45034</v>
      </c>
      <c r="I608" s="2" t="s">
        <v>29</v>
      </c>
      <c r="J608" s="2" t="s">
        <v>22</v>
      </c>
      <c r="M608" t="str">
        <f t="shared" si="36"/>
        <v>Male</v>
      </c>
      <c r="N608" t="str">
        <f t="shared" si="37"/>
        <v>Kolkata</v>
      </c>
      <c r="O608" t="str">
        <f t="shared" si="38"/>
        <v>English</v>
      </c>
      <c r="P608" t="str">
        <f t="shared" si="39"/>
        <v>Premium</v>
      </c>
    </row>
    <row r="609" spans="1:16" x14ac:dyDescent="0.3">
      <c r="A609" s="2" t="s">
        <v>653</v>
      </c>
      <c r="B609" s="2" t="s">
        <v>31</v>
      </c>
      <c r="C609" s="3">
        <v>18</v>
      </c>
      <c r="D609" t="s">
        <v>32</v>
      </c>
      <c r="E609" s="2" t="s">
        <v>13</v>
      </c>
      <c r="F609" s="2" t="s">
        <v>38</v>
      </c>
      <c r="G609">
        <v>9</v>
      </c>
      <c r="H609" s="4">
        <v>44995</v>
      </c>
      <c r="I609" s="2" t="s">
        <v>29</v>
      </c>
      <c r="J609" s="2" t="s">
        <v>16</v>
      </c>
      <c r="M609" t="str">
        <f t="shared" si="36"/>
        <v>Male</v>
      </c>
      <c r="N609" t="str">
        <f t="shared" si="37"/>
        <v>Delhi</v>
      </c>
      <c r="O609" t="str">
        <f t="shared" si="38"/>
        <v>English</v>
      </c>
      <c r="P609" t="str">
        <f t="shared" si="39"/>
        <v>Basic</v>
      </c>
    </row>
    <row r="610" spans="1:16" x14ac:dyDescent="0.3">
      <c r="A610" s="2" t="s">
        <v>654</v>
      </c>
      <c r="B610" s="2" t="s">
        <v>11</v>
      </c>
      <c r="C610" s="3">
        <v>22</v>
      </c>
      <c r="D610" t="s">
        <v>32</v>
      </c>
      <c r="E610" s="2" t="s">
        <v>105</v>
      </c>
      <c r="F610" s="2" t="s">
        <v>20</v>
      </c>
      <c r="G610">
        <v>37</v>
      </c>
      <c r="H610" s="4">
        <v>44170</v>
      </c>
      <c r="I610" s="2" t="s">
        <v>39</v>
      </c>
      <c r="J610" s="2" t="s">
        <v>16</v>
      </c>
      <c r="M610" t="str">
        <f t="shared" si="36"/>
        <v>Non-Binary</v>
      </c>
      <c r="N610" t="str">
        <f t="shared" si="37"/>
        <v>Chennai</v>
      </c>
      <c r="O610" t="str">
        <f t="shared" si="38"/>
        <v>Tamil</v>
      </c>
      <c r="P610" t="str">
        <f t="shared" si="39"/>
        <v>Basic</v>
      </c>
    </row>
    <row r="611" spans="1:16" x14ac:dyDescent="0.3">
      <c r="A611" s="2" t="s">
        <v>655</v>
      </c>
      <c r="B611" s="2" t="s">
        <v>11</v>
      </c>
      <c r="C611" s="3">
        <v>44</v>
      </c>
      <c r="D611" t="s">
        <v>12</v>
      </c>
      <c r="E611" s="2" t="s">
        <v>19</v>
      </c>
      <c r="F611" s="2" t="s">
        <v>38</v>
      </c>
      <c r="G611">
        <v>33</v>
      </c>
      <c r="H611" s="4">
        <v>44274</v>
      </c>
      <c r="I611" s="2" t="s">
        <v>49</v>
      </c>
      <c r="J611" s="2" t="s">
        <v>27</v>
      </c>
      <c r="M611" t="str">
        <f t="shared" si="36"/>
        <v>Female</v>
      </c>
      <c r="N611" t="str">
        <f t="shared" si="37"/>
        <v>Delhi</v>
      </c>
      <c r="O611" t="str">
        <f t="shared" si="38"/>
        <v>Kannada</v>
      </c>
      <c r="P611" t="str">
        <f t="shared" si="39"/>
        <v>Standard</v>
      </c>
    </row>
    <row r="612" spans="1:16" x14ac:dyDescent="0.3">
      <c r="A612" s="2" t="s">
        <v>656</v>
      </c>
      <c r="B612" s="2" t="s">
        <v>11</v>
      </c>
      <c r="C612" s="3">
        <v>24</v>
      </c>
      <c r="D612" t="s">
        <v>32</v>
      </c>
      <c r="E612" s="2" t="s">
        <v>19</v>
      </c>
      <c r="F612" s="2" t="s">
        <v>64</v>
      </c>
      <c r="G612">
        <v>34</v>
      </c>
      <c r="H612" s="4">
        <v>44249</v>
      </c>
      <c r="I612" s="2" t="s">
        <v>62</v>
      </c>
      <c r="J612" s="2" t="s">
        <v>22</v>
      </c>
      <c r="M612" t="str">
        <f t="shared" si="36"/>
        <v>Female</v>
      </c>
      <c r="N612" t="str">
        <f t="shared" si="37"/>
        <v>Pune</v>
      </c>
      <c r="O612" t="str">
        <f t="shared" si="38"/>
        <v>Gujarati</v>
      </c>
      <c r="P612" t="str">
        <f t="shared" si="39"/>
        <v>Premium</v>
      </c>
    </row>
    <row r="613" spans="1:16" x14ac:dyDescent="0.3">
      <c r="A613" s="2" t="s">
        <v>657</v>
      </c>
      <c r="B613" s="2" t="s">
        <v>11</v>
      </c>
      <c r="C613" s="3">
        <v>37</v>
      </c>
      <c r="D613" t="s">
        <v>12</v>
      </c>
      <c r="E613" s="2" t="s">
        <v>13</v>
      </c>
      <c r="F613" s="2" t="s">
        <v>33</v>
      </c>
      <c r="G613">
        <v>32</v>
      </c>
      <c r="H613" s="4">
        <v>44330</v>
      </c>
      <c r="I613" s="2" t="s">
        <v>62</v>
      </c>
      <c r="J613" s="2" t="s">
        <v>22</v>
      </c>
      <c r="M613" t="str">
        <f t="shared" si="36"/>
        <v>Male</v>
      </c>
      <c r="N613" t="str">
        <f t="shared" si="37"/>
        <v>Jaipur</v>
      </c>
      <c r="O613" t="str">
        <f t="shared" si="38"/>
        <v>Gujarati</v>
      </c>
      <c r="P613" t="str">
        <f t="shared" si="39"/>
        <v>Premium</v>
      </c>
    </row>
    <row r="614" spans="1:16" x14ac:dyDescent="0.3">
      <c r="A614" s="2" t="s">
        <v>658</v>
      </c>
      <c r="B614" s="2" t="s">
        <v>11</v>
      </c>
      <c r="C614" s="3">
        <v>31</v>
      </c>
      <c r="D614" t="s">
        <v>18</v>
      </c>
      <c r="E614" s="2" t="s">
        <v>19</v>
      </c>
      <c r="F614" s="2" t="s">
        <v>14</v>
      </c>
      <c r="G614">
        <v>10</v>
      </c>
      <c r="H614" s="4">
        <v>44990</v>
      </c>
      <c r="I614" s="2" t="s">
        <v>21</v>
      </c>
      <c r="J614" s="2" t="s">
        <v>22</v>
      </c>
      <c r="M614" t="str">
        <f t="shared" si="36"/>
        <v>Female</v>
      </c>
      <c r="N614" t="str">
        <f t="shared" si="37"/>
        <v>Kolkata</v>
      </c>
      <c r="O614" t="str">
        <f t="shared" si="38"/>
        <v>Bengali</v>
      </c>
      <c r="P614" t="str">
        <f t="shared" si="39"/>
        <v>Premium</v>
      </c>
    </row>
    <row r="615" spans="1:16" x14ac:dyDescent="0.3">
      <c r="A615" s="2" t="s">
        <v>659</v>
      </c>
      <c r="B615" s="2" t="s">
        <v>61</v>
      </c>
      <c r="C615" s="3">
        <v>34</v>
      </c>
      <c r="D615" t="s">
        <v>18</v>
      </c>
      <c r="E615" s="2" t="s">
        <v>19</v>
      </c>
      <c r="F615" s="2" t="s">
        <v>14</v>
      </c>
      <c r="G615">
        <v>50</v>
      </c>
      <c r="H615" s="4">
        <v>43784</v>
      </c>
      <c r="I615" s="2" t="s">
        <v>39</v>
      </c>
      <c r="J615" s="2" t="s">
        <v>27</v>
      </c>
      <c r="M615" t="str">
        <f t="shared" si="36"/>
        <v>Female</v>
      </c>
      <c r="N615" t="str">
        <f t="shared" si="37"/>
        <v>Kolkata</v>
      </c>
      <c r="O615" t="str">
        <f t="shared" si="38"/>
        <v>Tamil</v>
      </c>
      <c r="P615" t="str">
        <f t="shared" si="39"/>
        <v>Standard</v>
      </c>
    </row>
    <row r="616" spans="1:16" x14ac:dyDescent="0.3">
      <c r="A616" s="2" t="s">
        <v>660</v>
      </c>
      <c r="B616" s="2" t="s">
        <v>31</v>
      </c>
      <c r="C616" s="3">
        <v>28</v>
      </c>
      <c r="D616" t="s">
        <v>18</v>
      </c>
      <c r="E616" s="2" t="s">
        <v>19</v>
      </c>
      <c r="F616" s="2" t="s">
        <v>88</v>
      </c>
      <c r="G616">
        <v>8</v>
      </c>
      <c r="H616" s="4">
        <v>45045</v>
      </c>
      <c r="I616" s="2" t="s">
        <v>49</v>
      </c>
      <c r="J616" s="2" t="s">
        <v>65</v>
      </c>
      <c r="M616" t="str">
        <f t="shared" si="36"/>
        <v>Female</v>
      </c>
      <c r="N616" t="str">
        <f t="shared" si="37"/>
        <v>Lucknow</v>
      </c>
      <c r="O616" t="str">
        <f t="shared" si="38"/>
        <v>Kannada</v>
      </c>
      <c r="P616" t="str">
        <f t="shared" si="39"/>
        <v>Family</v>
      </c>
    </row>
    <row r="617" spans="1:16" x14ac:dyDescent="0.3">
      <c r="A617" s="2" t="s">
        <v>661</v>
      </c>
      <c r="B617" s="2" t="s">
        <v>42</v>
      </c>
      <c r="C617" s="3">
        <v>28</v>
      </c>
      <c r="D617" t="s">
        <v>18</v>
      </c>
      <c r="E617" s="2" t="s">
        <v>13</v>
      </c>
      <c r="F617" s="2" t="s">
        <v>20</v>
      </c>
      <c r="G617">
        <v>50</v>
      </c>
      <c r="H617" s="4">
        <v>43768</v>
      </c>
      <c r="I617" s="2" t="s">
        <v>49</v>
      </c>
      <c r="J617" s="2" t="s">
        <v>27</v>
      </c>
      <c r="M617" t="str">
        <f t="shared" si="36"/>
        <v>Male</v>
      </c>
      <c r="N617" t="str">
        <f t="shared" si="37"/>
        <v>Chennai</v>
      </c>
      <c r="O617" t="str">
        <f t="shared" si="38"/>
        <v>Kannada</v>
      </c>
      <c r="P617" t="str">
        <f t="shared" si="39"/>
        <v>Standard</v>
      </c>
    </row>
    <row r="618" spans="1:16" x14ac:dyDescent="0.3">
      <c r="A618" s="2" t="s">
        <v>662</v>
      </c>
      <c r="B618" s="2" t="s">
        <v>24</v>
      </c>
      <c r="C618" s="3">
        <v>36</v>
      </c>
      <c r="D618" t="s">
        <v>12</v>
      </c>
      <c r="E618" s="2" t="s">
        <v>13</v>
      </c>
      <c r="F618" s="2" t="s">
        <v>54</v>
      </c>
      <c r="G618">
        <v>56</v>
      </c>
      <c r="H618" s="4">
        <v>43588</v>
      </c>
      <c r="I618" s="2" t="s">
        <v>49</v>
      </c>
      <c r="J618" s="2" t="s">
        <v>22</v>
      </c>
      <c r="M618" t="str">
        <f t="shared" si="36"/>
        <v>Male</v>
      </c>
      <c r="N618" t="str">
        <f t="shared" si="37"/>
        <v>Bangalore</v>
      </c>
      <c r="O618" t="str">
        <f t="shared" si="38"/>
        <v>Kannada</v>
      </c>
      <c r="P618" t="str">
        <f t="shared" si="39"/>
        <v>Premium</v>
      </c>
    </row>
    <row r="619" spans="1:16" x14ac:dyDescent="0.3">
      <c r="A619" s="2" t="s">
        <v>663</v>
      </c>
      <c r="B619" s="2" t="s">
        <v>42</v>
      </c>
      <c r="C619" s="3">
        <v>32</v>
      </c>
      <c r="D619" t="s">
        <v>18</v>
      </c>
      <c r="E619" s="2" t="s">
        <v>19</v>
      </c>
      <c r="F619" s="2" t="s">
        <v>64</v>
      </c>
      <c r="G619">
        <v>27</v>
      </c>
      <c r="H619" s="4">
        <v>44476</v>
      </c>
      <c r="I619" s="2" t="s">
        <v>47</v>
      </c>
      <c r="J619" s="2" t="s">
        <v>16</v>
      </c>
      <c r="M619" t="str">
        <f t="shared" si="36"/>
        <v>Female</v>
      </c>
      <c r="N619" t="str">
        <f t="shared" si="37"/>
        <v>Pune</v>
      </c>
      <c r="O619" t="str">
        <f t="shared" si="38"/>
        <v>Hindi</v>
      </c>
      <c r="P619" t="str">
        <f t="shared" si="39"/>
        <v>Basic</v>
      </c>
    </row>
    <row r="620" spans="1:16" x14ac:dyDescent="0.3">
      <c r="A620" s="2" t="s">
        <v>664</v>
      </c>
      <c r="B620" s="2" t="s">
        <v>61</v>
      </c>
      <c r="C620" s="3">
        <v>31</v>
      </c>
      <c r="D620" t="s">
        <v>18</v>
      </c>
      <c r="E620" s="2" t="s">
        <v>13</v>
      </c>
      <c r="F620" s="2" t="s">
        <v>56</v>
      </c>
      <c r="G620">
        <v>59</v>
      </c>
      <c r="H620" s="4">
        <v>43516</v>
      </c>
      <c r="I620" s="2" t="s">
        <v>29</v>
      </c>
      <c r="J620" s="2" t="s">
        <v>16</v>
      </c>
      <c r="M620" t="str">
        <f t="shared" si="36"/>
        <v>Male</v>
      </c>
      <c r="N620" t="str">
        <f t="shared" si="37"/>
        <v>Hyderabad</v>
      </c>
      <c r="O620" t="str">
        <f t="shared" si="38"/>
        <v>English</v>
      </c>
      <c r="P620" t="str">
        <f t="shared" si="39"/>
        <v>Basic</v>
      </c>
    </row>
    <row r="621" spans="1:16" x14ac:dyDescent="0.3">
      <c r="A621" s="2" t="s">
        <v>665</v>
      </c>
      <c r="B621" s="2" t="s">
        <v>11</v>
      </c>
      <c r="C621" s="3">
        <v>18</v>
      </c>
      <c r="D621" t="s">
        <v>32</v>
      </c>
      <c r="E621" s="2" t="s">
        <v>13</v>
      </c>
      <c r="F621" s="2" t="s">
        <v>25</v>
      </c>
      <c r="G621">
        <v>8</v>
      </c>
      <c r="H621" s="4">
        <v>45052</v>
      </c>
      <c r="I621" s="2" t="s">
        <v>62</v>
      </c>
      <c r="J621" s="2" t="s">
        <v>16</v>
      </c>
      <c r="M621" t="str">
        <f t="shared" si="36"/>
        <v>Male</v>
      </c>
      <c r="N621" t="str">
        <f t="shared" si="37"/>
        <v>Mumbai</v>
      </c>
      <c r="O621" t="str">
        <f t="shared" si="38"/>
        <v>Gujarati</v>
      </c>
      <c r="P621" t="str">
        <f t="shared" si="39"/>
        <v>Basic</v>
      </c>
    </row>
    <row r="622" spans="1:16" x14ac:dyDescent="0.3">
      <c r="A622" s="2" t="s">
        <v>666</v>
      </c>
      <c r="B622" s="2" t="s">
        <v>61</v>
      </c>
      <c r="C622" s="3">
        <v>31</v>
      </c>
      <c r="D622" t="s">
        <v>18</v>
      </c>
      <c r="E622" s="2" t="s">
        <v>19</v>
      </c>
      <c r="F622" s="2" t="s">
        <v>38</v>
      </c>
      <c r="G622">
        <v>34</v>
      </c>
      <c r="H622" s="4">
        <v>44255</v>
      </c>
      <c r="I622" s="2" t="s">
        <v>39</v>
      </c>
      <c r="J622" s="2" t="s">
        <v>65</v>
      </c>
      <c r="M622" t="str">
        <f t="shared" si="36"/>
        <v>Female</v>
      </c>
      <c r="N622" t="str">
        <f t="shared" si="37"/>
        <v>Delhi</v>
      </c>
      <c r="O622" t="str">
        <f t="shared" si="38"/>
        <v>Tamil</v>
      </c>
      <c r="P622" t="str">
        <f t="shared" si="39"/>
        <v>Family</v>
      </c>
    </row>
    <row r="623" spans="1:16" x14ac:dyDescent="0.3">
      <c r="A623" s="2" t="s">
        <v>667</v>
      </c>
      <c r="B623" s="2" t="s">
        <v>11</v>
      </c>
      <c r="C623" s="3">
        <v>20</v>
      </c>
      <c r="D623" t="s">
        <v>32</v>
      </c>
      <c r="E623" s="2" t="s">
        <v>13</v>
      </c>
      <c r="F623" s="2" t="s">
        <v>33</v>
      </c>
      <c r="G623">
        <v>23</v>
      </c>
      <c r="H623" s="4">
        <v>44577</v>
      </c>
      <c r="I623" s="2" t="s">
        <v>39</v>
      </c>
      <c r="J623" s="2" t="s">
        <v>22</v>
      </c>
      <c r="M623" t="str">
        <f t="shared" si="36"/>
        <v>Male</v>
      </c>
      <c r="N623" t="str">
        <f t="shared" si="37"/>
        <v>Jaipur</v>
      </c>
      <c r="O623" t="str">
        <f t="shared" si="38"/>
        <v>Tamil</v>
      </c>
      <c r="P623" t="str">
        <f t="shared" si="39"/>
        <v>Premium</v>
      </c>
    </row>
    <row r="624" spans="1:16" x14ac:dyDescent="0.3">
      <c r="A624" s="2" t="s">
        <v>668</v>
      </c>
      <c r="B624" s="2" t="s">
        <v>31</v>
      </c>
      <c r="C624" s="3">
        <v>39</v>
      </c>
      <c r="D624" t="s">
        <v>12</v>
      </c>
      <c r="E624" s="2" t="s">
        <v>19</v>
      </c>
      <c r="F624" s="2" t="s">
        <v>38</v>
      </c>
      <c r="G624">
        <v>54</v>
      </c>
      <c r="H624" s="4">
        <v>43647</v>
      </c>
      <c r="I624" s="2" t="s">
        <v>47</v>
      </c>
      <c r="J624" s="2" t="s">
        <v>22</v>
      </c>
      <c r="M624" t="str">
        <f t="shared" si="36"/>
        <v>Female</v>
      </c>
      <c r="N624" t="str">
        <f t="shared" si="37"/>
        <v>Delhi</v>
      </c>
      <c r="O624" t="str">
        <f t="shared" si="38"/>
        <v>Hindi</v>
      </c>
      <c r="P624" t="str">
        <f t="shared" si="39"/>
        <v>Premium</v>
      </c>
    </row>
    <row r="625" spans="1:16" x14ac:dyDescent="0.3">
      <c r="A625" s="2" t="s">
        <v>669</v>
      </c>
      <c r="B625" s="2" t="s">
        <v>11</v>
      </c>
      <c r="C625" s="3">
        <v>28</v>
      </c>
      <c r="D625" t="s">
        <v>18</v>
      </c>
      <c r="E625" s="2" t="s">
        <v>13</v>
      </c>
      <c r="F625" s="2" t="s">
        <v>56</v>
      </c>
      <c r="G625">
        <v>9</v>
      </c>
      <c r="H625" s="4">
        <v>45001</v>
      </c>
      <c r="I625" s="2" t="s">
        <v>39</v>
      </c>
      <c r="J625" s="2" t="s">
        <v>22</v>
      </c>
      <c r="M625" t="str">
        <f t="shared" si="36"/>
        <v>Male</v>
      </c>
      <c r="N625" t="str">
        <f t="shared" si="37"/>
        <v>Hyderabad</v>
      </c>
      <c r="O625" t="str">
        <f t="shared" si="38"/>
        <v>Tamil</v>
      </c>
      <c r="P625" t="str">
        <f t="shared" si="39"/>
        <v>Premium</v>
      </c>
    </row>
    <row r="626" spans="1:16" x14ac:dyDescent="0.3">
      <c r="A626" s="2" t="s">
        <v>670</v>
      </c>
      <c r="B626" s="2" t="s">
        <v>24</v>
      </c>
      <c r="C626" s="3">
        <v>37</v>
      </c>
      <c r="D626" t="s">
        <v>12</v>
      </c>
      <c r="E626" s="2" t="s">
        <v>19</v>
      </c>
      <c r="F626" s="2" t="s">
        <v>33</v>
      </c>
      <c r="G626">
        <v>37</v>
      </c>
      <c r="H626" s="4">
        <v>44169</v>
      </c>
      <c r="I626" s="2" t="s">
        <v>26</v>
      </c>
      <c r="J626" s="2" t="s">
        <v>27</v>
      </c>
      <c r="M626" t="str">
        <f t="shared" si="36"/>
        <v>Female</v>
      </c>
      <c r="N626" t="str">
        <f t="shared" si="37"/>
        <v>Jaipur</v>
      </c>
      <c r="O626" t="str">
        <f t="shared" si="38"/>
        <v>Malayalam</v>
      </c>
      <c r="P626" t="str">
        <f t="shared" si="39"/>
        <v>Standard</v>
      </c>
    </row>
    <row r="627" spans="1:16" x14ac:dyDescent="0.3">
      <c r="A627" s="2" t="s">
        <v>671</v>
      </c>
      <c r="B627" s="2" t="s">
        <v>31</v>
      </c>
      <c r="C627" s="3">
        <v>45</v>
      </c>
      <c r="D627" t="s">
        <v>46</v>
      </c>
      <c r="E627" s="2" t="s">
        <v>19</v>
      </c>
      <c r="F627" s="2" t="s">
        <v>54</v>
      </c>
      <c r="G627">
        <v>8</v>
      </c>
      <c r="H627" s="4">
        <v>45037</v>
      </c>
      <c r="I627" s="2" t="s">
        <v>47</v>
      </c>
      <c r="J627" s="2" t="s">
        <v>65</v>
      </c>
      <c r="M627" t="str">
        <f t="shared" si="36"/>
        <v>Female</v>
      </c>
      <c r="N627" t="str">
        <f t="shared" si="37"/>
        <v>Bangalore</v>
      </c>
      <c r="O627" t="str">
        <f t="shared" si="38"/>
        <v>Hindi</v>
      </c>
      <c r="P627" t="str">
        <f t="shared" si="39"/>
        <v>Family</v>
      </c>
    </row>
    <row r="628" spans="1:16" x14ac:dyDescent="0.3">
      <c r="A628" s="2" t="s">
        <v>672</v>
      </c>
      <c r="B628" s="2" t="s">
        <v>31</v>
      </c>
      <c r="C628" s="3">
        <v>18</v>
      </c>
      <c r="D628" t="s">
        <v>32</v>
      </c>
      <c r="E628" s="2" t="s">
        <v>13</v>
      </c>
      <c r="F628" s="2" t="s">
        <v>54</v>
      </c>
      <c r="G628">
        <v>26</v>
      </c>
      <c r="H628" s="4">
        <v>44489</v>
      </c>
      <c r="I628" s="2" t="s">
        <v>47</v>
      </c>
      <c r="J628" s="2" t="s">
        <v>22</v>
      </c>
      <c r="M628" t="str">
        <f t="shared" si="36"/>
        <v>Male</v>
      </c>
      <c r="N628" t="str">
        <f t="shared" si="37"/>
        <v>Bangalore</v>
      </c>
      <c r="O628" t="str">
        <f t="shared" si="38"/>
        <v>Hindi</v>
      </c>
      <c r="P628" t="str">
        <f t="shared" si="39"/>
        <v>Premium</v>
      </c>
    </row>
    <row r="629" spans="1:16" x14ac:dyDescent="0.3">
      <c r="A629" s="2" t="s">
        <v>673</v>
      </c>
      <c r="B629" s="2" t="s">
        <v>31</v>
      </c>
      <c r="C629" s="3">
        <v>35</v>
      </c>
      <c r="D629" t="s">
        <v>12</v>
      </c>
      <c r="E629" s="2" t="s">
        <v>13</v>
      </c>
      <c r="F629" s="2" t="s">
        <v>88</v>
      </c>
      <c r="G629">
        <v>57</v>
      </c>
      <c r="H629" s="4">
        <v>43560</v>
      </c>
      <c r="I629" s="2" t="s">
        <v>49</v>
      </c>
      <c r="J629" s="2" t="s">
        <v>16</v>
      </c>
      <c r="M629" t="str">
        <f t="shared" si="36"/>
        <v>Male</v>
      </c>
      <c r="N629" t="str">
        <f t="shared" si="37"/>
        <v>Lucknow</v>
      </c>
      <c r="O629" t="str">
        <f t="shared" si="38"/>
        <v>Kannada</v>
      </c>
      <c r="P629" t="str">
        <f t="shared" si="39"/>
        <v>Basic</v>
      </c>
    </row>
    <row r="630" spans="1:16" x14ac:dyDescent="0.3">
      <c r="A630" s="2" t="s">
        <v>674</v>
      </c>
      <c r="B630" s="2" t="s">
        <v>31</v>
      </c>
      <c r="C630" s="3">
        <v>18</v>
      </c>
      <c r="D630" t="s">
        <v>32</v>
      </c>
      <c r="E630" s="2" t="s">
        <v>13</v>
      </c>
      <c r="F630" s="2" t="s">
        <v>25</v>
      </c>
      <c r="G630">
        <v>44</v>
      </c>
      <c r="H630" s="4">
        <v>43947</v>
      </c>
      <c r="I630" s="2" t="s">
        <v>47</v>
      </c>
      <c r="J630" s="2" t="s">
        <v>27</v>
      </c>
      <c r="M630" t="str">
        <f t="shared" si="36"/>
        <v>Male</v>
      </c>
      <c r="N630" t="str">
        <f t="shared" si="37"/>
        <v>Mumbai</v>
      </c>
      <c r="O630" t="str">
        <f t="shared" si="38"/>
        <v>Hindi</v>
      </c>
      <c r="P630" t="str">
        <f t="shared" si="39"/>
        <v>Standard</v>
      </c>
    </row>
    <row r="631" spans="1:16" x14ac:dyDescent="0.3">
      <c r="A631" s="2" t="s">
        <v>675</v>
      </c>
      <c r="B631" s="2" t="s">
        <v>24</v>
      </c>
      <c r="C631" s="3">
        <v>24</v>
      </c>
      <c r="D631" t="s">
        <v>32</v>
      </c>
      <c r="E631" s="2" t="s">
        <v>19</v>
      </c>
      <c r="F631" s="2" t="s">
        <v>64</v>
      </c>
      <c r="G631">
        <v>11</v>
      </c>
      <c r="H631" s="4">
        <v>44941</v>
      </c>
      <c r="I631" s="2" t="s">
        <v>21</v>
      </c>
      <c r="J631" s="2" t="s">
        <v>65</v>
      </c>
      <c r="M631" t="str">
        <f t="shared" si="36"/>
        <v>Female</v>
      </c>
      <c r="N631" t="str">
        <f t="shared" si="37"/>
        <v>Pune</v>
      </c>
      <c r="O631" t="str">
        <f t="shared" si="38"/>
        <v>Bengali</v>
      </c>
      <c r="P631" t="str">
        <f t="shared" si="39"/>
        <v>Family</v>
      </c>
    </row>
    <row r="632" spans="1:16" x14ac:dyDescent="0.3">
      <c r="A632" s="2" t="s">
        <v>676</v>
      </c>
      <c r="B632" s="2" t="s">
        <v>11</v>
      </c>
      <c r="C632" s="3">
        <v>31</v>
      </c>
      <c r="D632" t="s">
        <v>18</v>
      </c>
      <c r="E632" s="2" t="s">
        <v>13</v>
      </c>
      <c r="F632" s="2" t="s">
        <v>36</v>
      </c>
      <c r="G632">
        <v>33</v>
      </c>
      <c r="H632" s="4">
        <v>44285</v>
      </c>
      <c r="I632" s="2" t="s">
        <v>34</v>
      </c>
      <c r="J632" s="2" t="s">
        <v>22</v>
      </c>
      <c r="M632" t="str">
        <f t="shared" si="36"/>
        <v>Male</v>
      </c>
      <c r="N632" t="str">
        <f t="shared" si="37"/>
        <v>Ahmedabad</v>
      </c>
      <c r="O632" t="str">
        <f t="shared" si="38"/>
        <v>Marathi</v>
      </c>
      <c r="P632" t="str">
        <f t="shared" si="39"/>
        <v>Premium</v>
      </c>
    </row>
    <row r="633" spans="1:16" x14ac:dyDescent="0.3">
      <c r="A633" s="2" t="s">
        <v>677</v>
      </c>
      <c r="B633" s="2" t="s">
        <v>42</v>
      </c>
      <c r="C633" s="3">
        <v>40</v>
      </c>
      <c r="D633" t="s">
        <v>12</v>
      </c>
      <c r="E633" s="2" t="s">
        <v>13</v>
      </c>
      <c r="F633" s="2" t="s">
        <v>14</v>
      </c>
      <c r="G633">
        <v>12</v>
      </c>
      <c r="H633" s="4">
        <v>44929</v>
      </c>
      <c r="I633" s="2" t="s">
        <v>62</v>
      </c>
      <c r="J633" s="2" t="s">
        <v>16</v>
      </c>
      <c r="M633" t="str">
        <f t="shared" si="36"/>
        <v>Male</v>
      </c>
      <c r="N633" t="str">
        <f t="shared" si="37"/>
        <v>Kolkata</v>
      </c>
      <c r="O633" t="str">
        <f t="shared" si="38"/>
        <v>Gujarati</v>
      </c>
      <c r="P633" t="str">
        <f t="shared" si="39"/>
        <v>Basic</v>
      </c>
    </row>
    <row r="634" spans="1:16" x14ac:dyDescent="0.3">
      <c r="A634" s="2" t="s">
        <v>678</v>
      </c>
      <c r="B634" s="2" t="s">
        <v>31</v>
      </c>
      <c r="C634" s="3">
        <v>32</v>
      </c>
      <c r="D634" t="s">
        <v>18</v>
      </c>
      <c r="E634" s="2" t="s">
        <v>105</v>
      </c>
      <c r="F634" s="2" t="s">
        <v>36</v>
      </c>
      <c r="G634">
        <v>4</v>
      </c>
      <c r="H634" s="4">
        <v>45169</v>
      </c>
      <c r="I634" s="2" t="s">
        <v>47</v>
      </c>
      <c r="J634" s="2" t="s">
        <v>27</v>
      </c>
      <c r="M634" t="str">
        <f t="shared" si="36"/>
        <v>Non-Binary</v>
      </c>
      <c r="N634" t="str">
        <f t="shared" si="37"/>
        <v>Ahmedabad</v>
      </c>
      <c r="O634" t="str">
        <f t="shared" si="38"/>
        <v>Hindi</v>
      </c>
      <c r="P634" t="str">
        <f t="shared" si="39"/>
        <v>Standard</v>
      </c>
    </row>
    <row r="635" spans="1:16" x14ac:dyDescent="0.3">
      <c r="A635" s="2" t="s">
        <v>679</v>
      </c>
      <c r="B635" s="2" t="s">
        <v>31</v>
      </c>
      <c r="C635" s="3">
        <v>33</v>
      </c>
      <c r="D635" t="s">
        <v>18</v>
      </c>
      <c r="E635" s="2" t="s">
        <v>19</v>
      </c>
      <c r="F635" s="2" t="s">
        <v>56</v>
      </c>
      <c r="G635">
        <v>28</v>
      </c>
      <c r="H635" s="4">
        <v>44428</v>
      </c>
      <c r="I635" s="2" t="s">
        <v>62</v>
      </c>
      <c r="J635" s="2" t="s">
        <v>16</v>
      </c>
      <c r="M635" t="str">
        <f t="shared" si="36"/>
        <v>Female</v>
      </c>
      <c r="N635" t="str">
        <f t="shared" si="37"/>
        <v>Hyderabad</v>
      </c>
      <c r="O635" t="str">
        <f t="shared" si="38"/>
        <v>Gujarati</v>
      </c>
      <c r="P635" t="str">
        <f t="shared" si="39"/>
        <v>Basic</v>
      </c>
    </row>
    <row r="636" spans="1:16" x14ac:dyDescent="0.3">
      <c r="A636" s="2" t="s">
        <v>680</v>
      </c>
      <c r="B636" s="2" t="s">
        <v>61</v>
      </c>
      <c r="C636" s="3">
        <v>22</v>
      </c>
      <c r="D636" t="s">
        <v>32</v>
      </c>
      <c r="E636" s="2" t="s">
        <v>13</v>
      </c>
      <c r="F636" s="2" t="s">
        <v>20</v>
      </c>
      <c r="G636">
        <v>15</v>
      </c>
      <c r="H636" s="4">
        <v>44821</v>
      </c>
      <c r="I636" s="2" t="s">
        <v>39</v>
      </c>
      <c r="J636" s="2" t="s">
        <v>22</v>
      </c>
      <c r="M636" t="str">
        <f t="shared" si="36"/>
        <v>Male</v>
      </c>
      <c r="N636" t="str">
        <f t="shared" si="37"/>
        <v>Chennai</v>
      </c>
      <c r="O636" t="str">
        <f t="shared" si="38"/>
        <v>Tamil</v>
      </c>
      <c r="P636" t="str">
        <f t="shared" si="39"/>
        <v>Premium</v>
      </c>
    </row>
    <row r="637" spans="1:16" x14ac:dyDescent="0.3">
      <c r="A637" s="2" t="s">
        <v>681</v>
      </c>
      <c r="B637" s="2" t="s">
        <v>11</v>
      </c>
      <c r="C637" s="3">
        <v>18</v>
      </c>
      <c r="D637" t="s">
        <v>32</v>
      </c>
      <c r="E637" s="2" t="s">
        <v>19</v>
      </c>
      <c r="F637" s="2" t="s">
        <v>25</v>
      </c>
      <c r="G637">
        <v>49</v>
      </c>
      <c r="H637" s="4">
        <v>43803</v>
      </c>
      <c r="I637" s="2" t="s">
        <v>49</v>
      </c>
      <c r="J637" s="2" t="s">
        <v>16</v>
      </c>
      <c r="M637" t="str">
        <f t="shared" si="36"/>
        <v>Female</v>
      </c>
      <c r="N637" t="str">
        <f t="shared" si="37"/>
        <v>Mumbai</v>
      </c>
      <c r="O637" t="str">
        <f t="shared" si="38"/>
        <v>Kannada</v>
      </c>
      <c r="P637" t="str">
        <f t="shared" si="39"/>
        <v>Basic</v>
      </c>
    </row>
    <row r="638" spans="1:16" x14ac:dyDescent="0.3">
      <c r="A638" s="2" t="s">
        <v>682</v>
      </c>
      <c r="B638" s="2" t="s">
        <v>11</v>
      </c>
      <c r="C638" s="3">
        <v>42</v>
      </c>
      <c r="D638" t="s">
        <v>12</v>
      </c>
      <c r="E638" s="2" t="s">
        <v>19</v>
      </c>
      <c r="F638" s="2" t="s">
        <v>38</v>
      </c>
      <c r="G638">
        <v>35</v>
      </c>
      <c r="H638" s="4">
        <v>44241</v>
      </c>
      <c r="I638" s="2" t="s">
        <v>29</v>
      </c>
      <c r="J638" s="2" t="s">
        <v>27</v>
      </c>
      <c r="M638" t="str">
        <f t="shared" si="36"/>
        <v>Female</v>
      </c>
      <c r="N638" t="str">
        <f t="shared" si="37"/>
        <v>Delhi</v>
      </c>
      <c r="O638" t="str">
        <f t="shared" si="38"/>
        <v>English</v>
      </c>
      <c r="P638" t="str">
        <f t="shared" si="39"/>
        <v>Standard</v>
      </c>
    </row>
    <row r="639" spans="1:16" x14ac:dyDescent="0.3">
      <c r="A639" s="2" t="s">
        <v>683</v>
      </c>
      <c r="B639" s="2" t="s">
        <v>24</v>
      </c>
      <c r="C639" s="3">
        <v>18</v>
      </c>
      <c r="D639" t="s">
        <v>32</v>
      </c>
      <c r="E639" s="2" t="s">
        <v>13</v>
      </c>
      <c r="F639" s="2" t="s">
        <v>36</v>
      </c>
      <c r="G639">
        <v>45</v>
      </c>
      <c r="H639" s="4">
        <v>43931</v>
      </c>
      <c r="I639" s="2" t="s">
        <v>39</v>
      </c>
      <c r="J639" s="2" t="s">
        <v>65</v>
      </c>
      <c r="M639" t="str">
        <f t="shared" si="36"/>
        <v>Male</v>
      </c>
      <c r="N639" t="str">
        <f t="shared" si="37"/>
        <v>Ahmedabad</v>
      </c>
      <c r="O639" t="str">
        <f t="shared" si="38"/>
        <v>Tamil</v>
      </c>
      <c r="P639" t="str">
        <f t="shared" si="39"/>
        <v>Family</v>
      </c>
    </row>
    <row r="640" spans="1:16" x14ac:dyDescent="0.3">
      <c r="A640" s="2" t="s">
        <v>684</v>
      </c>
      <c r="B640" s="2" t="s">
        <v>42</v>
      </c>
      <c r="C640" s="3">
        <v>54</v>
      </c>
      <c r="D640" t="s">
        <v>46</v>
      </c>
      <c r="E640" s="2" t="s">
        <v>19</v>
      </c>
      <c r="F640" s="2" t="s">
        <v>56</v>
      </c>
      <c r="G640">
        <v>6</v>
      </c>
      <c r="H640" s="4">
        <v>45092</v>
      </c>
      <c r="I640" s="2" t="s">
        <v>49</v>
      </c>
      <c r="J640" s="2" t="s">
        <v>27</v>
      </c>
      <c r="M640" t="str">
        <f t="shared" si="36"/>
        <v>Female</v>
      </c>
      <c r="N640" t="str">
        <f t="shared" si="37"/>
        <v>Hyderabad</v>
      </c>
      <c r="O640" t="str">
        <f t="shared" si="38"/>
        <v>Kannada</v>
      </c>
      <c r="P640" t="str">
        <f t="shared" si="39"/>
        <v>Standard</v>
      </c>
    </row>
    <row r="641" spans="1:16" x14ac:dyDescent="0.3">
      <c r="A641" s="2" t="s">
        <v>685</v>
      </c>
      <c r="B641" s="2" t="s">
        <v>31</v>
      </c>
      <c r="C641" s="3">
        <v>23</v>
      </c>
      <c r="D641" t="s">
        <v>32</v>
      </c>
      <c r="E641" s="2" t="s">
        <v>13</v>
      </c>
      <c r="F641" s="2" t="s">
        <v>88</v>
      </c>
      <c r="G641">
        <v>28</v>
      </c>
      <c r="H641" s="4">
        <v>44445</v>
      </c>
      <c r="I641" s="2" t="s">
        <v>29</v>
      </c>
      <c r="J641" s="2" t="s">
        <v>16</v>
      </c>
      <c r="M641" t="str">
        <f t="shared" si="36"/>
        <v>Male</v>
      </c>
      <c r="N641" t="str">
        <f t="shared" si="37"/>
        <v>Lucknow</v>
      </c>
      <c r="O641" t="str">
        <f t="shared" si="38"/>
        <v>English</v>
      </c>
      <c r="P641" t="str">
        <f t="shared" si="39"/>
        <v>Basic</v>
      </c>
    </row>
    <row r="642" spans="1:16" x14ac:dyDescent="0.3">
      <c r="A642" s="2" t="s">
        <v>686</v>
      </c>
      <c r="B642" s="2" t="s">
        <v>61</v>
      </c>
      <c r="C642" s="3">
        <v>27</v>
      </c>
      <c r="D642" t="s">
        <v>18</v>
      </c>
      <c r="E642" s="2" t="s">
        <v>13</v>
      </c>
      <c r="F642" s="2" t="s">
        <v>64</v>
      </c>
      <c r="G642">
        <v>14</v>
      </c>
      <c r="H642" s="4">
        <v>44854</v>
      </c>
      <c r="I642" s="2" t="s">
        <v>49</v>
      </c>
      <c r="J642" s="2" t="s">
        <v>27</v>
      </c>
      <c r="M642" t="str">
        <f t="shared" si="36"/>
        <v>Male</v>
      </c>
      <c r="N642" t="str">
        <f t="shared" si="37"/>
        <v>Pune</v>
      </c>
      <c r="O642" t="str">
        <f t="shared" si="38"/>
        <v>Kannada</v>
      </c>
      <c r="P642" t="str">
        <f t="shared" si="39"/>
        <v>Standard</v>
      </c>
    </row>
    <row r="643" spans="1:16" x14ac:dyDescent="0.3">
      <c r="A643" s="2" t="s">
        <v>687</v>
      </c>
      <c r="B643" s="2" t="s">
        <v>31</v>
      </c>
      <c r="C643" s="3">
        <v>29</v>
      </c>
      <c r="D643" t="s">
        <v>18</v>
      </c>
      <c r="E643" s="2" t="s">
        <v>13</v>
      </c>
      <c r="F643" s="2" t="s">
        <v>88</v>
      </c>
      <c r="G643">
        <v>3</v>
      </c>
      <c r="H643" s="4">
        <v>45198</v>
      </c>
      <c r="I643" s="2" t="s">
        <v>49</v>
      </c>
      <c r="J643" s="2" t="s">
        <v>16</v>
      </c>
      <c r="M643" t="str">
        <f t="shared" ref="M643:M706" si="40">TRIM(E643)</f>
        <v>Male</v>
      </c>
      <c r="N643" t="str">
        <f t="shared" ref="N643:N706" si="41">TRIM(F643)</f>
        <v>Lucknow</v>
      </c>
      <c r="O643" t="str">
        <f t="shared" ref="O643:O706" si="42">TRIM(I643)</f>
        <v>Kannada</v>
      </c>
      <c r="P643" t="str">
        <f t="shared" ref="P643:P706" si="43">TRIM(J643)</f>
        <v>Basic</v>
      </c>
    </row>
    <row r="644" spans="1:16" x14ac:dyDescent="0.3">
      <c r="A644" s="2" t="s">
        <v>688</v>
      </c>
      <c r="B644" s="2" t="s">
        <v>11</v>
      </c>
      <c r="C644" s="3">
        <v>28</v>
      </c>
      <c r="D644" t="s">
        <v>18</v>
      </c>
      <c r="E644" s="2" t="s">
        <v>13</v>
      </c>
      <c r="F644" s="2" t="s">
        <v>38</v>
      </c>
      <c r="G644">
        <v>19</v>
      </c>
      <c r="H644" s="4">
        <v>44702</v>
      </c>
      <c r="I644" s="2" t="s">
        <v>49</v>
      </c>
      <c r="J644" s="2" t="s">
        <v>16</v>
      </c>
      <c r="M644" t="str">
        <f t="shared" si="40"/>
        <v>Male</v>
      </c>
      <c r="N644" t="str">
        <f t="shared" si="41"/>
        <v>Delhi</v>
      </c>
      <c r="O644" t="str">
        <f t="shared" si="42"/>
        <v>Kannada</v>
      </c>
      <c r="P644" t="str">
        <f t="shared" si="43"/>
        <v>Basic</v>
      </c>
    </row>
    <row r="645" spans="1:16" x14ac:dyDescent="0.3">
      <c r="A645" s="2" t="s">
        <v>689</v>
      </c>
      <c r="B645" s="2" t="s">
        <v>24</v>
      </c>
      <c r="C645" s="3">
        <v>40</v>
      </c>
      <c r="D645" t="s">
        <v>12</v>
      </c>
      <c r="E645" s="2" t="s">
        <v>19</v>
      </c>
      <c r="F645" s="2" t="s">
        <v>54</v>
      </c>
      <c r="G645">
        <v>14</v>
      </c>
      <c r="H645" s="4">
        <v>44856</v>
      </c>
      <c r="I645" s="2" t="s">
        <v>34</v>
      </c>
      <c r="J645" s="2" t="s">
        <v>65</v>
      </c>
      <c r="M645" t="str">
        <f t="shared" si="40"/>
        <v>Female</v>
      </c>
      <c r="N645" t="str">
        <f t="shared" si="41"/>
        <v>Bangalore</v>
      </c>
      <c r="O645" t="str">
        <f t="shared" si="42"/>
        <v>Marathi</v>
      </c>
      <c r="P645" t="str">
        <f t="shared" si="43"/>
        <v>Family</v>
      </c>
    </row>
    <row r="646" spans="1:16" x14ac:dyDescent="0.3">
      <c r="A646" s="2" t="s">
        <v>690</v>
      </c>
      <c r="B646" s="2" t="s">
        <v>11</v>
      </c>
      <c r="C646" s="3">
        <v>43</v>
      </c>
      <c r="D646" t="s">
        <v>12</v>
      </c>
      <c r="E646" s="2" t="s">
        <v>13</v>
      </c>
      <c r="F646" s="2" t="s">
        <v>88</v>
      </c>
      <c r="G646">
        <v>43</v>
      </c>
      <c r="H646" s="4">
        <v>44000</v>
      </c>
      <c r="I646" s="2" t="s">
        <v>39</v>
      </c>
      <c r="J646" s="2" t="s">
        <v>27</v>
      </c>
      <c r="M646" t="str">
        <f t="shared" si="40"/>
        <v>Male</v>
      </c>
      <c r="N646" t="str">
        <f t="shared" si="41"/>
        <v>Lucknow</v>
      </c>
      <c r="O646" t="str">
        <f t="shared" si="42"/>
        <v>Tamil</v>
      </c>
      <c r="P646" t="str">
        <f t="shared" si="43"/>
        <v>Standard</v>
      </c>
    </row>
    <row r="647" spans="1:16" x14ac:dyDescent="0.3">
      <c r="A647" s="2" t="s">
        <v>691</v>
      </c>
      <c r="B647" s="2" t="s">
        <v>24</v>
      </c>
      <c r="C647" s="3">
        <v>33</v>
      </c>
      <c r="D647" t="s">
        <v>18</v>
      </c>
      <c r="E647" s="2" t="s">
        <v>19</v>
      </c>
      <c r="F647" s="2" t="s">
        <v>64</v>
      </c>
      <c r="G647">
        <v>18</v>
      </c>
      <c r="H647" s="4">
        <v>44724</v>
      </c>
      <c r="I647" s="2" t="s">
        <v>62</v>
      </c>
      <c r="J647" s="2" t="s">
        <v>22</v>
      </c>
      <c r="M647" t="str">
        <f t="shared" si="40"/>
        <v>Female</v>
      </c>
      <c r="N647" t="str">
        <f t="shared" si="41"/>
        <v>Pune</v>
      </c>
      <c r="O647" t="str">
        <f t="shared" si="42"/>
        <v>Gujarati</v>
      </c>
      <c r="P647" t="str">
        <f t="shared" si="43"/>
        <v>Premium</v>
      </c>
    </row>
    <row r="648" spans="1:16" x14ac:dyDescent="0.3">
      <c r="A648" s="2" t="s">
        <v>692</v>
      </c>
      <c r="B648" s="2" t="s">
        <v>24</v>
      </c>
      <c r="C648" s="3">
        <v>26</v>
      </c>
      <c r="D648" t="s">
        <v>18</v>
      </c>
      <c r="E648" s="2" t="s">
        <v>19</v>
      </c>
      <c r="F648" s="2" t="s">
        <v>54</v>
      </c>
      <c r="G648">
        <v>42</v>
      </c>
      <c r="H648" s="4">
        <v>44032</v>
      </c>
      <c r="I648" s="2" t="s">
        <v>49</v>
      </c>
      <c r="J648" s="2" t="s">
        <v>16</v>
      </c>
      <c r="M648" t="str">
        <f t="shared" si="40"/>
        <v>Female</v>
      </c>
      <c r="N648" t="str">
        <f t="shared" si="41"/>
        <v>Bangalore</v>
      </c>
      <c r="O648" t="str">
        <f t="shared" si="42"/>
        <v>Kannada</v>
      </c>
      <c r="P648" t="str">
        <f t="shared" si="43"/>
        <v>Basic</v>
      </c>
    </row>
    <row r="649" spans="1:16" x14ac:dyDescent="0.3">
      <c r="A649" s="2" t="s">
        <v>693</v>
      </c>
      <c r="B649" s="2" t="s">
        <v>42</v>
      </c>
      <c r="C649" s="3">
        <v>53</v>
      </c>
      <c r="D649" t="s">
        <v>46</v>
      </c>
      <c r="E649" s="2" t="s">
        <v>19</v>
      </c>
      <c r="F649" s="2" t="s">
        <v>36</v>
      </c>
      <c r="G649">
        <v>29</v>
      </c>
      <c r="H649" s="4">
        <v>44415</v>
      </c>
      <c r="I649" s="2" t="s">
        <v>49</v>
      </c>
      <c r="J649" s="2" t="s">
        <v>27</v>
      </c>
      <c r="M649" t="str">
        <f t="shared" si="40"/>
        <v>Female</v>
      </c>
      <c r="N649" t="str">
        <f t="shared" si="41"/>
        <v>Ahmedabad</v>
      </c>
      <c r="O649" t="str">
        <f t="shared" si="42"/>
        <v>Kannada</v>
      </c>
      <c r="P649" t="str">
        <f t="shared" si="43"/>
        <v>Standard</v>
      </c>
    </row>
    <row r="650" spans="1:16" x14ac:dyDescent="0.3">
      <c r="A650" s="2" t="s">
        <v>694</v>
      </c>
      <c r="B650" s="2" t="s">
        <v>11</v>
      </c>
      <c r="C650" s="3">
        <v>42</v>
      </c>
      <c r="D650" t="s">
        <v>12</v>
      </c>
      <c r="E650" s="2" t="s">
        <v>13</v>
      </c>
      <c r="F650" s="2" t="s">
        <v>64</v>
      </c>
      <c r="G650">
        <v>44</v>
      </c>
      <c r="H650" s="4">
        <v>43964</v>
      </c>
      <c r="I650" s="2" t="s">
        <v>21</v>
      </c>
      <c r="J650" s="2" t="s">
        <v>22</v>
      </c>
      <c r="M650" t="str">
        <f t="shared" si="40"/>
        <v>Male</v>
      </c>
      <c r="N650" t="str">
        <f t="shared" si="41"/>
        <v>Pune</v>
      </c>
      <c r="O650" t="str">
        <f t="shared" si="42"/>
        <v>Bengali</v>
      </c>
      <c r="P650" t="str">
        <f t="shared" si="43"/>
        <v>Premium</v>
      </c>
    </row>
    <row r="651" spans="1:16" x14ac:dyDescent="0.3">
      <c r="A651" s="2" t="s">
        <v>695</v>
      </c>
      <c r="B651" s="2" t="s">
        <v>24</v>
      </c>
      <c r="C651" s="3">
        <v>38</v>
      </c>
      <c r="D651" t="s">
        <v>12</v>
      </c>
      <c r="E651" s="2" t="s">
        <v>19</v>
      </c>
      <c r="F651" s="2" t="s">
        <v>33</v>
      </c>
      <c r="G651">
        <v>7</v>
      </c>
      <c r="H651" s="4">
        <v>45058</v>
      </c>
      <c r="I651" s="2" t="s">
        <v>26</v>
      </c>
      <c r="J651" s="2" t="s">
        <v>27</v>
      </c>
      <c r="M651" t="str">
        <f t="shared" si="40"/>
        <v>Female</v>
      </c>
      <c r="N651" t="str">
        <f t="shared" si="41"/>
        <v>Jaipur</v>
      </c>
      <c r="O651" t="str">
        <f t="shared" si="42"/>
        <v>Malayalam</v>
      </c>
      <c r="P651" t="str">
        <f t="shared" si="43"/>
        <v>Standard</v>
      </c>
    </row>
    <row r="652" spans="1:16" x14ac:dyDescent="0.3">
      <c r="A652" s="2" t="s">
        <v>696</v>
      </c>
      <c r="B652" s="2" t="s">
        <v>31</v>
      </c>
      <c r="C652" s="3">
        <v>22</v>
      </c>
      <c r="D652" t="s">
        <v>32</v>
      </c>
      <c r="E652" s="2" t="s">
        <v>19</v>
      </c>
      <c r="F652" s="2" t="s">
        <v>36</v>
      </c>
      <c r="G652">
        <v>29</v>
      </c>
      <c r="H652" s="4">
        <v>44417</v>
      </c>
      <c r="I652" s="2" t="s">
        <v>49</v>
      </c>
      <c r="J652" s="2" t="s">
        <v>16</v>
      </c>
      <c r="M652" t="str">
        <f t="shared" si="40"/>
        <v>Female</v>
      </c>
      <c r="N652" t="str">
        <f t="shared" si="41"/>
        <v>Ahmedabad</v>
      </c>
      <c r="O652" t="str">
        <f t="shared" si="42"/>
        <v>Kannada</v>
      </c>
      <c r="P652" t="str">
        <f t="shared" si="43"/>
        <v>Basic</v>
      </c>
    </row>
    <row r="653" spans="1:16" x14ac:dyDescent="0.3">
      <c r="A653" s="2" t="s">
        <v>697</v>
      </c>
      <c r="B653" s="2" t="s">
        <v>31</v>
      </c>
      <c r="C653" s="3">
        <v>34</v>
      </c>
      <c r="D653" t="s">
        <v>18</v>
      </c>
      <c r="E653" s="2" t="s">
        <v>13</v>
      </c>
      <c r="F653" s="2" t="s">
        <v>56</v>
      </c>
      <c r="G653">
        <v>58</v>
      </c>
      <c r="H653" s="4">
        <v>43541</v>
      </c>
      <c r="I653" s="2" t="s">
        <v>62</v>
      </c>
      <c r="J653" s="2" t="s">
        <v>22</v>
      </c>
      <c r="M653" t="str">
        <f t="shared" si="40"/>
        <v>Male</v>
      </c>
      <c r="N653" t="str">
        <f t="shared" si="41"/>
        <v>Hyderabad</v>
      </c>
      <c r="O653" t="str">
        <f t="shared" si="42"/>
        <v>Gujarati</v>
      </c>
      <c r="P653" t="str">
        <f t="shared" si="43"/>
        <v>Premium</v>
      </c>
    </row>
    <row r="654" spans="1:16" x14ac:dyDescent="0.3">
      <c r="A654" s="2" t="s">
        <v>698</v>
      </c>
      <c r="B654" s="2" t="s">
        <v>42</v>
      </c>
      <c r="C654" s="3">
        <v>27</v>
      </c>
      <c r="D654" t="s">
        <v>18</v>
      </c>
      <c r="E654" s="2" t="s">
        <v>19</v>
      </c>
      <c r="F654" s="2" t="s">
        <v>54</v>
      </c>
      <c r="G654">
        <v>44</v>
      </c>
      <c r="H654" s="4">
        <v>43959</v>
      </c>
      <c r="I654" s="2" t="s">
        <v>49</v>
      </c>
      <c r="J654" s="2" t="s">
        <v>65</v>
      </c>
      <c r="M654" t="str">
        <f t="shared" si="40"/>
        <v>Female</v>
      </c>
      <c r="N654" t="str">
        <f t="shared" si="41"/>
        <v>Bangalore</v>
      </c>
      <c r="O654" t="str">
        <f t="shared" si="42"/>
        <v>Kannada</v>
      </c>
      <c r="P654" t="str">
        <f t="shared" si="43"/>
        <v>Family</v>
      </c>
    </row>
    <row r="655" spans="1:16" x14ac:dyDescent="0.3">
      <c r="A655" s="2" t="s">
        <v>699</v>
      </c>
      <c r="B655" s="2" t="s">
        <v>42</v>
      </c>
      <c r="C655" s="3">
        <v>36</v>
      </c>
      <c r="D655" t="s">
        <v>12</v>
      </c>
      <c r="E655" s="2" t="s">
        <v>19</v>
      </c>
      <c r="F655" s="2" t="s">
        <v>14</v>
      </c>
      <c r="G655">
        <v>58</v>
      </c>
      <c r="H655" s="4">
        <v>43548</v>
      </c>
      <c r="I655" s="2" t="s">
        <v>62</v>
      </c>
      <c r="J655" s="2" t="s">
        <v>16</v>
      </c>
      <c r="M655" t="str">
        <f t="shared" si="40"/>
        <v>Female</v>
      </c>
      <c r="N655" t="str">
        <f t="shared" si="41"/>
        <v>Kolkata</v>
      </c>
      <c r="O655" t="str">
        <f t="shared" si="42"/>
        <v>Gujarati</v>
      </c>
      <c r="P655" t="str">
        <f t="shared" si="43"/>
        <v>Basic</v>
      </c>
    </row>
    <row r="656" spans="1:16" x14ac:dyDescent="0.3">
      <c r="A656" s="2" t="s">
        <v>700</v>
      </c>
      <c r="B656" s="2" t="s">
        <v>31</v>
      </c>
      <c r="C656" s="3">
        <v>24</v>
      </c>
      <c r="D656" t="s">
        <v>32</v>
      </c>
      <c r="E656" s="2" t="s">
        <v>13</v>
      </c>
      <c r="F656" s="2" t="s">
        <v>54</v>
      </c>
      <c r="G656">
        <v>31</v>
      </c>
      <c r="H656" s="4">
        <v>44333</v>
      </c>
      <c r="I656" s="2" t="s">
        <v>34</v>
      </c>
      <c r="J656" s="2" t="s">
        <v>16</v>
      </c>
      <c r="M656" t="str">
        <f t="shared" si="40"/>
        <v>Male</v>
      </c>
      <c r="N656" t="str">
        <f t="shared" si="41"/>
        <v>Bangalore</v>
      </c>
      <c r="O656" t="str">
        <f t="shared" si="42"/>
        <v>Marathi</v>
      </c>
      <c r="P656" t="str">
        <f t="shared" si="43"/>
        <v>Basic</v>
      </c>
    </row>
    <row r="657" spans="1:16" x14ac:dyDescent="0.3">
      <c r="A657" s="2" t="s">
        <v>701</v>
      </c>
      <c r="B657" s="2" t="s">
        <v>61</v>
      </c>
      <c r="C657" s="3">
        <v>45</v>
      </c>
      <c r="D657" t="s">
        <v>46</v>
      </c>
      <c r="E657" s="2" t="s">
        <v>19</v>
      </c>
      <c r="F657" s="2" t="s">
        <v>88</v>
      </c>
      <c r="G657">
        <v>60</v>
      </c>
      <c r="H657" s="4">
        <v>43487</v>
      </c>
      <c r="I657" s="2" t="s">
        <v>29</v>
      </c>
      <c r="J657" s="2" t="s">
        <v>16</v>
      </c>
      <c r="M657" t="str">
        <f t="shared" si="40"/>
        <v>Female</v>
      </c>
      <c r="N657" t="str">
        <f t="shared" si="41"/>
        <v>Lucknow</v>
      </c>
      <c r="O657" t="str">
        <f t="shared" si="42"/>
        <v>English</v>
      </c>
      <c r="P657" t="str">
        <f t="shared" si="43"/>
        <v>Basic</v>
      </c>
    </row>
    <row r="658" spans="1:16" x14ac:dyDescent="0.3">
      <c r="A658" s="2" t="s">
        <v>702</v>
      </c>
      <c r="B658" s="2" t="s">
        <v>24</v>
      </c>
      <c r="C658" s="3">
        <v>40</v>
      </c>
      <c r="D658" t="s">
        <v>12</v>
      </c>
      <c r="E658" s="2" t="s">
        <v>13</v>
      </c>
      <c r="F658" s="2" t="s">
        <v>25</v>
      </c>
      <c r="G658">
        <v>29</v>
      </c>
      <c r="H658" s="4">
        <v>44415</v>
      </c>
      <c r="I658" s="2" t="s">
        <v>29</v>
      </c>
      <c r="J658" s="2" t="s">
        <v>27</v>
      </c>
      <c r="M658" t="str">
        <f t="shared" si="40"/>
        <v>Male</v>
      </c>
      <c r="N658" t="str">
        <f t="shared" si="41"/>
        <v>Mumbai</v>
      </c>
      <c r="O658" t="str">
        <f t="shared" si="42"/>
        <v>English</v>
      </c>
      <c r="P658" t="str">
        <f t="shared" si="43"/>
        <v>Standard</v>
      </c>
    </row>
    <row r="659" spans="1:16" x14ac:dyDescent="0.3">
      <c r="A659" s="2" t="s">
        <v>703</v>
      </c>
      <c r="B659" s="2" t="s">
        <v>11</v>
      </c>
      <c r="C659" s="3">
        <v>46</v>
      </c>
      <c r="D659" t="s">
        <v>46</v>
      </c>
      <c r="E659" s="2" t="s">
        <v>19</v>
      </c>
      <c r="F659" s="2" t="s">
        <v>25</v>
      </c>
      <c r="G659">
        <v>9</v>
      </c>
      <c r="H659" s="4">
        <v>45022</v>
      </c>
      <c r="I659" s="2" t="s">
        <v>34</v>
      </c>
      <c r="J659" s="2" t="s">
        <v>65</v>
      </c>
      <c r="M659" t="str">
        <f t="shared" si="40"/>
        <v>Female</v>
      </c>
      <c r="N659" t="str">
        <f t="shared" si="41"/>
        <v>Mumbai</v>
      </c>
      <c r="O659" t="str">
        <f t="shared" si="42"/>
        <v>Marathi</v>
      </c>
      <c r="P659" t="str">
        <f t="shared" si="43"/>
        <v>Family</v>
      </c>
    </row>
    <row r="660" spans="1:16" x14ac:dyDescent="0.3">
      <c r="A660" s="2" t="s">
        <v>704</v>
      </c>
      <c r="B660" s="2" t="s">
        <v>31</v>
      </c>
      <c r="C660" s="3">
        <v>25</v>
      </c>
      <c r="D660" t="s">
        <v>18</v>
      </c>
      <c r="E660" s="2" t="s">
        <v>19</v>
      </c>
      <c r="F660" s="2" t="s">
        <v>38</v>
      </c>
      <c r="G660">
        <v>15</v>
      </c>
      <c r="H660" s="4">
        <v>44818</v>
      </c>
      <c r="I660" s="2" t="s">
        <v>47</v>
      </c>
      <c r="J660" s="2" t="s">
        <v>27</v>
      </c>
      <c r="M660" t="str">
        <f t="shared" si="40"/>
        <v>Female</v>
      </c>
      <c r="N660" t="str">
        <f t="shared" si="41"/>
        <v>Delhi</v>
      </c>
      <c r="O660" t="str">
        <f t="shared" si="42"/>
        <v>Hindi</v>
      </c>
      <c r="P660" t="str">
        <f t="shared" si="43"/>
        <v>Standard</v>
      </c>
    </row>
    <row r="661" spans="1:16" x14ac:dyDescent="0.3">
      <c r="A661" s="2" t="s">
        <v>705</v>
      </c>
      <c r="B661" s="2" t="s">
        <v>11</v>
      </c>
      <c r="C661" s="3">
        <v>30</v>
      </c>
      <c r="D661" t="s">
        <v>18</v>
      </c>
      <c r="E661" s="2" t="s">
        <v>13</v>
      </c>
      <c r="F661" s="2" t="s">
        <v>33</v>
      </c>
      <c r="G661">
        <v>28</v>
      </c>
      <c r="H661" s="4">
        <v>44443</v>
      </c>
      <c r="I661" s="2" t="s">
        <v>15</v>
      </c>
      <c r="J661" s="2" t="s">
        <v>16</v>
      </c>
      <c r="M661" t="str">
        <f t="shared" si="40"/>
        <v>Male</v>
      </c>
      <c r="N661" t="str">
        <f t="shared" si="41"/>
        <v>Jaipur</v>
      </c>
      <c r="O661" t="str">
        <f t="shared" si="42"/>
        <v>Telugu</v>
      </c>
      <c r="P661" t="str">
        <f t="shared" si="43"/>
        <v>Basic</v>
      </c>
    </row>
    <row r="662" spans="1:16" x14ac:dyDescent="0.3">
      <c r="A662" s="2" t="s">
        <v>706</v>
      </c>
      <c r="B662" s="2" t="s">
        <v>24</v>
      </c>
      <c r="C662" s="3">
        <v>32</v>
      </c>
      <c r="D662" t="s">
        <v>18</v>
      </c>
      <c r="E662" s="2" t="s">
        <v>19</v>
      </c>
      <c r="F662" s="2" t="s">
        <v>64</v>
      </c>
      <c r="G662">
        <v>41</v>
      </c>
      <c r="H662" s="4">
        <v>44041</v>
      </c>
      <c r="I662" s="2" t="s">
        <v>21</v>
      </c>
      <c r="J662" s="2" t="s">
        <v>22</v>
      </c>
      <c r="M662" t="str">
        <f t="shared" si="40"/>
        <v>Female</v>
      </c>
      <c r="N662" t="str">
        <f t="shared" si="41"/>
        <v>Pune</v>
      </c>
      <c r="O662" t="str">
        <f t="shared" si="42"/>
        <v>Bengali</v>
      </c>
      <c r="P662" t="str">
        <f t="shared" si="43"/>
        <v>Premium</v>
      </c>
    </row>
    <row r="663" spans="1:16" x14ac:dyDescent="0.3">
      <c r="A663" s="2" t="s">
        <v>707</v>
      </c>
      <c r="B663" s="2" t="s">
        <v>31</v>
      </c>
      <c r="C663" s="3">
        <v>28</v>
      </c>
      <c r="D663" t="s">
        <v>18</v>
      </c>
      <c r="E663" s="2" t="s">
        <v>13</v>
      </c>
      <c r="F663" s="2" t="s">
        <v>88</v>
      </c>
      <c r="G663">
        <v>57</v>
      </c>
      <c r="H663" s="4">
        <v>43569</v>
      </c>
      <c r="I663" s="2" t="s">
        <v>62</v>
      </c>
      <c r="J663" s="2" t="s">
        <v>27</v>
      </c>
      <c r="M663" t="str">
        <f t="shared" si="40"/>
        <v>Male</v>
      </c>
      <c r="N663" t="str">
        <f t="shared" si="41"/>
        <v>Lucknow</v>
      </c>
      <c r="O663" t="str">
        <f t="shared" si="42"/>
        <v>Gujarati</v>
      </c>
      <c r="P663" t="str">
        <f t="shared" si="43"/>
        <v>Standard</v>
      </c>
    </row>
    <row r="664" spans="1:16" x14ac:dyDescent="0.3">
      <c r="A664" s="2" t="s">
        <v>708</v>
      </c>
      <c r="B664" s="2" t="s">
        <v>24</v>
      </c>
      <c r="C664" s="3">
        <v>39</v>
      </c>
      <c r="D664" t="s">
        <v>12</v>
      </c>
      <c r="E664" s="2" t="s">
        <v>13</v>
      </c>
      <c r="F664" s="2" t="s">
        <v>25</v>
      </c>
      <c r="G664">
        <v>49</v>
      </c>
      <c r="H664" s="4">
        <v>43794</v>
      </c>
      <c r="I664" s="2" t="s">
        <v>34</v>
      </c>
      <c r="J664" s="2" t="s">
        <v>16</v>
      </c>
      <c r="M664" t="str">
        <f t="shared" si="40"/>
        <v>Male</v>
      </c>
      <c r="N664" t="str">
        <f t="shared" si="41"/>
        <v>Mumbai</v>
      </c>
      <c r="O664" t="str">
        <f t="shared" si="42"/>
        <v>Marathi</v>
      </c>
      <c r="P664" t="str">
        <f t="shared" si="43"/>
        <v>Basic</v>
      </c>
    </row>
    <row r="665" spans="1:16" x14ac:dyDescent="0.3">
      <c r="A665" s="2" t="s">
        <v>709</v>
      </c>
      <c r="B665" s="2" t="s">
        <v>11</v>
      </c>
      <c r="C665" s="3">
        <v>18</v>
      </c>
      <c r="D665" t="s">
        <v>32</v>
      </c>
      <c r="E665" s="2" t="s">
        <v>19</v>
      </c>
      <c r="F665" s="2" t="s">
        <v>38</v>
      </c>
      <c r="G665">
        <v>40</v>
      </c>
      <c r="H665" s="4">
        <v>44087</v>
      </c>
      <c r="I665" s="2" t="s">
        <v>49</v>
      </c>
      <c r="J665" s="2" t="s">
        <v>22</v>
      </c>
      <c r="M665" t="str">
        <f t="shared" si="40"/>
        <v>Female</v>
      </c>
      <c r="N665" t="str">
        <f t="shared" si="41"/>
        <v>Delhi</v>
      </c>
      <c r="O665" t="str">
        <f t="shared" si="42"/>
        <v>Kannada</v>
      </c>
      <c r="P665" t="str">
        <f t="shared" si="43"/>
        <v>Premium</v>
      </c>
    </row>
    <row r="666" spans="1:16" x14ac:dyDescent="0.3">
      <c r="A666" s="2" t="s">
        <v>710</v>
      </c>
      <c r="B666" s="2" t="s">
        <v>24</v>
      </c>
      <c r="C666" s="3">
        <v>28</v>
      </c>
      <c r="D666" t="s">
        <v>18</v>
      </c>
      <c r="E666" s="2" t="s">
        <v>13</v>
      </c>
      <c r="F666" s="2" t="s">
        <v>88</v>
      </c>
      <c r="G666">
        <v>2</v>
      </c>
      <c r="H666" s="4">
        <v>45219</v>
      </c>
      <c r="I666" s="2" t="s">
        <v>21</v>
      </c>
      <c r="J666" s="2" t="s">
        <v>16</v>
      </c>
      <c r="M666" t="str">
        <f t="shared" si="40"/>
        <v>Male</v>
      </c>
      <c r="N666" t="str">
        <f t="shared" si="41"/>
        <v>Lucknow</v>
      </c>
      <c r="O666" t="str">
        <f t="shared" si="42"/>
        <v>Bengali</v>
      </c>
      <c r="P666" t="str">
        <f t="shared" si="43"/>
        <v>Basic</v>
      </c>
    </row>
    <row r="667" spans="1:16" x14ac:dyDescent="0.3">
      <c r="A667" s="2" t="s">
        <v>711</v>
      </c>
      <c r="B667" s="2" t="s">
        <v>24</v>
      </c>
      <c r="C667" s="3">
        <v>33</v>
      </c>
      <c r="D667" t="s">
        <v>18</v>
      </c>
      <c r="E667" s="2" t="s">
        <v>13</v>
      </c>
      <c r="F667" s="2" t="s">
        <v>36</v>
      </c>
      <c r="G667">
        <v>7</v>
      </c>
      <c r="H667" s="4">
        <v>45068</v>
      </c>
      <c r="I667" s="2" t="s">
        <v>49</v>
      </c>
      <c r="J667" s="2" t="s">
        <v>22</v>
      </c>
      <c r="M667" t="str">
        <f t="shared" si="40"/>
        <v>Male</v>
      </c>
      <c r="N667" t="str">
        <f t="shared" si="41"/>
        <v>Ahmedabad</v>
      </c>
      <c r="O667" t="str">
        <f t="shared" si="42"/>
        <v>Kannada</v>
      </c>
      <c r="P667" t="str">
        <f t="shared" si="43"/>
        <v>Premium</v>
      </c>
    </row>
    <row r="668" spans="1:16" x14ac:dyDescent="0.3">
      <c r="A668" s="2" t="s">
        <v>712</v>
      </c>
      <c r="B668" s="2" t="s">
        <v>24</v>
      </c>
      <c r="C668" s="3">
        <v>33</v>
      </c>
      <c r="D668" t="s">
        <v>18</v>
      </c>
      <c r="E668" s="2" t="s">
        <v>19</v>
      </c>
      <c r="F668" s="2" t="s">
        <v>38</v>
      </c>
      <c r="G668">
        <v>58</v>
      </c>
      <c r="H668" s="4">
        <v>43536</v>
      </c>
      <c r="I668" s="2" t="s">
        <v>34</v>
      </c>
      <c r="J668" s="2" t="s">
        <v>65</v>
      </c>
      <c r="M668" t="str">
        <f t="shared" si="40"/>
        <v>Female</v>
      </c>
      <c r="N668" t="str">
        <f t="shared" si="41"/>
        <v>Delhi</v>
      </c>
      <c r="O668" t="str">
        <f t="shared" si="42"/>
        <v>Marathi</v>
      </c>
      <c r="P668" t="str">
        <f t="shared" si="43"/>
        <v>Family</v>
      </c>
    </row>
    <row r="669" spans="1:16" x14ac:dyDescent="0.3">
      <c r="A669" s="2" t="s">
        <v>713</v>
      </c>
      <c r="B669" s="2" t="s">
        <v>42</v>
      </c>
      <c r="C669" s="3">
        <v>32</v>
      </c>
      <c r="D669" t="s">
        <v>18</v>
      </c>
      <c r="E669" s="2" t="s">
        <v>19</v>
      </c>
      <c r="F669" s="2" t="s">
        <v>33</v>
      </c>
      <c r="G669">
        <v>1</v>
      </c>
      <c r="H669" s="4">
        <v>45252</v>
      </c>
      <c r="I669" s="2" t="s">
        <v>47</v>
      </c>
      <c r="J669" s="2" t="s">
        <v>16</v>
      </c>
      <c r="M669" t="str">
        <f t="shared" si="40"/>
        <v>Female</v>
      </c>
      <c r="N669" t="str">
        <f t="shared" si="41"/>
        <v>Jaipur</v>
      </c>
      <c r="O669" t="str">
        <f t="shared" si="42"/>
        <v>Hindi</v>
      </c>
      <c r="P669" t="str">
        <f t="shared" si="43"/>
        <v>Basic</v>
      </c>
    </row>
    <row r="670" spans="1:16" x14ac:dyDescent="0.3">
      <c r="A670" s="2" t="s">
        <v>714</v>
      </c>
      <c r="B670" s="2" t="s">
        <v>61</v>
      </c>
      <c r="C670" s="3">
        <v>48</v>
      </c>
      <c r="D670" t="s">
        <v>46</v>
      </c>
      <c r="E670" s="2" t="s">
        <v>19</v>
      </c>
      <c r="F670" s="2" t="s">
        <v>38</v>
      </c>
      <c r="G670">
        <v>9</v>
      </c>
      <c r="H670" s="4">
        <v>45004</v>
      </c>
      <c r="I670" s="2" t="s">
        <v>34</v>
      </c>
      <c r="J670" s="2" t="s">
        <v>22</v>
      </c>
      <c r="M670" t="str">
        <f t="shared" si="40"/>
        <v>Female</v>
      </c>
      <c r="N670" t="str">
        <f t="shared" si="41"/>
        <v>Delhi</v>
      </c>
      <c r="O670" t="str">
        <f t="shared" si="42"/>
        <v>Marathi</v>
      </c>
      <c r="P670" t="str">
        <f t="shared" si="43"/>
        <v>Premium</v>
      </c>
    </row>
    <row r="671" spans="1:16" x14ac:dyDescent="0.3">
      <c r="A671" s="2" t="s">
        <v>715</v>
      </c>
      <c r="B671" s="2" t="s">
        <v>24</v>
      </c>
      <c r="C671" s="3">
        <v>28</v>
      </c>
      <c r="D671" t="s">
        <v>18</v>
      </c>
      <c r="E671" s="2" t="s">
        <v>13</v>
      </c>
      <c r="F671" s="2" t="s">
        <v>36</v>
      </c>
      <c r="G671">
        <v>16</v>
      </c>
      <c r="H671" s="4">
        <v>44800</v>
      </c>
      <c r="I671" s="2" t="s">
        <v>29</v>
      </c>
      <c r="J671" s="2" t="s">
        <v>16</v>
      </c>
      <c r="M671" t="str">
        <f t="shared" si="40"/>
        <v>Male</v>
      </c>
      <c r="N671" t="str">
        <f t="shared" si="41"/>
        <v>Ahmedabad</v>
      </c>
      <c r="O671" t="str">
        <f t="shared" si="42"/>
        <v>English</v>
      </c>
      <c r="P671" t="str">
        <f t="shared" si="43"/>
        <v>Basic</v>
      </c>
    </row>
    <row r="672" spans="1:16" x14ac:dyDescent="0.3">
      <c r="A672" s="2" t="s">
        <v>716</v>
      </c>
      <c r="B672" s="2" t="s">
        <v>31</v>
      </c>
      <c r="C672" s="3">
        <v>20</v>
      </c>
      <c r="D672" t="s">
        <v>32</v>
      </c>
      <c r="E672" s="2" t="s">
        <v>19</v>
      </c>
      <c r="F672" s="2" t="s">
        <v>36</v>
      </c>
      <c r="G672">
        <v>56</v>
      </c>
      <c r="H672" s="4">
        <v>43586</v>
      </c>
      <c r="I672" s="2" t="s">
        <v>49</v>
      </c>
      <c r="J672" s="2" t="s">
        <v>16</v>
      </c>
      <c r="M672" t="str">
        <f t="shared" si="40"/>
        <v>Female</v>
      </c>
      <c r="N672" t="str">
        <f t="shared" si="41"/>
        <v>Ahmedabad</v>
      </c>
      <c r="O672" t="str">
        <f t="shared" si="42"/>
        <v>Kannada</v>
      </c>
      <c r="P672" t="str">
        <f t="shared" si="43"/>
        <v>Basic</v>
      </c>
    </row>
    <row r="673" spans="1:16" x14ac:dyDescent="0.3">
      <c r="A673" s="2" t="s">
        <v>717</v>
      </c>
      <c r="B673" s="2" t="s">
        <v>31</v>
      </c>
      <c r="C673" s="3">
        <v>48</v>
      </c>
      <c r="D673" t="s">
        <v>46</v>
      </c>
      <c r="E673" s="2" t="s">
        <v>13</v>
      </c>
      <c r="F673" s="2" t="s">
        <v>56</v>
      </c>
      <c r="G673">
        <v>27</v>
      </c>
      <c r="H673" s="4">
        <v>44473</v>
      </c>
      <c r="I673" s="2" t="s">
        <v>26</v>
      </c>
      <c r="J673" s="2" t="s">
        <v>22</v>
      </c>
      <c r="M673" t="str">
        <f t="shared" si="40"/>
        <v>Male</v>
      </c>
      <c r="N673" t="str">
        <f t="shared" si="41"/>
        <v>Hyderabad</v>
      </c>
      <c r="O673" t="str">
        <f t="shared" si="42"/>
        <v>Malayalam</v>
      </c>
      <c r="P673" t="str">
        <f t="shared" si="43"/>
        <v>Premium</v>
      </c>
    </row>
    <row r="674" spans="1:16" x14ac:dyDescent="0.3">
      <c r="A674" s="2" t="s">
        <v>718</v>
      </c>
      <c r="B674" s="2" t="s">
        <v>24</v>
      </c>
      <c r="C674" s="3">
        <v>20</v>
      </c>
      <c r="D674" t="s">
        <v>32</v>
      </c>
      <c r="E674" s="2" t="s">
        <v>13</v>
      </c>
      <c r="F674" s="2" t="s">
        <v>38</v>
      </c>
      <c r="G674">
        <v>17</v>
      </c>
      <c r="H674" s="4">
        <v>44770</v>
      </c>
      <c r="I674" s="2" t="s">
        <v>47</v>
      </c>
      <c r="J674" s="2" t="s">
        <v>22</v>
      </c>
      <c r="M674" t="str">
        <f t="shared" si="40"/>
        <v>Male</v>
      </c>
      <c r="N674" t="str">
        <f t="shared" si="41"/>
        <v>Delhi</v>
      </c>
      <c r="O674" t="str">
        <f t="shared" si="42"/>
        <v>Hindi</v>
      </c>
      <c r="P674" t="str">
        <f t="shared" si="43"/>
        <v>Premium</v>
      </c>
    </row>
    <row r="675" spans="1:16" x14ac:dyDescent="0.3">
      <c r="A675" s="2" t="s">
        <v>719</v>
      </c>
      <c r="B675" s="2" t="s">
        <v>24</v>
      </c>
      <c r="C675" s="3">
        <v>25</v>
      </c>
      <c r="D675" t="s">
        <v>18</v>
      </c>
      <c r="E675" s="2" t="s">
        <v>19</v>
      </c>
      <c r="F675" s="2" t="s">
        <v>25</v>
      </c>
      <c r="G675">
        <v>31</v>
      </c>
      <c r="H675" s="4">
        <v>44359</v>
      </c>
      <c r="I675" s="2" t="s">
        <v>21</v>
      </c>
      <c r="J675" s="2" t="s">
        <v>27</v>
      </c>
      <c r="M675" t="str">
        <f t="shared" si="40"/>
        <v>Female</v>
      </c>
      <c r="N675" t="str">
        <f t="shared" si="41"/>
        <v>Mumbai</v>
      </c>
      <c r="O675" t="str">
        <f t="shared" si="42"/>
        <v>Bengali</v>
      </c>
      <c r="P675" t="str">
        <f t="shared" si="43"/>
        <v>Standard</v>
      </c>
    </row>
    <row r="676" spans="1:16" x14ac:dyDescent="0.3">
      <c r="A676" s="2" t="s">
        <v>720</v>
      </c>
      <c r="B676" s="2" t="s">
        <v>24</v>
      </c>
      <c r="C676" s="3">
        <v>24</v>
      </c>
      <c r="D676" t="s">
        <v>32</v>
      </c>
      <c r="E676" s="2" t="s">
        <v>19</v>
      </c>
      <c r="F676" s="2" t="s">
        <v>20</v>
      </c>
      <c r="G676">
        <v>8</v>
      </c>
      <c r="H676" s="4">
        <v>45035</v>
      </c>
      <c r="I676" s="2" t="s">
        <v>15</v>
      </c>
      <c r="J676" s="2" t="s">
        <v>16</v>
      </c>
      <c r="M676" t="str">
        <f t="shared" si="40"/>
        <v>Female</v>
      </c>
      <c r="N676" t="str">
        <f t="shared" si="41"/>
        <v>Chennai</v>
      </c>
      <c r="O676" t="str">
        <f t="shared" si="42"/>
        <v>Telugu</v>
      </c>
      <c r="P676" t="str">
        <f t="shared" si="43"/>
        <v>Basic</v>
      </c>
    </row>
    <row r="677" spans="1:16" x14ac:dyDescent="0.3">
      <c r="A677" s="2" t="s">
        <v>721</v>
      </c>
      <c r="B677" s="2" t="s">
        <v>31</v>
      </c>
      <c r="C677" s="3">
        <v>25</v>
      </c>
      <c r="D677" t="s">
        <v>18</v>
      </c>
      <c r="E677" s="2" t="s">
        <v>19</v>
      </c>
      <c r="F677" s="2" t="s">
        <v>14</v>
      </c>
      <c r="G677">
        <v>34</v>
      </c>
      <c r="H677" s="4">
        <v>44248</v>
      </c>
      <c r="I677" s="2" t="s">
        <v>15</v>
      </c>
      <c r="J677" s="2" t="s">
        <v>16</v>
      </c>
      <c r="M677" t="str">
        <f t="shared" si="40"/>
        <v>Female</v>
      </c>
      <c r="N677" t="str">
        <f t="shared" si="41"/>
        <v>Kolkata</v>
      </c>
      <c r="O677" t="str">
        <f t="shared" si="42"/>
        <v>Telugu</v>
      </c>
      <c r="P677" t="str">
        <f t="shared" si="43"/>
        <v>Basic</v>
      </c>
    </row>
    <row r="678" spans="1:16" x14ac:dyDescent="0.3">
      <c r="A678" s="2" t="s">
        <v>722</v>
      </c>
      <c r="B678" s="2" t="s">
        <v>24</v>
      </c>
      <c r="C678" s="3">
        <v>18</v>
      </c>
      <c r="D678" t="s">
        <v>32</v>
      </c>
      <c r="E678" s="2" t="s">
        <v>19</v>
      </c>
      <c r="F678" s="2" t="s">
        <v>20</v>
      </c>
      <c r="G678">
        <v>12</v>
      </c>
      <c r="H678" s="4">
        <v>44914</v>
      </c>
      <c r="I678" s="2" t="s">
        <v>34</v>
      </c>
      <c r="J678" s="2" t="s">
        <v>22</v>
      </c>
      <c r="M678" t="str">
        <f t="shared" si="40"/>
        <v>Female</v>
      </c>
      <c r="N678" t="str">
        <f t="shared" si="41"/>
        <v>Chennai</v>
      </c>
      <c r="O678" t="str">
        <f t="shared" si="42"/>
        <v>Marathi</v>
      </c>
      <c r="P678" t="str">
        <f t="shared" si="43"/>
        <v>Premium</v>
      </c>
    </row>
    <row r="679" spans="1:16" x14ac:dyDescent="0.3">
      <c r="A679" s="2" t="s">
        <v>723</v>
      </c>
      <c r="B679" s="2" t="s">
        <v>31</v>
      </c>
      <c r="C679" s="3">
        <v>51</v>
      </c>
      <c r="D679" t="s">
        <v>46</v>
      </c>
      <c r="E679" s="2" t="s">
        <v>19</v>
      </c>
      <c r="F679" s="2" t="s">
        <v>25</v>
      </c>
      <c r="G679">
        <v>41</v>
      </c>
      <c r="H679" s="4">
        <v>44046</v>
      </c>
      <c r="I679" s="2" t="s">
        <v>34</v>
      </c>
      <c r="J679" s="2" t="s">
        <v>65</v>
      </c>
      <c r="M679" t="str">
        <f t="shared" si="40"/>
        <v>Female</v>
      </c>
      <c r="N679" t="str">
        <f t="shared" si="41"/>
        <v>Mumbai</v>
      </c>
      <c r="O679" t="str">
        <f t="shared" si="42"/>
        <v>Marathi</v>
      </c>
      <c r="P679" t="str">
        <f t="shared" si="43"/>
        <v>Family</v>
      </c>
    </row>
    <row r="680" spans="1:16" x14ac:dyDescent="0.3">
      <c r="A680" s="2" t="s">
        <v>724</v>
      </c>
      <c r="B680" s="2" t="s">
        <v>42</v>
      </c>
      <c r="C680" s="3">
        <v>28</v>
      </c>
      <c r="D680" t="s">
        <v>18</v>
      </c>
      <c r="E680" s="2" t="s">
        <v>19</v>
      </c>
      <c r="F680" s="2" t="s">
        <v>38</v>
      </c>
      <c r="G680">
        <v>21</v>
      </c>
      <c r="H680" s="4">
        <v>44639</v>
      </c>
      <c r="I680" s="2" t="s">
        <v>34</v>
      </c>
      <c r="J680" s="2" t="s">
        <v>27</v>
      </c>
      <c r="M680" t="str">
        <f t="shared" si="40"/>
        <v>Female</v>
      </c>
      <c r="N680" t="str">
        <f t="shared" si="41"/>
        <v>Delhi</v>
      </c>
      <c r="O680" t="str">
        <f t="shared" si="42"/>
        <v>Marathi</v>
      </c>
      <c r="P680" t="str">
        <f t="shared" si="43"/>
        <v>Standard</v>
      </c>
    </row>
    <row r="681" spans="1:16" x14ac:dyDescent="0.3">
      <c r="A681" s="2" t="s">
        <v>725</v>
      </c>
      <c r="B681" s="2" t="s">
        <v>24</v>
      </c>
      <c r="C681" s="3">
        <v>43</v>
      </c>
      <c r="D681" t="s">
        <v>12</v>
      </c>
      <c r="E681" s="2" t="s">
        <v>19</v>
      </c>
      <c r="F681" s="2" t="s">
        <v>88</v>
      </c>
      <c r="G681">
        <v>34</v>
      </c>
      <c r="H681" s="4">
        <v>44271</v>
      </c>
      <c r="I681" s="2" t="s">
        <v>29</v>
      </c>
      <c r="J681" s="2" t="s">
        <v>16</v>
      </c>
      <c r="M681" t="str">
        <f t="shared" si="40"/>
        <v>Female</v>
      </c>
      <c r="N681" t="str">
        <f t="shared" si="41"/>
        <v>Lucknow</v>
      </c>
      <c r="O681" t="str">
        <f t="shared" si="42"/>
        <v>English</v>
      </c>
      <c r="P681" t="str">
        <f t="shared" si="43"/>
        <v>Basic</v>
      </c>
    </row>
    <row r="682" spans="1:16" x14ac:dyDescent="0.3">
      <c r="A682" s="2" t="s">
        <v>726</v>
      </c>
      <c r="B682" s="2" t="s">
        <v>11</v>
      </c>
      <c r="C682" s="3">
        <v>18</v>
      </c>
      <c r="D682" t="s">
        <v>32</v>
      </c>
      <c r="E682" s="2" t="s">
        <v>13</v>
      </c>
      <c r="F682" s="2" t="s">
        <v>20</v>
      </c>
      <c r="G682">
        <v>51</v>
      </c>
      <c r="H682" s="4">
        <v>43738</v>
      </c>
      <c r="I682" s="2" t="s">
        <v>29</v>
      </c>
      <c r="J682" s="2" t="s">
        <v>16</v>
      </c>
      <c r="M682" t="str">
        <f t="shared" si="40"/>
        <v>Male</v>
      </c>
      <c r="N682" t="str">
        <f t="shared" si="41"/>
        <v>Chennai</v>
      </c>
      <c r="O682" t="str">
        <f t="shared" si="42"/>
        <v>English</v>
      </c>
      <c r="P682" t="str">
        <f t="shared" si="43"/>
        <v>Basic</v>
      </c>
    </row>
    <row r="683" spans="1:16" x14ac:dyDescent="0.3">
      <c r="A683" s="2" t="s">
        <v>727</v>
      </c>
      <c r="B683" s="2" t="s">
        <v>24</v>
      </c>
      <c r="C683" s="3">
        <v>29</v>
      </c>
      <c r="D683" t="s">
        <v>18</v>
      </c>
      <c r="E683" s="2" t="s">
        <v>13</v>
      </c>
      <c r="F683" s="2" t="s">
        <v>88</v>
      </c>
      <c r="G683">
        <v>29</v>
      </c>
      <c r="H683" s="4">
        <v>44408</v>
      </c>
      <c r="I683" s="2" t="s">
        <v>21</v>
      </c>
      <c r="J683" s="2" t="s">
        <v>27</v>
      </c>
      <c r="M683" t="str">
        <f t="shared" si="40"/>
        <v>Male</v>
      </c>
      <c r="N683" t="str">
        <f t="shared" si="41"/>
        <v>Lucknow</v>
      </c>
      <c r="O683" t="str">
        <f t="shared" si="42"/>
        <v>Bengali</v>
      </c>
      <c r="P683" t="str">
        <f t="shared" si="43"/>
        <v>Standard</v>
      </c>
    </row>
    <row r="684" spans="1:16" x14ac:dyDescent="0.3">
      <c r="A684" s="2" t="s">
        <v>728</v>
      </c>
      <c r="B684" s="2" t="s">
        <v>31</v>
      </c>
      <c r="C684" s="3">
        <v>22</v>
      </c>
      <c r="D684" t="s">
        <v>32</v>
      </c>
      <c r="E684" s="2" t="s">
        <v>13</v>
      </c>
      <c r="F684" s="2" t="s">
        <v>54</v>
      </c>
      <c r="G684">
        <v>32</v>
      </c>
      <c r="H684" s="4">
        <v>44307</v>
      </c>
      <c r="I684" s="2" t="s">
        <v>39</v>
      </c>
      <c r="J684" s="2" t="s">
        <v>27</v>
      </c>
      <c r="M684" t="str">
        <f t="shared" si="40"/>
        <v>Male</v>
      </c>
      <c r="N684" t="str">
        <f t="shared" si="41"/>
        <v>Bangalore</v>
      </c>
      <c r="O684" t="str">
        <f t="shared" si="42"/>
        <v>Tamil</v>
      </c>
      <c r="P684" t="str">
        <f t="shared" si="43"/>
        <v>Standard</v>
      </c>
    </row>
    <row r="685" spans="1:16" x14ac:dyDescent="0.3">
      <c r="A685" s="2" t="s">
        <v>729</v>
      </c>
      <c r="B685" s="2" t="s">
        <v>11</v>
      </c>
      <c r="C685" s="3">
        <v>44</v>
      </c>
      <c r="D685" t="s">
        <v>12</v>
      </c>
      <c r="E685" s="2" t="s">
        <v>13</v>
      </c>
      <c r="F685" s="2" t="s">
        <v>14</v>
      </c>
      <c r="G685">
        <v>1</v>
      </c>
      <c r="H685" s="4">
        <v>45252</v>
      </c>
      <c r="I685" s="2" t="s">
        <v>49</v>
      </c>
      <c r="J685" s="2" t="s">
        <v>27</v>
      </c>
      <c r="M685" t="str">
        <f t="shared" si="40"/>
        <v>Male</v>
      </c>
      <c r="N685" t="str">
        <f t="shared" si="41"/>
        <v>Kolkata</v>
      </c>
      <c r="O685" t="str">
        <f t="shared" si="42"/>
        <v>Kannada</v>
      </c>
      <c r="P685" t="str">
        <f t="shared" si="43"/>
        <v>Standard</v>
      </c>
    </row>
    <row r="686" spans="1:16" x14ac:dyDescent="0.3">
      <c r="A686" s="2" t="s">
        <v>730</v>
      </c>
      <c r="B686" s="2" t="s">
        <v>31</v>
      </c>
      <c r="C686" s="3">
        <v>18</v>
      </c>
      <c r="D686" t="s">
        <v>32</v>
      </c>
      <c r="E686" s="2" t="s">
        <v>105</v>
      </c>
      <c r="F686" s="2" t="s">
        <v>20</v>
      </c>
      <c r="G686">
        <v>30</v>
      </c>
      <c r="H686" s="4">
        <v>44378</v>
      </c>
      <c r="I686" s="2" t="s">
        <v>29</v>
      </c>
      <c r="J686" s="2" t="s">
        <v>16</v>
      </c>
      <c r="M686" t="str">
        <f t="shared" si="40"/>
        <v>Non-Binary</v>
      </c>
      <c r="N686" t="str">
        <f t="shared" si="41"/>
        <v>Chennai</v>
      </c>
      <c r="O686" t="str">
        <f t="shared" si="42"/>
        <v>English</v>
      </c>
      <c r="P686" t="str">
        <f t="shared" si="43"/>
        <v>Basic</v>
      </c>
    </row>
    <row r="687" spans="1:16" x14ac:dyDescent="0.3">
      <c r="A687" s="2" t="s">
        <v>731</v>
      </c>
      <c r="B687" s="2" t="s">
        <v>24</v>
      </c>
      <c r="C687" s="3">
        <v>21</v>
      </c>
      <c r="D687" t="s">
        <v>32</v>
      </c>
      <c r="E687" s="2" t="s">
        <v>19</v>
      </c>
      <c r="F687" s="2" t="s">
        <v>56</v>
      </c>
      <c r="G687">
        <v>55</v>
      </c>
      <c r="H687" s="4">
        <v>43615</v>
      </c>
      <c r="I687" s="2" t="s">
        <v>39</v>
      </c>
      <c r="J687" s="2" t="s">
        <v>22</v>
      </c>
      <c r="M687" t="str">
        <f t="shared" si="40"/>
        <v>Female</v>
      </c>
      <c r="N687" t="str">
        <f t="shared" si="41"/>
        <v>Hyderabad</v>
      </c>
      <c r="O687" t="str">
        <f t="shared" si="42"/>
        <v>Tamil</v>
      </c>
      <c r="P687" t="str">
        <f t="shared" si="43"/>
        <v>Premium</v>
      </c>
    </row>
    <row r="688" spans="1:16" x14ac:dyDescent="0.3">
      <c r="A688" s="2" t="s">
        <v>732</v>
      </c>
      <c r="B688" s="2" t="s">
        <v>42</v>
      </c>
      <c r="C688" s="3">
        <v>25</v>
      </c>
      <c r="D688" t="s">
        <v>18</v>
      </c>
      <c r="E688" s="2" t="s">
        <v>19</v>
      </c>
      <c r="F688" s="2" t="s">
        <v>38</v>
      </c>
      <c r="G688">
        <v>10</v>
      </c>
      <c r="H688" s="4">
        <v>44979</v>
      </c>
      <c r="I688" s="2" t="s">
        <v>62</v>
      </c>
      <c r="J688" s="2" t="s">
        <v>27</v>
      </c>
      <c r="M688" t="str">
        <f t="shared" si="40"/>
        <v>Female</v>
      </c>
      <c r="N688" t="str">
        <f t="shared" si="41"/>
        <v>Delhi</v>
      </c>
      <c r="O688" t="str">
        <f t="shared" si="42"/>
        <v>Gujarati</v>
      </c>
      <c r="P688" t="str">
        <f t="shared" si="43"/>
        <v>Standard</v>
      </c>
    </row>
    <row r="689" spans="1:16" x14ac:dyDescent="0.3">
      <c r="A689" s="2" t="s">
        <v>733</v>
      </c>
      <c r="B689" s="2" t="s">
        <v>31</v>
      </c>
      <c r="C689" s="3">
        <v>27</v>
      </c>
      <c r="D689" t="s">
        <v>18</v>
      </c>
      <c r="E689" s="2" t="s">
        <v>19</v>
      </c>
      <c r="F689" s="2" t="s">
        <v>38</v>
      </c>
      <c r="G689">
        <v>52</v>
      </c>
      <c r="H689" s="4">
        <v>43715</v>
      </c>
      <c r="I689" s="2" t="s">
        <v>39</v>
      </c>
      <c r="J689" s="2" t="s">
        <v>27</v>
      </c>
      <c r="M689" t="str">
        <f t="shared" si="40"/>
        <v>Female</v>
      </c>
      <c r="N689" t="str">
        <f t="shared" si="41"/>
        <v>Delhi</v>
      </c>
      <c r="O689" t="str">
        <f t="shared" si="42"/>
        <v>Tamil</v>
      </c>
      <c r="P689" t="str">
        <f t="shared" si="43"/>
        <v>Standard</v>
      </c>
    </row>
    <row r="690" spans="1:16" x14ac:dyDescent="0.3">
      <c r="A690" s="2" t="s">
        <v>734</v>
      </c>
      <c r="B690" s="2" t="s">
        <v>31</v>
      </c>
      <c r="C690" s="3">
        <v>18</v>
      </c>
      <c r="D690" t="s">
        <v>32</v>
      </c>
      <c r="E690" s="2" t="s">
        <v>19</v>
      </c>
      <c r="F690" s="2" t="s">
        <v>36</v>
      </c>
      <c r="G690">
        <v>56</v>
      </c>
      <c r="H690" s="4">
        <v>43609</v>
      </c>
      <c r="I690" s="2" t="s">
        <v>62</v>
      </c>
      <c r="J690" s="2" t="s">
        <v>27</v>
      </c>
      <c r="M690" t="str">
        <f t="shared" si="40"/>
        <v>Female</v>
      </c>
      <c r="N690" t="str">
        <f t="shared" si="41"/>
        <v>Ahmedabad</v>
      </c>
      <c r="O690" t="str">
        <f t="shared" si="42"/>
        <v>Gujarati</v>
      </c>
      <c r="P690" t="str">
        <f t="shared" si="43"/>
        <v>Standard</v>
      </c>
    </row>
    <row r="691" spans="1:16" x14ac:dyDescent="0.3">
      <c r="A691" s="2" t="s">
        <v>735</v>
      </c>
      <c r="B691" s="2" t="s">
        <v>42</v>
      </c>
      <c r="C691" s="3">
        <v>21</v>
      </c>
      <c r="D691" t="s">
        <v>32</v>
      </c>
      <c r="E691" s="2" t="s">
        <v>13</v>
      </c>
      <c r="F691" s="2" t="s">
        <v>88</v>
      </c>
      <c r="G691">
        <v>47</v>
      </c>
      <c r="H691" s="4">
        <v>43881</v>
      </c>
      <c r="I691" s="2" t="s">
        <v>62</v>
      </c>
      <c r="J691" s="2" t="s">
        <v>22</v>
      </c>
      <c r="M691" t="str">
        <f t="shared" si="40"/>
        <v>Male</v>
      </c>
      <c r="N691" t="str">
        <f t="shared" si="41"/>
        <v>Lucknow</v>
      </c>
      <c r="O691" t="str">
        <f t="shared" si="42"/>
        <v>Gujarati</v>
      </c>
      <c r="P691" t="str">
        <f t="shared" si="43"/>
        <v>Premium</v>
      </c>
    </row>
    <row r="692" spans="1:16" x14ac:dyDescent="0.3">
      <c r="A692" s="2" t="s">
        <v>736</v>
      </c>
      <c r="B692" s="2" t="s">
        <v>11</v>
      </c>
      <c r="C692" s="3">
        <v>31</v>
      </c>
      <c r="D692" t="s">
        <v>18</v>
      </c>
      <c r="E692" s="2" t="s">
        <v>19</v>
      </c>
      <c r="F692" s="2" t="s">
        <v>25</v>
      </c>
      <c r="G692">
        <v>55</v>
      </c>
      <c r="H692" s="4">
        <v>43613</v>
      </c>
      <c r="I692" s="2" t="s">
        <v>26</v>
      </c>
      <c r="J692" s="2" t="s">
        <v>27</v>
      </c>
      <c r="M692" t="str">
        <f t="shared" si="40"/>
        <v>Female</v>
      </c>
      <c r="N692" t="str">
        <f t="shared" si="41"/>
        <v>Mumbai</v>
      </c>
      <c r="O692" t="str">
        <f t="shared" si="42"/>
        <v>Malayalam</v>
      </c>
      <c r="P692" t="str">
        <f t="shared" si="43"/>
        <v>Standard</v>
      </c>
    </row>
    <row r="693" spans="1:16" x14ac:dyDescent="0.3">
      <c r="A693" s="2" t="s">
        <v>737</v>
      </c>
      <c r="B693" s="2" t="s">
        <v>24</v>
      </c>
      <c r="C693" s="3">
        <v>32</v>
      </c>
      <c r="D693" t="s">
        <v>18</v>
      </c>
      <c r="E693" s="2" t="s">
        <v>13</v>
      </c>
      <c r="F693" s="2" t="s">
        <v>38</v>
      </c>
      <c r="G693">
        <v>21</v>
      </c>
      <c r="H693" s="4">
        <v>44648</v>
      </c>
      <c r="I693" s="2" t="s">
        <v>49</v>
      </c>
      <c r="J693" s="2" t="s">
        <v>27</v>
      </c>
      <c r="M693" t="str">
        <f t="shared" si="40"/>
        <v>Male</v>
      </c>
      <c r="N693" t="str">
        <f t="shared" si="41"/>
        <v>Delhi</v>
      </c>
      <c r="O693" t="str">
        <f t="shared" si="42"/>
        <v>Kannada</v>
      </c>
      <c r="P693" t="str">
        <f t="shared" si="43"/>
        <v>Standard</v>
      </c>
    </row>
    <row r="694" spans="1:16" x14ac:dyDescent="0.3">
      <c r="A694" s="2" t="s">
        <v>738</v>
      </c>
      <c r="B694" s="2" t="s">
        <v>11</v>
      </c>
      <c r="C694" s="3">
        <v>18</v>
      </c>
      <c r="D694" t="s">
        <v>32</v>
      </c>
      <c r="E694" s="2" t="s">
        <v>13</v>
      </c>
      <c r="F694" s="2" t="s">
        <v>20</v>
      </c>
      <c r="G694">
        <v>12</v>
      </c>
      <c r="H694" s="4">
        <v>44913</v>
      </c>
      <c r="I694" s="2" t="s">
        <v>62</v>
      </c>
      <c r="J694" s="2" t="s">
        <v>22</v>
      </c>
      <c r="M694" t="str">
        <f t="shared" si="40"/>
        <v>Male</v>
      </c>
      <c r="N694" t="str">
        <f t="shared" si="41"/>
        <v>Chennai</v>
      </c>
      <c r="O694" t="str">
        <f t="shared" si="42"/>
        <v>Gujarati</v>
      </c>
      <c r="P694" t="str">
        <f t="shared" si="43"/>
        <v>Premium</v>
      </c>
    </row>
    <row r="695" spans="1:16" x14ac:dyDescent="0.3">
      <c r="A695" s="2" t="s">
        <v>739</v>
      </c>
      <c r="B695" s="2" t="s">
        <v>42</v>
      </c>
      <c r="C695" s="3">
        <v>25</v>
      </c>
      <c r="D695" t="s">
        <v>18</v>
      </c>
      <c r="E695" s="2" t="s">
        <v>13</v>
      </c>
      <c r="F695" s="2" t="s">
        <v>64</v>
      </c>
      <c r="G695">
        <v>11</v>
      </c>
      <c r="H695" s="4">
        <v>44959</v>
      </c>
      <c r="I695" s="2" t="s">
        <v>47</v>
      </c>
      <c r="J695" s="2" t="s">
        <v>16</v>
      </c>
      <c r="M695" t="str">
        <f t="shared" si="40"/>
        <v>Male</v>
      </c>
      <c r="N695" t="str">
        <f t="shared" si="41"/>
        <v>Pune</v>
      </c>
      <c r="O695" t="str">
        <f t="shared" si="42"/>
        <v>Hindi</v>
      </c>
      <c r="P695" t="str">
        <f t="shared" si="43"/>
        <v>Basic</v>
      </c>
    </row>
    <row r="696" spans="1:16" x14ac:dyDescent="0.3">
      <c r="A696" s="2" t="s">
        <v>740</v>
      </c>
      <c r="B696" s="2" t="s">
        <v>31</v>
      </c>
      <c r="C696" s="3">
        <v>47</v>
      </c>
      <c r="D696" t="s">
        <v>46</v>
      </c>
      <c r="E696" s="2" t="s">
        <v>19</v>
      </c>
      <c r="F696" s="2" t="s">
        <v>36</v>
      </c>
      <c r="G696">
        <v>19</v>
      </c>
      <c r="H696" s="4">
        <v>44695</v>
      </c>
      <c r="I696" s="2" t="s">
        <v>47</v>
      </c>
      <c r="J696" s="2" t="s">
        <v>65</v>
      </c>
      <c r="M696" t="str">
        <f t="shared" si="40"/>
        <v>Female</v>
      </c>
      <c r="N696" t="str">
        <f t="shared" si="41"/>
        <v>Ahmedabad</v>
      </c>
      <c r="O696" t="str">
        <f t="shared" si="42"/>
        <v>Hindi</v>
      </c>
      <c r="P696" t="str">
        <f t="shared" si="43"/>
        <v>Family</v>
      </c>
    </row>
    <row r="697" spans="1:16" x14ac:dyDescent="0.3">
      <c r="A697" s="2" t="s">
        <v>741</v>
      </c>
      <c r="B697" s="2" t="s">
        <v>11</v>
      </c>
      <c r="C697" s="3">
        <v>18</v>
      </c>
      <c r="D697" t="s">
        <v>32</v>
      </c>
      <c r="E697" s="2" t="s">
        <v>13</v>
      </c>
      <c r="F697" s="2" t="s">
        <v>54</v>
      </c>
      <c r="G697">
        <v>20</v>
      </c>
      <c r="H697" s="4">
        <v>44692</v>
      </c>
      <c r="I697" s="2" t="s">
        <v>21</v>
      </c>
      <c r="J697" s="2" t="s">
        <v>65</v>
      </c>
      <c r="M697" t="str">
        <f t="shared" si="40"/>
        <v>Male</v>
      </c>
      <c r="N697" t="str">
        <f t="shared" si="41"/>
        <v>Bangalore</v>
      </c>
      <c r="O697" t="str">
        <f t="shared" si="42"/>
        <v>Bengali</v>
      </c>
      <c r="P697" t="str">
        <f t="shared" si="43"/>
        <v>Family</v>
      </c>
    </row>
    <row r="698" spans="1:16" x14ac:dyDescent="0.3">
      <c r="A698" s="2" t="s">
        <v>742</v>
      </c>
      <c r="B698" s="2" t="s">
        <v>24</v>
      </c>
      <c r="C698" s="3">
        <v>25</v>
      </c>
      <c r="D698" t="s">
        <v>18</v>
      </c>
      <c r="E698" s="2" t="s">
        <v>13</v>
      </c>
      <c r="F698" s="2" t="s">
        <v>56</v>
      </c>
      <c r="G698">
        <v>41</v>
      </c>
      <c r="H698" s="4">
        <v>44057</v>
      </c>
      <c r="I698" s="2" t="s">
        <v>34</v>
      </c>
      <c r="J698" s="2" t="s">
        <v>27</v>
      </c>
      <c r="M698" t="str">
        <f t="shared" si="40"/>
        <v>Male</v>
      </c>
      <c r="N698" t="str">
        <f t="shared" si="41"/>
        <v>Hyderabad</v>
      </c>
      <c r="O698" t="str">
        <f t="shared" si="42"/>
        <v>Marathi</v>
      </c>
      <c r="P698" t="str">
        <f t="shared" si="43"/>
        <v>Standard</v>
      </c>
    </row>
    <row r="699" spans="1:16" x14ac:dyDescent="0.3">
      <c r="A699" s="2" t="s">
        <v>743</v>
      </c>
      <c r="B699" s="2" t="s">
        <v>31</v>
      </c>
      <c r="C699" s="3">
        <v>26</v>
      </c>
      <c r="D699" t="s">
        <v>18</v>
      </c>
      <c r="E699" s="2" t="s">
        <v>19</v>
      </c>
      <c r="F699" s="2" t="s">
        <v>20</v>
      </c>
      <c r="G699">
        <v>8</v>
      </c>
      <c r="H699" s="4">
        <v>45047</v>
      </c>
      <c r="I699" s="2" t="s">
        <v>39</v>
      </c>
      <c r="J699" s="2" t="s">
        <v>22</v>
      </c>
      <c r="M699" t="str">
        <f t="shared" si="40"/>
        <v>Female</v>
      </c>
      <c r="N699" t="str">
        <f t="shared" si="41"/>
        <v>Chennai</v>
      </c>
      <c r="O699" t="str">
        <f t="shared" si="42"/>
        <v>Tamil</v>
      </c>
      <c r="P699" t="str">
        <f t="shared" si="43"/>
        <v>Premium</v>
      </c>
    </row>
    <row r="700" spans="1:16" x14ac:dyDescent="0.3">
      <c r="A700" s="2" t="s">
        <v>744</v>
      </c>
      <c r="B700" s="2" t="s">
        <v>11</v>
      </c>
      <c r="C700" s="3">
        <v>26</v>
      </c>
      <c r="D700" t="s">
        <v>18</v>
      </c>
      <c r="E700" s="2" t="s">
        <v>19</v>
      </c>
      <c r="F700" s="2" t="s">
        <v>54</v>
      </c>
      <c r="G700">
        <v>22</v>
      </c>
      <c r="H700" s="4">
        <v>44605</v>
      </c>
      <c r="I700" s="2" t="s">
        <v>29</v>
      </c>
      <c r="J700" s="2" t="s">
        <v>22</v>
      </c>
      <c r="M700" t="str">
        <f t="shared" si="40"/>
        <v>Female</v>
      </c>
      <c r="N700" t="str">
        <f t="shared" si="41"/>
        <v>Bangalore</v>
      </c>
      <c r="O700" t="str">
        <f t="shared" si="42"/>
        <v>English</v>
      </c>
      <c r="P700" t="str">
        <f t="shared" si="43"/>
        <v>Premium</v>
      </c>
    </row>
    <row r="701" spans="1:16" x14ac:dyDescent="0.3">
      <c r="A701" s="2" t="s">
        <v>745</v>
      </c>
      <c r="B701" s="2" t="s">
        <v>24</v>
      </c>
      <c r="C701" s="3">
        <v>19</v>
      </c>
      <c r="D701" t="s">
        <v>32</v>
      </c>
      <c r="E701" s="2" t="s">
        <v>19</v>
      </c>
      <c r="F701" s="2" t="s">
        <v>20</v>
      </c>
      <c r="G701">
        <v>6</v>
      </c>
      <c r="H701" s="4">
        <v>45086</v>
      </c>
      <c r="I701" s="2" t="s">
        <v>47</v>
      </c>
      <c r="J701" s="2" t="s">
        <v>27</v>
      </c>
      <c r="M701" t="str">
        <f t="shared" si="40"/>
        <v>Female</v>
      </c>
      <c r="N701" t="str">
        <f t="shared" si="41"/>
        <v>Chennai</v>
      </c>
      <c r="O701" t="str">
        <f t="shared" si="42"/>
        <v>Hindi</v>
      </c>
      <c r="P701" t="str">
        <f t="shared" si="43"/>
        <v>Standard</v>
      </c>
    </row>
    <row r="702" spans="1:16" x14ac:dyDescent="0.3">
      <c r="A702" s="2" t="s">
        <v>746</v>
      </c>
      <c r="B702" s="2" t="s">
        <v>11</v>
      </c>
      <c r="C702" s="3">
        <v>18</v>
      </c>
      <c r="D702" t="s">
        <v>32</v>
      </c>
      <c r="E702" s="2" t="s">
        <v>19</v>
      </c>
      <c r="F702" s="2" t="s">
        <v>33</v>
      </c>
      <c r="G702">
        <v>34</v>
      </c>
      <c r="H702" s="4">
        <v>44246</v>
      </c>
      <c r="I702" s="2" t="s">
        <v>15</v>
      </c>
      <c r="J702" s="2" t="s">
        <v>22</v>
      </c>
      <c r="M702" t="str">
        <f t="shared" si="40"/>
        <v>Female</v>
      </c>
      <c r="N702" t="str">
        <f t="shared" si="41"/>
        <v>Jaipur</v>
      </c>
      <c r="O702" t="str">
        <f t="shared" si="42"/>
        <v>Telugu</v>
      </c>
      <c r="P702" t="str">
        <f t="shared" si="43"/>
        <v>Premium</v>
      </c>
    </row>
    <row r="703" spans="1:16" x14ac:dyDescent="0.3">
      <c r="A703" s="2" t="s">
        <v>747</v>
      </c>
      <c r="B703" s="2" t="s">
        <v>42</v>
      </c>
      <c r="C703" s="3">
        <v>60</v>
      </c>
      <c r="D703" t="s">
        <v>201</v>
      </c>
      <c r="E703" s="2" t="s">
        <v>19</v>
      </c>
      <c r="F703" s="2" t="s">
        <v>54</v>
      </c>
      <c r="G703">
        <v>54</v>
      </c>
      <c r="H703" s="4">
        <v>43660</v>
      </c>
      <c r="I703" s="2" t="s">
        <v>62</v>
      </c>
      <c r="J703" s="2" t="s">
        <v>16</v>
      </c>
      <c r="M703" t="str">
        <f t="shared" si="40"/>
        <v>Female</v>
      </c>
      <c r="N703" t="str">
        <f t="shared" si="41"/>
        <v>Bangalore</v>
      </c>
      <c r="O703" t="str">
        <f t="shared" si="42"/>
        <v>Gujarati</v>
      </c>
      <c r="P703" t="str">
        <f t="shared" si="43"/>
        <v>Basic</v>
      </c>
    </row>
    <row r="704" spans="1:16" x14ac:dyDescent="0.3">
      <c r="A704" s="2" t="s">
        <v>748</v>
      </c>
      <c r="B704" s="2" t="s">
        <v>31</v>
      </c>
      <c r="C704" s="3">
        <v>41</v>
      </c>
      <c r="D704" t="s">
        <v>12</v>
      </c>
      <c r="E704" s="2" t="s">
        <v>19</v>
      </c>
      <c r="F704" s="2" t="s">
        <v>14</v>
      </c>
      <c r="G704">
        <v>6</v>
      </c>
      <c r="H704" s="4">
        <v>45109</v>
      </c>
      <c r="I704" s="2" t="s">
        <v>62</v>
      </c>
      <c r="J704" s="2" t="s">
        <v>27</v>
      </c>
      <c r="M704" t="str">
        <f t="shared" si="40"/>
        <v>Female</v>
      </c>
      <c r="N704" t="str">
        <f t="shared" si="41"/>
        <v>Kolkata</v>
      </c>
      <c r="O704" t="str">
        <f t="shared" si="42"/>
        <v>Gujarati</v>
      </c>
      <c r="P704" t="str">
        <f t="shared" si="43"/>
        <v>Standard</v>
      </c>
    </row>
    <row r="705" spans="1:16" x14ac:dyDescent="0.3">
      <c r="A705" s="2" t="s">
        <v>749</v>
      </c>
      <c r="B705" s="2" t="s">
        <v>11</v>
      </c>
      <c r="C705" s="3">
        <v>35</v>
      </c>
      <c r="D705" t="s">
        <v>12</v>
      </c>
      <c r="E705" s="2" t="s">
        <v>13</v>
      </c>
      <c r="F705" s="2" t="s">
        <v>64</v>
      </c>
      <c r="G705">
        <v>18</v>
      </c>
      <c r="H705" s="4">
        <v>44728</v>
      </c>
      <c r="I705" s="2" t="s">
        <v>15</v>
      </c>
      <c r="J705" s="2" t="s">
        <v>27</v>
      </c>
      <c r="M705" t="str">
        <f t="shared" si="40"/>
        <v>Male</v>
      </c>
      <c r="N705" t="str">
        <f t="shared" si="41"/>
        <v>Pune</v>
      </c>
      <c r="O705" t="str">
        <f t="shared" si="42"/>
        <v>Telugu</v>
      </c>
      <c r="P705" t="str">
        <f t="shared" si="43"/>
        <v>Standard</v>
      </c>
    </row>
    <row r="706" spans="1:16" x14ac:dyDescent="0.3">
      <c r="A706" s="2" t="s">
        <v>750</v>
      </c>
      <c r="B706" s="2" t="s">
        <v>61</v>
      </c>
      <c r="C706" s="3">
        <v>25</v>
      </c>
      <c r="D706" t="s">
        <v>18</v>
      </c>
      <c r="E706" s="2" t="s">
        <v>19</v>
      </c>
      <c r="F706" s="2" t="s">
        <v>25</v>
      </c>
      <c r="G706">
        <v>24</v>
      </c>
      <c r="H706" s="4">
        <v>44554</v>
      </c>
      <c r="I706" s="2" t="s">
        <v>29</v>
      </c>
      <c r="J706" s="2" t="s">
        <v>65</v>
      </c>
      <c r="M706" t="str">
        <f t="shared" si="40"/>
        <v>Female</v>
      </c>
      <c r="N706" t="str">
        <f t="shared" si="41"/>
        <v>Mumbai</v>
      </c>
      <c r="O706" t="str">
        <f t="shared" si="42"/>
        <v>English</v>
      </c>
      <c r="P706" t="str">
        <f t="shared" si="43"/>
        <v>Family</v>
      </c>
    </row>
    <row r="707" spans="1:16" x14ac:dyDescent="0.3">
      <c r="A707" s="2" t="s">
        <v>751</v>
      </c>
      <c r="B707" s="2" t="s">
        <v>31</v>
      </c>
      <c r="C707" s="3">
        <v>29</v>
      </c>
      <c r="D707" t="s">
        <v>18</v>
      </c>
      <c r="E707" s="2" t="s">
        <v>13</v>
      </c>
      <c r="F707" s="2" t="s">
        <v>36</v>
      </c>
      <c r="G707">
        <v>21</v>
      </c>
      <c r="H707" s="4">
        <v>44641</v>
      </c>
      <c r="I707" s="2" t="s">
        <v>15</v>
      </c>
      <c r="J707" s="2" t="s">
        <v>16</v>
      </c>
      <c r="M707" t="str">
        <f t="shared" ref="M707:M770" si="44">TRIM(E707)</f>
        <v>Male</v>
      </c>
      <c r="N707" t="str">
        <f t="shared" ref="N707:N770" si="45">TRIM(F707)</f>
        <v>Ahmedabad</v>
      </c>
      <c r="O707" t="str">
        <f t="shared" ref="O707:O770" si="46">TRIM(I707)</f>
        <v>Telugu</v>
      </c>
      <c r="P707" t="str">
        <f t="shared" ref="P707:P770" si="47">TRIM(J707)</f>
        <v>Basic</v>
      </c>
    </row>
    <row r="708" spans="1:16" x14ac:dyDescent="0.3">
      <c r="A708" s="2" t="s">
        <v>752</v>
      </c>
      <c r="B708" s="2" t="s">
        <v>11</v>
      </c>
      <c r="C708" s="3">
        <v>36</v>
      </c>
      <c r="D708" t="s">
        <v>12</v>
      </c>
      <c r="E708" s="2" t="s">
        <v>13</v>
      </c>
      <c r="F708" s="2" t="s">
        <v>64</v>
      </c>
      <c r="G708">
        <v>38</v>
      </c>
      <c r="H708" s="4">
        <v>44137</v>
      </c>
      <c r="I708" s="2" t="s">
        <v>39</v>
      </c>
      <c r="J708" s="2" t="s">
        <v>16</v>
      </c>
      <c r="M708" t="str">
        <f t="shared" si="44"/>
        <v>Male</v>
      </c>
      <c r="N708" t="str">
        <f t="shared" si="45"/>
        <v>Pune</v>
      </c>
      <c r="O708" t="str">
        <f t="shared" si="46"/>
        <v>Tamil</v>
      </c>
      <c r="P708" t="str">
        <f t="shared" si="47"/>
        <v>Basic</v>
      </c>
    </row>
    <row r="709" spans="1:16" x14ac:dyDescent="0.3">
      <c r="A709" s="2" t="s">
        <v>753</v>
      </c>
      <c r="B709" s="2" t="s">
        <v>42</v>
      </c>
      <c r="C709" s="3">
        <v>26</v>
      </c>
      <c r="D709" t="s">
        <v>18</v>
      </c>
      <c r="E709" s="2" t="s">
        <v>19</v>
      </c>
      <c r="F709" s="2" t="s">
        <v>33</v>
      </c>
      <c r="G709">
        <v>39</v>
      </c>
      <c r="H709" s="4">
        <v>44099</v>
      </c>
      <c r="I709" s="2" t="s">
        <v>47</v>
      </c>
      <c r="J709" s="2" t="s">
        <v>65</v>
      </c>
      <c r="M709" t="str">
        <f t="shared" si="44"/>
        <v>Female</v>
      </c>
      <c r="N709" t="str">
        <f t="shared" si="45"/>
        <v>Jaipur</v>
      </c>
      <c r="O709" t="str">
        <f t="shared" si="46"/>
        <v>Hindi</v>
      </c>
      <c r="P709" t="str">
        <f t="shared" si="47"/>
        <v>Family</v>
      </c>
    </row>
    <row r="710" spans="1:16" x14ac:dyDescent="0.3">
      <c r="A710" s="2" t="s">
        <v>754</v>
      </c>
      <c r="B710" s="2" t="s">
        <v>61</v>
      </c>
      <c r="C710" s="3">
        <v>29</v>
      </c>
      <c r="D710" t="s">
        <v>18</v>
      </c>
      <c r="E710" s="2" t="s">
        <v>105</v>
      </c>
      <c r="F710" s="2" t="s">
        <v>54</v>
      </c>
      <c r="G710">
        <v>42</v>
      </c>
      <c r="H710" s="4">
        <v>44021</v>
      </c>
      <c r="I710" s="2" t="s">
        <v>49</v>
      </c>
      <c r="J710" s="2" t="s">
        <v>27</v>
      </c>
      <c r="M710" t="str">
        <f t="shared" si="44"/>
        <v>Non-Binary</v>
      </c>
      <c r="N710" t="str">
        <f t="shared" si="45"/>
        <v>Bangalore</v>
      </c>
      <c r="O710" t="str">
        <f t="shared" si="46"/>
        <v>Kannada</v>
      </c>
      <c r="P710" t="str">
        <f t="shared" si="47"/>
        <v>Standard</v>
      </c>
    </row>
    <row r="711" spans="1:16" x14ac:dyDescent="0.3">
      <c r="A711" s="2" t="s">
        <v>755</v>
      </c>
      <c r="B711" s="2" t="s">
        <v>24</v>
      </c>
      <c r="C711" s="3">
        <v>29</v>
      </c>
      <c r="D711" t="s">
        <v>18</v>
      </c>
      <c r="E711" s="2" t="s">
        <v>13</v>
      </c>
      <c r="F711" s="2" t="s">
        <v>33</v>
      </c>
      <c r="G711">
        <v>20</v>
      </c>
      <c r="H711" s="4">
        <v>44663</v>
      </c>
      <c r="I711" s="2" t="s">
        <v>15</v>
      </c>
      <c r="J711" s="2" t="s">
        <v>27</v>
      </c>
      <c r="M711" t="str">
        <f t="shared" si="44"/>
        <v>Male</v>
      </c>
      <c r="N711" t="str">
        <f t="shared" si="45"/>
        <v>Jaipur</v>
      </c>
      <c r="O711" t="str">
        <f t="shared" si="46"/>
        <v>Telugu</v>
      </c>
      <c r="P711" t="str">
        <f t="shared" si="47"/>
        <v>Standard</v>
      </c>
    </row>
    <row r="712" spans="1:16" x14ac:dyDescent="0.3">
      <c r="A712" s="2" t="s">
        <v>756</v>
      </c>
      <c r="B712" s="2" t="s">
        <v>42</v>
      </c>
      <c r="C712" s="3">
        <v>22</v>
      </c>
      <c r="D712" t="s">
        <v>32</v>
      </c>
      <c r="E712" s="2" t="s">
        <v>19</v>
      </c>
      <c r="F712" s="2" t="s">
        <v>14</v>
      </c>
      <c r="G712">
        <v>51</v>
      </c>
      <c r="H712" s="4">
        <v>43743</v>
      </c>
      <c r="I712" s="2" t="s">
        <v>62</v>
      </c>
      <c r="J712" s="2" t="s">
        <v>16</v>
      </c>
      <c r="M712" t="str">
        <f t="shared" si="44"/>
        <v>Female</v>
      </c>
      <c r="N712" t="str">
        <f t="shared" si="45"/>
        <v>Kolkata</v>
      </c>
      <c r="O712" t="str">
        <f t="shared" si="46"/>
        <v>Gujarati</v>
      </c>
      <c r="P712" t="str">
        <f t="shared" si="47"/>
        <v>Basic</v>
      </c>
    </row>
    <row r="713" spans="1:16" x14ac:dyDescent="0.3">
      <c r="A713" s="2" t="s">
        <v>757</v>
      </c>
      <c r="B713" s="2" t="s">
        <v>31</v>
      </c>
      <c r="C713" s="3">
        <v>45</v>
      </c>
      <c r="D713" t="s">
        <v>46</v>
      </c>
      <c r="E713" s="2" t="s">
        <v>19</v>
      </c>
      <c r="F713" s="2" t="s">
        <v>14</v>
      </c>
      <c r="G713">
        <v>57</v>
      </c>
      <c r="H713" s="4">
        <v>43568</v>
      </c>
      <c r="I713" s="2" t="s">
        <v>29</v>
      </c>
      <c r="J713" s="2" t="s">
        <v>16</v>
      </c>
      <c r="M713" t="str">
        <f t="shared" si="44"/>
        <v>Female</v>
      </c>
      <c r="N713" t="str">
        <f t="shared" si="45"/>
        <v>Kolkata</v>
      </c>
      <c r="O713" t="str">
        <f t="shared" si="46"/>
        <v>English</v>
      </c>
      <c r="P713" t="str">
        <f t="shared" si="47"/>
        <v>Basic</v>
      </c>
    </row>
    <row r="714" spans="1:16" x14ac:dyDescent="0.3">
      <c r="A714" s="2" t="s">
        <v>758</v>
      </c>
      <c r="B714" s="2" t="s">
        <v>31</v>
      </c>
      <c r="C714" s="3">
        <v>27</v>
      </c>
      <c r="D714" t="s">
        <v>18</v>
      </c>
      <c r="E714" s="2" t="s">
        <v>13</v>
      </c>
      <c r="F714" s="2" t="s">
        <v>33</v>
      </c>
      <c r="G714">
        <v>53</v>
      </c>
      <c r="H714" s="4">
        <v>43700</v>
      </c>
      <c r="I714" s="2" t="s">
        <v>34</v>
      </c>
      <c r="J714" s="2" t="s">
        <v>65</v>
      </c>
      <c r="M714" t="str">
        <f t="shared" si="44"/>
        <v>Male</v>
      </c>
      <c r="N714" t="str">
        <f t="shared" si="45"/>
        <v>Jaipur</v>
      </c>
      <c r="O714" t="str">
        <f t="shared" si="46"/>
        <v>Marathi</v>
      </c>
      <c r="P714" t="str">
        <f t="shared" si="47"/>
        <v>Family</v>
      </c>
    </row>
    <row r="715" spans="1:16" x14ac:dyDescent="0.3">
      <c r="A715" s="2" t="s">
        <v>759</v>
      </c>
      <c r="B715" s="2" t="s">
        <v>11</v>
      </c>
      <c r="C715" s="3">
        <v>36</v>
      </c>
      <c r="D715" t="s">
        <v>12</v>
      </c>
      <c r="E715" s="2" t="s">
        <v>19</v>
      </c>
      <c r="F715" s="2" t="s">
        <v>25</v>
      </c>
      <c r="G715">
        <v>56</v>
      </c>
      <c r="H715" s="4">
        <v>43609</v>
      </c>
      <c r="I715" s="2" t="s">
        <v>29</v>
      </c>
      <c r="J715" s="2" t="s">
        <v>27</v>
      </c>
      <c r="M715" t="str">
        <f t="shared" si="44"/>
        <v>Female</v>
      </c>
      <c r="N715" t="str">
        <f t="shared" si="45"/>
        <v>Mumbai</v>
      </c>
      <c r="O715" t="str">
        <f t="shared" si="46"/>
        <v>English</v>
      </c>
      <c r="P715" t="str">
        <f t="shared" si="47"/>
        <v>Standard</v>
      </c>
    </row>
    <row r="716" spans="1:16" x14ac:dyDescent="0.3">
      <c r="A716" s="2" t="s">
        <v>760</v>
      </c>
      <c r="B716" s="2" t="s">
        <v>31</v>
      </c>
      <c r="C716" s="3">
        <v>43</v>
      </c>
      <c r="D716" t="s">
        <v>12</v>
      </c>
      <c r="E716" s="2" t="s">
        <v>13</v>
      </c>
      <c r="F716" s="2" t="s">
        <v>20</v>
      </c>
      <c r="G716">
        <v>10</v>
      </c>
      <c r="H716" s="4">
        <v>44992</v>
      </c>
      <c r="I716" s="2" t="s">
        <v>47</v>
      </c>
      <c r="J716" s="2" t="s">
        <v>16</v>
      </c>
      <c r="M716" t="str">
        <f t="shared" si="44"/>
        <v>Male</v>
      </c>
      <c r="N716" t="str">
        <f t="shared" si="45"/>
        <v>Chennai</v>
      </c>
      <c r="O716" t="str">
        <f t="shared" si="46"/>
        <v>Hindi</v>
      </c>
      <c r="P716" t="str">
        <f t="shared" si="47"/>
        <v>Basic</v>
      </c>
    </row>
    <row r="717" spans="1:16" x14ac:dyDescent="0.3">
      <c r="A717" s="2" t="s">
        <v>761</v>
      </c>
      <c r="B717" s="2" t="s">
        <v>11</v>
      </c>
      <c r="C717" s="3">
        <v>39</v>
      </c>
      <c r="D717" t="s">
        <v>12</v>
      </c>
      <c r="E717" s="2" t="s">
        <v>19</v>
      </c>
      <c r="F717" s="2" t="s">
        <v>88</v>
      </c>
      <c r="G717">
        <v>1</v>
      </c>
      <c r="H717" s="4">
        <v>45237</v>
      </c>
      <c r="I717" s="2" t="s">
        <v>29</v>
      </c>
      <c r="J717" s="2" t="s">
        <v>27</v>
      </c>
      <c r="M717" t="str">
        <f t="shared" si="44"/>
        <v>Female</v>
      </c>
      <c r="N717" t="str">
        <f t="shared" si="45"/>
        <v>Lucknow</v>
      </c>
      <c r="O717" t="str">
        <f t="shared" si="46"/>
        <v>English</v>
      </c>
      <c r="P717" t="str">
        <f t="shared" si="47"/>
        <v>Standard</v>
      </c>
    </row>
    <row r="718" spans="1:16" x14ac:dyDescent="0.3">
      <c r="A718" s="2" t="s">
        <v>762</v>
      </c>
      <c r="B718" s="2" t="s">
        <v>42</v>
      </c>
      <c r="C718" s="3">
        <v>24</v>
      </c>
      <c r="D718" t="s">
        <v>32</v>
      </c>
      <c r="E718" s="2" t="s">
        <v>13</v>
      </c>
      <c r="F718" s="2" t="s">
        <v>25</v>
      </c>
      <c r="G718">
        <v>40</v>
      </c>
      <c r="H718" s="4">
        <v>44076</v>
      </c>
      <c r="I718" s="2" t="s">
        <v>29</v>
      </c>
      <c r="J718" s="2" t="s">
        <v>16</v>
      </c>
      <c r="M718" t="str">
        <f t="shared" si="44"/>
        <v>Male</v>
      </c>
      <c r="N718" t="str">
        <f t="shared" si="45"/>
        <v>Mumbai</v>
      </c>
      <c r="O718" t="str">
        <f t="shared" si="46"/>
        <v>English</v>
      </c>
      <c r="P718" t="str">
        <f t="shared" si="47"/>
        <v>Basic</v>
      </c>
    </row>
    <row r="719" spans="1:16" x14ac:dyDescent="0.3">
      <c r="A719" s="2" t="s">
        <v>763</v>
      </c>
      <c r="B719" s="2" t="s">
        <v>31</v>
      </c>
      <c r="C719" s="3">
        <v>31</v>
      </c>
      <c r="D719" t="s">
        <v>18</v>
      </c>
      <c r="E719" s="2" t="s">
        <v>19</v>
      </c>
      <c r="F719" s="2" t="s">
        <v>25</v>
      </c>
      <c r="G719">
        <v>16</v>
      </c>
      <c r="H719" s="4">
        <v>44786</v>
      </c>
      <c r="I719" s="2" t="s">
        <v>29</v>
      </c>
      <c r="J719" s="2" t="s">
        <v>22</v>
      </c>
      <c r="M719" t="str">
        <f t="shared" si="44"/>
        <v>Female</v>
      </c>
      <c r="N719" t="str">
        <f t="shared" si="45"/>
        <v>Mumbai</v>
      </c>
      <c r="O719" t="str">
        <f t="shared" si="46"/>
        <v>English</v>
      </c>
      <c r="P719" t="str">
        <f t="shared" si="47"/>
        <v>Premium</v>
      </c>
    </row>
    <row r="720" spans="1:16" x14ac:dyDescent="0.3">
      <c r="A720" s="2" t="s">
        <v>764</v>
      </c>
      <c r="B720" s="2" t="s">
        <v>31</v>
      </c>
      <c r="C720" s="3">
        <v>18</v>
      </c>
      <c r="D720" t="s">
        <v>32</v>
      </c>
      <c r="E720" s="2" t="s">
        <v>19</v>
      </c>
      <c r="F720" s="2" t="s">
        <v>56</v>
      </c>
      <c r="G720">
        <v>37</v>
      </c>
      <c r="H720" s="4">
        <v>44156</v>
      </c>
      <c r="I720" s="2" t="s">
        <v>47</v>
      </c>
      <c r="J720" s="2" t="s">
        <v>27</v>
      </c>
      <c r="M720" t="str">
        <f t="shared" si="44"/>
        <v>Female</v>
      </c>
      <c r="N720" t="str">
        <f t="shared" si="45"/>
        <v>Hyderabad</v>
      </c>
      <c r="O720" t="str">
        <f t="shared" si="46"/>
        <v>Hindi</v>
      </c>
      <c r="P720" t="str">
        <f t="shared" si="47"/>
        <v>Standard</v>
      </c>
    </row>
    <row r="721" spans="1:16" x14ac:dyDescent="0.3">
      <c r="A721" s="2" t="s">
        <v>765</v>
      </c>
      <c r="B721" s="2" t="s">
        <v>31</v>
      </c>
      <c r="C721" s="3">
        <v>25</v>
      </c>
      <c r="D721" t="s">
        <v>18</v>
      </c>
      <c r="E721" s="2" t="s">
        <v>13</v>
      </c>
      <c r="F721" s="2" t="s">
        <v>14</v>
      </c>
      <c r="G721">
        <v>10</v>
      </c>
      <c r="H721" s="4">
        <v>44969</v>
      </c>
      <c r="I721" s="2" t="s">
        <v>47</v>
      </c>
      <c r="J721" s="2" t="s">
        <v>27</v>
      </c>
      <c r="M721" t="str">
        <f t="shared" si="44"/>
        <v>Male</v>
      </c>
      <c r="N721" t="str">
        <f t="shared" si="45"/>
        <v>Kolkata</v>
      </c>
      <c r="O721" t="str">
        <f t="shared" si="46"/>
        <v>Hindi</v>
      </c>
      <c r="P721" t="str">
        <f t="shared" si="47"/>
        <v>Standard</v>
      </c>
    </row>
    <row r="722" spans="1:16" x14ac:dyDescent="0.3">
      <c r="A722" s="2" t="s">
        <v>766</v>
      </c>
      <c r="B722" s="2" t="s">
        <v>61</v>
      </c>
      <c r="C722" s="3">
        <v>20</v>
      </c>
      <c r="D722" t="s">
        <v>32</v>
      </c>
      <c r="E722" s="2" t="s">
        <v>13</v>
      </c>
      <c r="F722" s="2" t="s">
        <v>88</v>
      </c>
      <c r="G722">
        <v>15</v>
      </c>
      <c r="H722" s="4">
        <v>44829</v>
      </c>
      <c r="I722" s="2" t="s">
        <v>34</v>
      </c>
      <c r="J722" s="2" t="s">
        <v>27</v>
      </c>
      <c r="M722" t="str">
        <f t="shared" si="44"/>
        <v>Male</v>
      </c>
      <c r="N722" t="str">
        <f t="shared" si="45"/>
        <v>Lucknow</v>
      </c>
      <c r="O722" t="str">
        <f t="shared" si="46"/>
        <v>Marathi</v>
      </c>
      <c r="P722" t="str">
        <f t="shared" si="47"/>
        <v>Standard</v>
      </c>
    </row>
    <row r="723" spans="1:16" x14ac:dyDescent="0.3">
      <c r="A723" s="2" t="s">
        <v>767</v>
      </c>
      <c r="B723" s="2" t="s">
        <v>61</v>
      </c>
      <c r="C723" s="3">
        <v>31</v>
      </c>
      <c r="D723" t="s">
        <v>18</v>
      </c>
      <c r="E723" s="2" t="s">
        <v>13</v>
      </c>
      <c r="F723" s="2" t="s">
        <v>38</v>
      </c>
      <c r="G723">
        <v>16</v>
      </c>
      <c r="H723" s="4">
        <v>44803</v>
      </c>
      <c r="I723" s="2" t="s">
        <v>62</v>
      </c>
      <c r="J723" s="2" t="s">
        <v>65</v>
      </c>
      <c r="M723" t="str">
        <f t="shared" si="44"/>
        <v>Male</v>
      </c>
      <c r="N723" t="str">
        <f t="shared" si="45"/>
        <v>Delhi</v>
      </c>
      <c r="O723" t="str">
        <f t="shared" si="46"/>
        <v>Gujarati</v>
      </c>
      <c r="P723" t="str">
        <f t="shared" si="47"/>
        <v>Family</v>
      </c>
    </row>
    <row r="724" spans="1:16" x14ac:dyDescent="0.3">
      <c r="A724" s="2" t="s">
        <v>768</v>
      </c>
      <c r="B724" s="2" t="s">
        <v>24</v>
      </c>
      <c r="C724" s="3">
        <v>47</v>
      </c>
      <c r="D724" t="s">
        <v>46</v>
      </c>
      <c r="E724" s="2" t="s">
        <v>13</v>
      </c>
      <c r="F724" s="2" t="s">
        <v>88</v>
      </c>
      <c r="G724">
        <v>21</v>
      </c>
      <c r="H724" s="4">
        <v>44662</v>
      </c>
      <c r="I724" s="2" t="s">
        <v>15</v>
      </c>
      <c r="J724" s="2" t="s">
        <v>27</v>
      </c>
      <c r="M724" t="str">
        <f t="shared" si="44"/>
        <v>Male</v>
      </c>
      <c r="N724" t="str">
        <f t="shared" si="45"/>
        <v>Lucknow</v>
      </c>
      <c r="O724" t="str">
        <f t="shared" si="46"/>
        <v>Telugu</v>
      </c>
      <c r="P724" t="str">
        <f t="shared" si="47"/>
        <v>Standard</v>
      </c>
    </row>
    <row r="725" spans="1:16" x14ac:dyDescent="0.3">
      <c r="A725" s="2" t="s">
        <v>769</v>
      </c>
      <c r="B725" s="2" t="s">
        <v>31</v>
      </c>
      <c r="C725" s="3">
        <v>22</v>
      </c>
      <c r="D725" t="s">
        <v>32</v>
      </c>
      <c r="E725" s="2" t="s">
        <v>19</v>
      </c>
      <c r="F725" s="2" t="s">
        <v>38</v>
      </c>
      <c r="G725">
        <v>25</v>
      </c>
      <c r="H725" s="4">
        <v>44521</v>
      </c>
      <c r="I725" s="2" t="s">
        <v>26</v>
      </c>
      <c r="J725" s="2" t="s">
        <v>27</v>
      </c>
      <c r="M725" t="str">
        <f t="shared" si="44"/>
        <v>Female</v>
      </c>
      <c r="N725" t="str">
        <f t="shared" si="45"/>
        <v>Delhi</v>
      </c>
      <c r="O725" t="str">
        <f t="shared" si="46"/>
        <v>Malayalam</v>
      </c>
      <c r="P725" t="str">
        <f t="shared" si="47"/>
        <v>Standard</v>
      </c>
    </row>
    <row r="726" spans="1:16" x14ac:dyDescent="0.3">
      <c r="A726" s="2" t="s">
        <v>770</v>
      </c>
      <c r="B726" s="2" t="s">
        <v>11</v>
      </c>
      <c r="C726" s="3">
        <v>23</v>
      </c>
      <c r="D726" t="s">
        <v>32</v>
      </c>
      <c r="E726" s="2" t="s">
        <v>19</v>
      </c>
      <c r="F726" s="2" t="s">
        <v>14</v>
      </c>
      <c r="G726">
        <v>24</v>
      </c>
      <c r="H726" s="4">
        <v>44563</v>
      </c>
      <c r="I726" s="2" t="s">
        <v>34</v>
      </c>
      <c r="J726" s="2" t="s">
        <v>16</v>
      </c>
      <c r="M726" t="str">
        <f t="shared" si="44"/>
        <v>Female</v>
      </c>
      <c r="N726" t="str">
        <f t="shared" si="45"/>
        <v>Kolkata</v>
      </c>
      <c r="O726" t="str">
        <f t="shared" si="46"/>
        <v>Marathi</v>
      </c>
      <c r="P726" t="str">
        <f t="shared" si="47"/>
        <v>Basic</v>
      </c>
    </row>
    <row r="727" spans="1:16" x14ac:dyDescent="0.3">
      <c r="A727" s="2" t="s">
        <v>771</v>
      </c>
      <c r="B727" s="2" t="s">
        <v>31</v>
      </c>
      <c r="C727" s="3">
        <v>33</v>
      </c>
      <c r="D727" t="s">
        <v>18</v>
      </c>
      <c r="E727" s="2" t="s">
        <v>19</v>
      </c>
      <c r="F727" s="2" t="s">
        <v>36</v>
      </c>
      <c r="G727">
        <v>51</v>
      </c>
      <c r="H727" s="4">
        <v>43741</v>
      </c>
      <c r="I727" s="2" t="s">
        <v>29</v>
      </c>
      <c r="J727" s="2" t="s">
        <v>16</v>
      </c>
      <c r="M727" t="str">
        <f t="shared" si="44"/>
        <v>Female</v>
      </c>
      <c r="N727" t="str">
        <f t="shared" si="45"/>
        <v>Ahmedabad</v>
      </c>
      <c r="O727" t="str">
        <f t="shared" si="46"/>
        <v>English</v>
      </c>
      <c r="P727" t="str">
        <f t="shared" si="47"/>
        <v>Basic</v>
      </c>
    </row>
    <row r="728" spans="1:16" x14ac:dyDescent="0.3">
      <c r="A728" s="2" t="s">
        <v>772</v>
      </c>
      <c r="B728" s="2" t="s">
        <v>24</v>
      </c>
      <c r="C728" s="3">
        <v>33</v>
      </c>
      <c r="D728" t="s">
        <v>18</v>
      </c>
      <c r="E728" s="2" t="s">
        <v>19</v>
      </c>
      <c r="F728" s="2" t="s">
        <v>14</v>
      </c>
      <c r="G728">
        <v>9</v>
      </c>
      <c r="H728" s="4">
        <v>45019</v>
      </c>
      <c r="I728" s="2" t="s">
        <v>34</v>
      </c>
      <c r="J728" s="2" t="s">
        <v>22</v>
      </c>
      <c r="M728" t="str">
        <f t="shared" si="44"/>
        <v>Female</v>
      </c>
      <c r="N728" t="str">
        <f t="shared" si="45"/>
        <v>Kolkata</v>
      </c>
      <c r="O728" t="str">
        <f t="shared" si="46"/>
        <v>Marathi</v>
      </c>
      <c r="P728" t="str">
        <f t="shared" si="47"/>
        <v>Premium</v>
      </c>
    </row>
    <row r="729" spans="1:16" x14ac:dyDescent="0.3">
      <c r="A729" s="2" t="s">
        <v>773</v>
      </c>
      <c r="B729" s="2" t="s">
        <v>11</v>
      </c>
      <c r="C729" s="3">
        <v>22</v>
      </c>
      <c r="D729" t="s">
        <v>32</v>
      </c>
      <c r="E729" s="2" t="s">
        <v>13</v>
      </c>
      <c r="F729" s="2" t="s">
        <v>36</v>
      </c>
      <c r="G729">
        <v>48</v>
      </c>
      <c r="H729" s="4">
        <v>43829</v>
      </c>
      <c r="I729" s="2" t="s">
        <v>39</v>
      </c>
      <c r="J729" s="2" t="s">
        <v>22</v>
      </c>
      <c r="M729" t="str">
        <f t="shared" si="44"/>
        <v>Male</v>
      </c>
      <c r="N729" t="str">
        <f t="shared" si="45"/>
        <v>Ahmedabad</v>
      </c>
      <c r="O729" t="str">
        <f t="shared" si="46"/>
        <v>Tamil</v>
      </c>
      <c r="P729" t="str">
        <f t="shared" si="47"/>
        <v>Premium</v>
      </c>
    </row>
    <row r="730" spans="1:16" x14ac:dyDescent="0.3">
      <c r="A730" s="2" t="s">
        <v>774</v>
      </c>
      <c r="B730" s="2" t="s">
        <v>24</v>
      </c>
      <c r="C730" s="3">
        <v>30</v>
      </c>
      <c r="D730" t="s">
        <v>18</v>
      </c>
      <c r="E730" s="2" t="s">
        <v>13</v>
      </c>
      <c r="F730" s="2" t="s">
        <v>33</v>
      </c>
      <c r="G730">
        <v>50</v>
      </c>
      <c r="H730" s="4">
        <v>43783</v>
      </c>
      <c r="I730" s="2" t="s">
        <v>21</v>
      </c>
      <c r="J730" s="2" t="s">
        <v>65</v>
      </c>
      <c r="M730" t="str">
        <f t="shared" si="44"/>
        <v>Male</v>
      </c>
      <c r="N730" t="str">
        <f t="shared" si="45"/>
        <v>Jaipur</v>
      </c>
      <c r="O730" t="str">
        <f t="shared" si="46"/>
        <v>Bengali</v>
      </c>
      <c r="P730" t="str">
        <f t="shared" si="47"/>
        <v>Family</v>
      </c>
    </row>
    <row r="731" spans="1:16" x14ac:dyDescent="0.3">
      <c r="A731" s="2" t="s">
        <v>775</v>
      </c>
      <c r="B731" s="2" t="s">
        <v>24</v>
      </c>
      <c r="C731" s="3">
        <v>36</v>
      </c>
      <c r="D731" t="s">
        <v>12</v>
      </c>
      <c r="E731" s="2" t="s">
        <v>19</v>
      </c>
      <c r="F731" s="2" t="s">
        <v>54</v>
      </c>
      <c r="G731">
        <v>3</v>
      </c>
      <c r="H731" s="4">
        <v>45177</v>
      </c>
      <c r="I731" s="2" t="s">
        <v>15</v>
      </c>
      <c r="J731" s="2" t="s">
        <v>27</v>
      </c>
      <c r="M731" t="str">
        <f t="shared" si="44"/>
        <v>Female</v>
      </c>
      <c r="N731" t="str">
        <f t="shared" si="45"/>
        <v>Bangalore</v>
      </c>
      <c r="O731" t="str">
        <f t="shared" si="46"/>
        <v>Telugu</v>
      </c>
      <c r="P731" t="str">
        <f t="shared" si="47"/>
        <v>Standard</v>
      </c>
    </row>
    <row r="732" spans="1:16" x14ac:dyDescent="0.3">
      <c r="A732" s="2" t="s">
        <v>776</v>
      </c>
      <c r="B732" s="2" t="s">
        <v>24</v>
      </c>
      <c r="C732" s="3">
        <v>47</v>
      </c>
      <c r="D732" t="s">
        <v>46</v>
      </c>
      <c r="E732" s="2" t="s">
        <v>19</v>
      </c>
      <c r="F732" s="2" t="s">
        <v>88</v>
      </c>
      <c r="G732">
        <v>52</v>
      </c>
      <c r="H732" s="4">
        <v>43719</v>
      </c>
      <c r="I732" s="2" t="s">
        <v>29</v>
      </c>
      <c r="J732" s="2" t="s">
        <v>65</v>
      </c>
      <c r="M732" t="str">
        <f t="shared" si="44"/>
        <v>Female</v>
      </c>
      <c r="N732" t="str">
        <f t="shared" si="45"/>
        <v>Lucknow</v>
      </c>
      <c r="O732" t="str">
        <f t="shared" si="46"/>
        <v>English</v>
      </c>
      <c r="P732" t="str">
        <f t="shared" si="47"/>
        <v>Family</v>
      </c>
    </row>
    <row r="733" spans="1:16" x14ac:dyDescent="0.3">
      <c r="A733" s="2" t="s">
        <v>777</v>
      </c>
      <c r="B733" s="2" t="s">
        <v>11</v>
      </c>
      <c r="C733" s="3">
        <v>29</v>
      </c>
      <c r="D733" t="s">
        <v>18</v>
      </c>
      <c r="E733" s="2" t="s">
        <v>13</v>
      </c>
      <c r="F733" s="2" t="s">
        <v>36</v>
      </c>
      <c r="G733">
        <v>57</v>
      </c>
      <c r="H733" s="4">
        <v>43558</v>
      </c>
      <c r="I733" s="2" t="s">
        <v>47</v>
      </c>
      <c r="J733" s="2" t="s">
        <v>27</v>
      </c>
      <c r="M733" t="str">
        <f t="shared" si="44"/>
        <v>Male</v>
      </c>
      <c r="N733" t="str">
        <f t="shared" si="45"/>
        <v>Ahmedabad</v>
      </c>
      <c r="O733" t="str">
        <f t="shared" si="46"/>
        <v>Hindi</v>
      </c>
      <c r="P733" t="str">
        <f t="shared" si="47"/>
        <v>Standard</v>
      </c>
    </row>
    <row r="734" spans="1:16" x14ac:dyDescent="0.3">
      <c r="A734" s="2" t="s">
        <v>778</v>
      </c>
      <c r="B734" s="2" t="s">
        <v>42</v>
      </c>
      <c r="C734" s="3">
        <v>32</v>
      </c>
      <c r="D734" t="s">
        <v>18</v>
      </c>
      <c r="E734" s="2" t="s">
        <v>13</v>
      </c>
      <c r="F734" s="2" t="s">
        <v>64</v>
      </c>
      <c r="G734">
        <v>34</v>
      </c>
      <c r="H734" s="4">
        <v>44252</v>
      </c>
      <c r="I734" s="2" t="s">
        <v>21</v>
      </c>
      <c r="J734" s="2" t="s">
        <v>16</v>
      </c>
      <c r="M734" t="str">
        <f t="shared" si="44"/>
        <v>Male</v>
      </c>
      <c r="N734" t="str">
        <f t="shared" si="45"/>
        <v>Pune</v>
      </c>
      <c r="O734" t="str">
        <f t="shared" si="46"/>
        <v>Bengali</v>
      </c>
      <c r="P734" t="str">
        <f t="shared" si="47"/>
        <v>Basic</v>
      </c>
    </row>
    <row r="735" spans="1:16" x14ac:dyDescent="0.3">
      <c r="A735" s="2" t="s">
        <v>779</v>
      </c>
      <c r="B735" s="2" t="s">
        <v>31</v>
      </c>
      <c r="C735" s="3">
        <v>21</v>
      </c>
      <c r="D735" t="s">
        <v>32</v>
      </c>
      <c r="E735" s="2" t="s">
        <v>19</v>
      </c>
      <c r="F735" s="2" t="s">
        <v>33</v>
      </c>
      <c r="G735">
        <v>46</v>
      </c>
      <c r="H735" s="4">
        <v>43886</v>
      </c>
      <c r="I735" s="2" t="s">
        <v>29</v>
      </c>
      <c r="J735" s="2" t="s">
        <v>22</v>
      </c>
      <c r="M735" t="str">
        <f t="shared" si="44"/>
        <v>Female</v>
      </c>
      <c r="N735" t="str">
        <f t="shared" si="45"/>
        <v>Jaipur</v>
      </c>
      <c r="O735" t="str">
        <f t="shared" si="46"/>
        <v>English</v>
      </c>
      <c r="P735" t="str">
        <f t="shared" si="47"/>
        <v>Premium</v>
      </c>
    </row>
    <row r="736" spans="1:16" x14ac:dyDescent="0.3">
      <c r="A736" s="2" t="s">
        <v>780</v>
      </c>
      <c r="B736" s="2" t="s">
        <v>11</v>
      </c>
      <c r="C736" s="3">
        <v>38</v>
      </c>
      <c r="D736" t="s">
        <v>12</v>
      </c>
      <c r="E736" s="2" t="s">
        <v>19</v>
      </c>
      <c r="F736" s="2" t="s">
        <v>25</v>
      </c>
      <c r="G736">
        <v>17</v>
      </c>
      <c r="H736" s="4">
        <v>44759</v>
      </c>
      <c r="I736" s="2" t="s">
        <v>39</v>
      </c>
      <c r="J736" s="2" t="s">
        <v>27</v>
      </c>
      <c r="M736" t="str">
        <f t="shared" si="44"/>
        <v>Female</v>
      </c>
      <c r="N736" t="str">
        <f t="shared" si="45"/>
        <v>Mumbai</v>
      </c>
      <c r="O736" t="str">
        <f t="shared" si="46"/>
        <v>Tamil</v>
      </c>
      <c r="P736" t="str">
        <f t="shared" si="47"/>
        <v>Standard</v>
      </c>
    </row>
    <row r="737" spans="1:16" x14ac:dyDescent="0.3">
      <c r="A737" s="2" t="s">
        <v>781</v>
      </c>
      <c r="B737" s="2" t="s">
        <v>42</v>
      </c>
      <c r="C737" s="3">
        <v>31</v>
      </c>
      <c r="D737" t="s">
        <v>18</v>
      </c>
      <c r="E737" s="2" t="s">
        <v>19</v>
      </c>
      <c r="F737" s="2" t="s">
        <v>20</v>
      </c>
      <c r="G737">
        <v>1</v>
      </c>
      <c r="H737" s="4">
        <v>45256</v>
      </c>
      <c r="I737" s="2" t="s">
        <v>49</v>
      </c>
      <c r="J737" s="2" t="s">
        <v>16</v>
      </c>
      <c r="M737" t="str">
        <f t="shared" si="44"/>
        <v>Female</v>
      </c>
      <c r="N737" t="str">
        <f t="shared" si="45"/>
        <v>Chennai</v>
      </c>
      <c r="O737" t="str">
        <f t="shared" si="46"/>
        <v>Kannada</v>
      </c>
      <c r="P737" t="str">
        <f t="shared" si="47"/>
        <v>Basic</v>
      </c>
    </row>
    <row r="738" spans="1:16" x14ac:dyDescent="0.3">
      <c r="A738" s="2" t="s">
        <v>782</v>
      </c>
      <c r="B738" s="2" t="s">
        <v>11</v>
      </c>
      <c r="C738" s="3">
        <v>23</v>
      </c>
      <c r="D738" t="s">
        <v>32</v>
      </c>
      <c r="E738" s="2" t="s">
        <v>19</v>
      </c>
      <c r="F738" s="2" t="s">
        <v>14</v>
      </c>
      <c r="G738">
        <v>58</v>
      </c>
      <c r="H738" s="4">
        <v>43541</v>
      </c>
      <c r="I738" s="2" t="s">
        <v>15</v>
      </c>
      <c r="J738" s="2" t="s">
        <v>22</v>
      </c>
      <c r="M738" t="str">
        <f t="shared" si="44"/>
        <v>Female</v>
      </c>
      <c r="N738" t="str">
        <f t="shared" si="45"/>
        <v>Kolkata</v>
      </c>
      <c r="O738" t="str">
        <f t="shared" si="46"/>
        <v>Telugu</v>
      </c>
      <c r="P738" t="str">
        <f t="shared" si="47"/>
        <v>Premium</v>
      </c>
    </row>
    <row r="739" spans="1:16" x14ac:dyDescent="0.3">
      <c r="A739" s="2" t="s">
        <v>783</v>
      </c>
      <c r="B739" s="2" t="s">
        <v>42</v>
      </c>
      <c r="C739" s="3">
        <v>35</v>
      </c>
      <c r="D739" t="s">
        <v>12</v>
      </c>
      <c r="E739" s="2" t="s">
        <v>13</v>
      </c>
      <c r="F739" s="2" t="s">
        <v>36</v>
      </c>
      <c r="G739">
        <v>23</v>
      </c>
      <c r="H739" s="4">
        <v>44596</v>
      </c>
      <c r="I739" s="2" t="s">
        <v>15</v>
      </c>
      <c r="J739" s="2" t="s">
        <v>22</v>
      </c>
      <c r="M739" t="str">
        <f t="shared" si="44"/>
        <v>Male</v>
      </c>
      <c r="N739" t="str">
        <f t="shared" si="45"/>
        <v>Ahmedabad</v>
      </c>
      <c r="O739" t="str">
        <f t="shared" si="46"/>
        <v>Telugu</v>
      </c>
      <c r="P739" t="str">
        <f t="shared" si="47"/>
        <v>Premium</v>
      </c>
    </row>
    <row r="740" spans="1:16" x14ac:dyDescent="0.3">
      <c r="A740" s="2" t="s">
        <v>784</v>
      </c>
      <c r="B740" s="2" t="s">
        <v>24</v>
      </c>
      <c r="C740" s="3">
        <v>37</v>
      </c>
      <c r="D740" t="s">
        <v>12</v>
      </c>
      <c r="E740" s="2" t="s">
        <v>13</v>
      </c>
      <c r="F740" s="2" t="s">
        <v>20</v>
      </c>
      <c r="G740">
        <v>2</v>
      </c>
      <c r="H740" s="4">
        <v>45203</v>
      </c>
      <c r="I740" s="2" t="s">
        <v>21</v>
      </c>
      <c r="J740" s="2" t="s">
        <v>16</v>
      </c>
      <c r="M740" t="str">
        <f t="shared" si="44"/>
        <v>Male</v>
      </c>
      <c r="N740" t="str">
        <f t="shared" si="45"/>
        <v>Chennai</v>
      </c>
      <c r="O740" t="str">
        <f t="shared" si="46"/>
        <v>Bengali</v>
      </c>
      <c r="P740" t="str">
        <f t="shared" si="47"/>
        <v>Basic</v>
      </c>
    </row>
    <row r="741" spans="1:16" x14ac:dyDescent="0.3">
      <c r="A741" s="2" t="s">
        <v>785</v>
      </c>
      <c r="B741" s="2" t="s">
        <v>31</v>
      </c>
      <c r="C741" s="3">
        <v>26</v>
      </c>
      <c r="D741" t="s">
        <v>18</v>
      </c>
      <c r="E741" s="2" t="s">
        <v>13</v>
      </c>
      <c r="F741" s="2" t="s">
        <v>36</v>
      </c>
      <c r="G741">
        <v>50</v>
      </c>
      <c r="H741" s="4">
        <v>43771</v>
      </c>
      <c r="I741" s="2" t="s">
        <v>15</v>
      </c>
      <c r="J741" s="2" t="s">
        <v>27</v>
      </c>
      <c r="M741" t="str">
        <f t="shared" si="44"/>
        <v>Male</v>
      </c>
      <c r="N741" t="str">
        <f t="shared" si="45"/>
        <v>Ahmedabad</v>
      </c>
      <c r="O741" t="str">
        <f t="shared" si="46"/>
        <v>Telugu</v>
      </c>
      <c r="P741" t="str">
        <f t="shared" si="47"/>
        <v>Standard</v>
      </c>
    </row>
    <row r="742" spans="1:16" x14ac:dyDescent="0.3">
      <c r="A742" s="2" t="s">
        <v>786</v>
      </c>
      <c r="B742" s="2" t="s">
        <v>11</v>
      </c>
      <c r="C742" s="3">
        <v>44</v>
      </c>
      <c r="D742" t="s">
        <v>12</v>
      </c>
      <c r="E742" s="2" t="s">
        <v>13</v>
      </c>
      <c r="F742" s="2" t="s">
        <v>33</v>
      </c>
      <c r="G742">
        <v>2</v>
      </c>
      <c r="H742" s="4">
        <v>45222</v>
      </c>
      <c r="I742" s="2" t="s">
        <v>47</v>
      </c>
      <c r="J742" s="2" t="s">
        <v>22</v>
      </c>
      <c r="M742" t="str">
        <f t="shared" si="44"/>
        <v>Male</v>
      </c>
      <c r="N742" t="str">
        <f t="shared" si="45"/>
        <v>Jaipur</v>
      </c>
      <c r="O742" t="str">
        <f t="shared" si="46"/>
        <v>Hindi</v>
      </c>
      <c r="P742" t="str">
        <f t="shared" si="47"/>
        <v>Premium</v>
      </c>
    </row>
    <row r="743" spans="1:16" x14ac:dyDescent="0.3">
      <c r="A743" s="2" t="s">
        <v>787</v>
      </c>
      <c r="B743" s="2" t="s">
        <v>31</v>
      </c>
      <c r="C743" s="3">
        <v>25</v>
      </c>
      <c r="D743" t="s">
        <v>18</v>
      </c>
      <c r="E743" s="2" t="s">
        <v>19</v>
      </c>
      <c r="F743" s="2" t="s">
        <v>20</v>
      </c>
      <c r="G743">
        <v>20</v>
      </c>
      <c r="H743" s="4">
        <v>44668</v>
      </c>
      <c r="I743" s="2" t="s">
        <v>39</v>
      </c>
      <c r="J743" s="2" t="s">
        <v>65</v>
      </c>
      <c r="M743" t="str">
        <f t="shared" si="44"/>
        <v>Female</v>
      </c>
      <c r="N743" t="str">
        <f t="shared" si="45"/>
        <v>Chennai</v>
      </c>
      <c r="O743" t="str">
        <f t="shared" si="46"/>
        <v>Tamil</v>
      </c>
      <c r="P743" t="str">
        <f t="shared" si="47"/>
        <v>Family</v>
      </c>
    </row>
    <row r="744" spans="1:16" x14ac:dyDescent="0.3">
      <c r="A744" s="2" t="s">
        <v>788</v>
      </c>
      <c r="B744" s="2" t="s">
        <v>42</v>
      </c>
      <c r="C744" s="3">
        <v>32</v>
      </c>
      <c r="D744" t="s">
        <v>18</v>
      </c>
      <c r="E744" s="2" t="s">
        <v>13</v>
      </c>
      <c r="F744" s="2" t="s">
        <v>14</v>
      </c>
      <c r="G744">
        <v>21</v>
      </c>
      <c r="H744" s="4">
        <v>44645</v>
      </c>
      <c r="I744" s="2" t="s">
        <v>47</v>
      </c>
      <c r="J744" s="2" t="s">
        <v>16</v>
      </c>
      <c r="M744" t="str">
        <f t="shared" si="44"/>
        <v>Male</v>
      </c>
      <c r="N744" t="str">
        <f t="shared" si="45"/>
        <v>Kolkata</v>
      </c>
      <c r="O744" t="str">
        <f t="shared" si="46"/>
        <v>Hindi</v>
      </c>
      <c r="P744" t="str">
        <f t="shared" si="47"/>
        <v>Basic</v>
      </c>
    </row>
    <row r="745" spans="1:16" x14ac:dyDescent="0.3">
      <c r="A745" s="2" t="s">
        <v>789</v>
      </c>
      <c r="B745" s="2" t="s">
        <v>31</v>
      </c>
      <c r="C745" s="3">
        <v>18</v>
      </c>
      <c r="D745" t="s">
        <v>32</v>
      </c>
      <c r="E745" s="2" t="s">
        <v>13</v>
      </c>
      <c r="F745" s="2" t="s">
        <v>64</v>
      </c>
      <c r="G745">
        <v>2</v>
      </c>
      <c r="H745" s="4">
        <v>45221</v>
      </c>
      <c r="I745" s="2" t="s">
        <v>47</v>
      </c>
      <c r="J745" s="2" t="s">
        <v>22</v>
      </c>
      <c r="M745" t="str">
        <f t="shared" si="44"/>
        <v>Male</v>
      </c>
      <c r="N745" t="str">
        <f t="shared" si="45"/>
        <v>Pune</v>
      </c>
      <c r="O745" t="str">
        <f t="shared" si="46"/>
        <v>Hindi</v>
      </c>
      <c r="P745" t="str">
        <f t="shared" si="47"/>
        <v>Premium</v>
      </c>
    </row>
    <row r="746" spans="1:16" x14ac:dyDescent="0.3">
      <c r="A746" s="2" t="s">
        <v>790</v>
      </c>
      <c r="B746" s="2" t="s">
        <v>11</v>
      </c>
      <c r="C746" s="3">
        <v>45</v>
      </c>
      <c r="D746" t="s">
        <v>46</v>
      </c>
      <c r="E746" s="2" t="s">
        <v>13</v>
      </c>
      <c r="F746" s="2" t="s">
        <v>36</v>
      </c>
      <c r="G746">
        <v>14</v>
      </c>
      <c r="H746" s="4">
        <v>44847</v>
      </c>
      <c r="I746" s="2" t="s">
        <v>29</v>
      </c>
      <c r="J746" s="2" t="s">
        <v>16</v>
      </c>
      <c r="M746" t="str">
        <f t="shared" si="44"/>
        <v>Male</v>
      </c>
      <c r="N746" t="str">
        <f t="shared" si="45"/>
        <v>Ahmedabad</v>
      </c>
      <c r="O746" t="str">
        <f t="shared" si="46"/>
        <v>English</v>
      </c>
      <c r="P746" t="str">
        <f t="shared" si="47"/>
        <v>Basic</v>
      </c>
    </row>
    <row r="747" spans="1:16" x14ac:dyDescent="0.3">
      <c r="A747" s="2" t="s">
        <v>791</v>
      </c>
      <c r="B747" s="2" t="s">
        <v>24</v>
      </c>
      <c r="C747" s="3">
        <v>33</v>
      </c>
      <c r="D747" t="s">
        <v>18</v>
      </c>
      <c r="E747" s="2" t="s">
        <v>13</v>
      </c>
      <c r="F747" s="2" t="s">
        <v>36</v>
      </c>
      <c r="G747">
        <v>50</v>
      </c>
      <c r="H747" s="4">
        <v>43772</v>
      </c>
      <c r="I747" s="2" t="s">
        <v>49</v>
      </c>
      <c r="J747" s="2" t="s">
        <v>65</v>
      </c>
      <c r="M747" t="str">
        <f t="shared" si="44"/>
        <v>Male</v>
      </c>
      <c r="N747" t="str">
        <f t="shared" si="45"/>
        <v>Ahmedabad</v>
      </c>
      <c r="O747" t="str">
        <f t="shared" si="46"/>
        <v>Kannada</v>
      </c>
      <c r="P747" t="str">
        <f t="shared" si="47"/>
        <v>Family</v>
      </c>
    </row>
    <row r="748" spans="1:16" x14ac:dyDescent="0.3">
      <c r="A748" s="2" t="s">
        <v>792</v>
      </c>
      <c r="B748" s="2" t="s">
        <v>24</v>
      </c>
      <c r="C748" s="3">
        <v>44</v>
      </c>
      <c r="D748" t="s">
        <v>12</v>
      </c>
      <c r="E748" s="2" t="s">
        <v>13</v>
      </c>
      <c r="F748" s="2" t="s">
        <v>38</v>
      </c>
      <c r="G748">
        <v>7</v>
      </c>
      <c r="H748" s="4">
        <v>45067</v>
      </c>
      <c r="I748" s="2" t="s">
        <v>62</v>
      </c>
      <c r="J748" s="2" t="s">
        <v>16</v>
      </c>
      <c r="M748" t="str">
        <f t="shared" si="44"/>
        <v>Male</v>
      </c>
      <c r="N748" t="str">
        <f t="shared" si="45"/>
        <v>Delhi</v>
      </c>
      <c r="O748" t="str">
        <f t="shared" si="46"/>
        <v>Gujarati</v>
      </c>
      <c r="P748" t="str">
        <f t="shared" si="47"/>
        <v>Basic</v>
      </c>
    </row>
    <row r="749" spans="1:16" x14ac:dyDescent="0.3">
      <c r="A749" s="2" t="s">
        <v>793</v>
      </c>
      <c r="B749" s="2" t="s">
        <v>31</v>
      </c>
      <c r="C749" s="3">
        <v>28</v>
      </c>
      <c r="D749" t="s">
        <v>18</v>
      </c>
      <c r="E749" s="2" t="s">
        <v>13</v>
      </c>
      <c r="F749" s="2" t="s">
        <v>64</v>
      </c>
      <c r="G749">
        <v>22</v>
      </c>
      <c r="H749" s="4">
        <v>44625</v>
      </c>
      <c r="I749" s="2" t="s">
        <v>34</v>
      </c>
      <c r="J749" s="2" t="s">
        <v>22</v>
      </c>
      <c r="M749" t="str">
        <f t="shared" si="44"/>
        <v>Male</v>
      </c>
      <c r="N749" t="str">
        <f t="shared" si="45"/>
        <v>Pune</v>
      </c>
      <c r="O749" t="str">
        <f t="shared" si="46"/>
        <v>Marathi</v>
      </c>
      <c r="P749" t="str">
        <f t="shared" si="47"/>
        <v>Premium</v>
      </c>
    </row>
    <row r="750" spans="1:16" x14ac:dyDescent="0.3">
      <c r="A750" s="2" t="s">
        <v>794</v>
      </c>
      <c r="B750" s="2" t="s">
        <v>24</v>
      </c>
      <c r="C750" s="3">
        <v>39</v>
      </c>
      <c r="D750" t="s">
        <v>12</v>
      </c>
      <c r="E750" s="2" t="s">
        <v>19</v>
      </c>
      <c r="F750" s="2" t="s">
        <v>56</v>
      </c>
      <c r="G750">
        <v>32</v>
      </c>
      <c r="H750" s="4">
        <v>44318</v>
      </c>
      <c r="I750" s="2" t="s">
        <v>26</v>
      </c>
      <c r="J750" s="2" t="s">
        <v>27</v>
      </c>
      <c r="M750" t="str">
        <f t="shared" si="44"/>
        <v>Female</v>
      </c>
      <c r="N750" t="str">
        <f t="shared" si="45"/>
        <v>Hyderabad</v>
      </c>
      <c r="O750" t="str">
        <f t="shared" si="46"/>
        <v>Malayalam</v>
      </c>
      <c r="P750" t="str">
        <f t="shared" si="47"/>
        <v>Standard</v>
      </c>
    </row>
    <row r="751" spans="1:16" x14ac:dyDescent="0.3">
      <c r="A751" s="2" t="s">
        <v>795</v>
      </c>
      <c r="B751" s="2" t="s">
        <v>31</v>
      </c>
      <c r="C751" s="3">
        <v>39</v>
      </c>
      <c r="D751" t="s">
        <v>12</v>
      </c>
      <c r="E751" s="2" t="s">
        <v>13</v>
      </c>
      <c r="F751" s="2" t="s">
        <v>38</v>
      </c>
      <c r="G751">
        <v>3</v>
      </c>
      <c r="H751" s="4">
        <v>45183</v>
      </c>
      <c r="I751" s="2" t="s">
        <v>49</v>
      </c>
      <c r="J751" s="2" t="s">
        <v>27</v>
      </c>
      <c r="M751" t="str">
        <f t="shared" si="44"/>
        <v>Male</v>
      </c>
      <c r="N751" t="str">
        <f t="shared" si="45"/>
        <v>Delhi</v>
      </c>
      <c r="O751" t="str">
        <f t="shared" si="46"/>
        <v>Kannada</v>
      </c>
      <c r="P751" t="str">
        <f t="shared" si="47"/>
        <v>Standard</v>
      </c>
    </row>
    <row r="752" spans="1:16" x14ac:dyDescent="0.3">
      <c r="A752" s="2" t="s">
        <v>796</v>
      </c>
      <c r="B752" s="2" t="s">
        <v>61</v>
      </c>
      <c r="C752" s="3">
        <v>33</v>
      </c>
      <c r="D752" t="s">
        <v>18</v>
      </c>
      <c r="E752" s="2" t="s">
        <v>19</v>
      </c>
      <c r="F752" s="2" t="s">
        <v>33</v>
      </c>
      <c r="G752">
        <v>23</v>
      </c>
      <c r="H752" s="4">
        <v>44602</v>
      </c>
      <c r="I752" s="2" t="s">
        <v>34</v>
      </c>
      <c r="J752" s="2" t="s">
        <v>27</v>
      </c>
      <c r="M752" t="str">
        <f t="shared" si="44"/>
        <v>Female</v>
      </c>
      <c r="N752" t="str">
        <f t="shared" si="45"/>
        <v>Jaipur</v>
      </c>
      <c r="O752" t="str">
        <f t="shared" si="46"/>
        <v>Marathi</v>
      </c>
      <c r="P752" t="str">
        <f t="shared" si="47"/>
        <v>Standard</v>
      </c>
    </row>
    <row r="753" spans="1:16" x14ac:dyDescent="0.3">
      <c r="A753" s="2" t="s">
        <v>797</v>
      </c>
      <c r="B753" s="2" t="s">
        <v>61</v>
      </c>
      <c r="C753" s="3">
        <v>18</v>
      </c>
      <c r="D753" t="s">
        <v>32</v>
      </c>
      <c r="E753" s="2" t="s">
        <v>19</v>
      </c>
      <c r="F753" s="2" t="s">
        <v>54</v>
      </c>
      <c r="G753">
        <v>12</v>
      </c>
      <c r="H753" s="4">
        <v>44926</v>
      </c>
      <c r="I753" s="2" t="s">
        <v>62</v>
      </c>
      <c r="J753" s="2" t="s">
        <v>22</v>
      </c>
      <c r="M753" t="str">
        <f t="shared" si="44"/>
        <v>Female</v>
      </c>
      <c r="N753" t="str">
        <f t="shared" si="45"/>
        <v>Bangalore</v>
      </c>
      <c r="O753" t="str">
        <f t="shared" si="46"/>
        <v>Gujarati</v>
      </c>
      <c r="P753" t="str">
        <f t="shared" si="47"/>
        <v>Premium</v>
      </c>
    </row>
    <row r="754" spans="1:16" x14ac:dyDescent="0.3">
      <c r="A754" s="2" t="s">
        <v>798</v>
      </c>
      <c r="B754" s="2" t="s">
        <v>11</v>
      </c>
      <c r="C754" s="3">
        <v>18</v>
      </c>
      <c r="D754" t="s">
        <v>32</v>
      </c>
      <c r="E754" s="2" t="s">
        <v>13</v>
      </c>
      <c r="F754" s="2" t="s">
        <v>25</v>
      </c>
      <c r="G754">
        <v>43</v>
      </c>
      <c r="H754" s="4">
        <v>43983</v>
      </c>
      <c r="I754" s="2" t="s">
        <v>26</v>
      </c>
      <c r="J754" s="2" t="s">
        <v>27</v>
      </c>
      <c r="M754" t="str">
        <f t="shared" si="44"/>
        <v>Male</v>
      </c>
      <c r="N754" t="str">
        <f t="shared" si="45"/>
        <v>Mumbai</v>
      </c>
      <c r="O754" t="str">
        <f t="shared" si="46"/>
        <v>Malayalam</v>
      </c>
      <c r="P754" t="str">
        <f t="shared" si="47"/>
        <v>Standard</v>
      </c>
    </row>
    <row r="755" spans="1:16" x14ac:dyDescent="0.3">
      <c r="A755" s="2" t="s">
        <v>799</v>
      </c>
      <c r="B755" s="2" t="s">
        <v>11</v>
      </c>
      <c r="C755" s="3">
        <v>32</v>
      </c>
      <c r="D755" t="s">
        <v>18</v>
      </c>
      <c r="E755" s="2" t="s">
        <v>13</v>
      </c>
      <c r="F755" s="2" t="s">
        <v>88</v>
      </c>
      <c r="G755">
        <v>53</v>
      </c>
      <c r="H755" s="4">
        <v>43692</v>
      </c>
      <c r="I755" s="2" t="s">
        <v>49</v>
      </c>
      <c r="J755" s="2" t="s">
        <v>65</v>
      </c>
      <c r="M755" t="str">
        <f t="shared" si="44"/>
        <v>Male</v>
      </c>
      <c r="N755" t="str">
        <f t="shared" si="45"/>
        <v>Lucknow</v>
      </c>
      <c r="O755" t="str">
        <f t="shared" si="46"/>
        <v>Kannada</v>
      </c>
      <c r="P755" t="str">
        <f t="shared" si="47"/>
        <v>Family</v>
      </c>
    </row>
    <row r="756" spans="1:16" x14ac:dyDescent="0.3">
      <c r="A756" s="2" t="s">
        <v>800</v>
      </c>
      <c r="B756" s="2" t="s">
        <v>11</v>
      </c>
      <c r="C756" s="3">
        <v>21</v>
      </c>
      <c r="D756" t="s">
        <v>32</v>
      </c>
      <c r="E756" s="2" t="s">
        <v>19</v>
      </c>
      <c r="F756" s="2" t="s">
        <v>56</v>
      </c>
      <c r="G756">
        <v>40</v>
      </c>
      <c r="H756" s="4">
        <v>44084</v>
      </c>
      <c r="I756" s="2" t="s">
        <v>21</v>
      </c>
      <c r="J756" s="2" t="s">
        <v>65</v>
      </c>
      <c r="M756" t="str">
        <f t="shared" si="44"/>
        <v>Female</v>
      </c>
      <c r="N756" t="str">
        <f t="shared" si="45"/>
        <v>Hyderabad</v>
      </c>
      <c r="O756" t="str">
        <f t="shared" si="46"/>
        <v>Bengali</v>
      </c>
      <c r="P756" t="str">
        <f t="shared" si="47"/>
        <v>Family</v>
      </c>
    </row>
    <row r="757" spans="1:16" x14ac:dyDescent="0.3">
      <c r="A757" s="2" t="s">
        <v>801</v>
      </c>
      <c r="B757" s="2" t="s">
        <v>31</v>
      </c>
      <c r="C757" s="3">
        <v>37</v>
      </c>
      <c r="D757" t="s">
        <v>12</v>
      </c>
      <c r="E757" s="2" t="s">
        <v>13</v>
      </c>
      <c r="F757" s="2" t="s">
        <v>25</v>
      </c>
      <c r="G757">
        <v>23</v>
      </c>
      <c r="H757" s="4">
        <v>44600</v>
      </c>
      <c r="I757" s="2" t="s">
        <v>29</v>
      </c>
      <c r="J757" s="2" t="s">
        <v>22</v>
      </c>
      <c r="M757" t="str">
        <f t="shared" si="44"/>
        <v>Male</v>
      </c>
      <c r="N757" t="str">
        <f t="shared" si="45"/>
        <v>Mumbai</v>
      </c>
      <c r="O757" t="str">
        <f t="shared" si="46"/>
        <v>English</v>
      </c>
      <c r="P757" t="str">
        <f t="shared" si="47"/>
        <v>Premium</v>
      </c>
    </row>
    <row r="758" spans="1:16" x14ac:dyDescent="0.3">
      <c r="A758" s="2" t="s">
        <v>802</v>
      </c>
      <c r="B758" s="2" t="s">
        <v>42</v>
      </c>
      <c r="C758" s="3">
        <v>37</v>
      </c>
      <c r="D758" t="s">
        <v>12</v>
      </c>
      <c r="E758" s="2" t="s">
        <v>19</v>
      </c>
      <c r="F758" s="2" t="s">
        <v>56</v>
      </c>
      <c r="G758">
        <v>22</v>
      </c>
      <c r="H758" s="4">
        <v>44624</v>
      </c>
      <c r="I758" s="2" t="s">
        <v>62</v>
      </c>
      <c r="J758" s="2" t="s">
        <v>27</v>
      </c>
      <c r="M758" t="str">
        <f t="shared" si="44"/>
        <v>Female</v>
      </c>
      <c r="N758" t="str">
        <f t="shared" si="45"/>
        <v>Hyderabad</v>
      </c>
      <c r="O758" t="str">
        <f t="shared" si="46"/>
        <v>Gujarati</v>
      </c>
      <c r="P758" t="str">
        <f t="shared" si="47"/>
        <v>Standard</v>
      </c>
    </row>
    <row r="759" spans="1:16" x14ac:dyDescent="0.3">
      <c r="A759" s="2" t="s">
        <v>803</v>
      </c>
      <c r="B759" s="2" t="s">
        <v>24</v>
      </c>
      <c r="C759" s="3">
        <v>27</v>
      </c>
      <c r="D759" t="s">
        <v>18</v>
      </c>
      <c r="E759" s="2" t="s">
        <v>19</v>
      </c>
      <c r="F759" s="2" t="s">
        <v>38</v>
      </c>
      <c r="G759">
        <v>39</v>
      </c>
      <c r="H759" s="4">
        <v>44120</v>
      </c>
      <c r="I759" s="2" t="s">
        <v>49</v>
      </c>
      <c r="J759" s="2" t="s">
        <v>22</v>
      </c>
      <c r="M759" t="str">
        <f t="shared" si="44"/>
        <v>Female</v>
      </c>
      <c r="N759" t="str">
        <f t="shared" si="45"/>
        <v>Delhi</v>
      </c>
      <c r="O759" t="str">
        <f t="shared" si="46"/>
        <v>Kannada</v>
      </c>
      <c r="P759" t="str">
        <f t="shared" si="47"/>
        <v>Premium</v>
      </c>
    </row>
    <row r="760" spans="1:16" x14ac:dyDescent="0.3">
      <c r="A760" s="2" t="s">
        <v>804</v>
      </c>
      <c r="B760" s="2" t="s">
        <v>61</v>
      </c>
      <c r="C760" s="3">
        <v>43</v>
      </c>
      <c r="D760" t="s">
        <v>12</v>
      </c>
      <c r="E760" s="2" t="s">
        <v>13</v>
      </c>
      <c r="F760" s="2" t="s">
        <v>54</v>
      </c>
      <c r="G760">
        <v>52</v>
      </c>
      <c r="H760" s="4">
        <v>43731</v>
      </c>
      <c r="I760" s="2" t="s">
        <v>47</v>
      </c>
      <c r="J760" s="2" t="s">
        <v>16</v>
      </c>
      <c r="M760" t="str">
        <f t="shared" si="44"/>
        <v>Male</v>
      </c>
      <c r="N760" t="str">
        <f t="shared" si="45"/>
        <v>Bangalore</v>
      </c>
      <c r="O760" t="str">
        <f t="shared" si="46"/>
        <v>Hindi</v>
      </c>
      <c r="P760" t="str">
        <f t="shared" si="47"/>
        <v>Basic</v>
      </c>
    </row>
    <row r="761" spans="1:16" x14ac:dyDescent="0.3">
      <c r="A761" s="2" t="s">
        <v>805</v>
      </c>
      <c r="B761" s="2" t="s">
        <v>11</v>
      </c>
      <c r="C761" s="3">
        <v>38</v>
      </c>
      <c r="D761" t="s">
        <v>12</v>
      </c>
      <c r="E761" s="2" t="s">
        <v>19</v>
      </c>
      <c r="F761" s="2" t="s">
        <v>64</v>
      </c>
      <c r="G761">
        <v>3</v>
      </c>
      <c r="H761" s="4">
        <v>45173</v>
      </c>
      <c r="I761" s="2" t="s">
        <v>21</v>
      </c>
      <c r="J761" s="2" t="s">
        <v>16</v>
      </c>
      <c r="M761" t="str">
        <f t="shared" si="44"/>
        <v>Female</v>
      </c>
      <c r="N761" t="str">
        <f t="shared" si="45"/>
        <v>Pune</v>
      </c>
      <c r="O761" t="str">
        <f t="shared" si="46"/>
        <v>Bengali</v>
      </c>
      <c r="P761" t="str">
        <f t="shared" si="47"/>
        <v>Basic</v>
      </c>
    </row>
    <row r="762" spans="1:16" x14ac:dyDescent="0.3">
      <c r="A762" s="2" t="s">
        <v>806</v>
      </c>
      <c r="B762" s="2" t="s">
        <v>42</v>
      </c>
      <c r="C762" s="3">
        <v>45</v>
      </c>
      <c r="D762" t="s">
        <v>46</v>
      </c>
      <c r="E762" s="2" t="s">
        <v>19</v>
      </c>
      <c r="F762" s="2" t="s">
        <v>38</v>
      </c>
      <c r="G762">
        <v>3</v>
      </c>
      <c r="H762" s="4">
        <v>45184</v>
      </c>
      <c r="I762" s="2" t="s">
        <v>34</v>
      </c>
      <c r="J762" s="2" t="s">
        <v>16</v>
      </c>
      <c r="M762" t="str">
        <f t="shared" si="44"/>
        <v>Female</v>
      </c>
      <c r="N762" t="str">
        <f t="shared" si="45"/>
        <v>Delhi</v>
      </c>
      <c r="O762" t="str">
        <f t="shared" si="46"/>
        <v>Marathi</v>
      </c>
      <c r="P762" t="str">
        <f t="shared" si="47"/>
        <v>Basic</v>
      </c>
    </row>
    <row r="763" spans="1:16" x14ac:dyDescent="0.3">
      <c r="A763" s="2" t="s">
        <v>807</v>
      </c>
      <c r="B763" s="2" t="s">
        <v>11</v>
      </c>
      <c r="C763" s="3">
        <v>36</v>
      </c>
      <c r="D763" t="s">
        <v>12</v>
      </c>
      <c r="E763" s="2" t="s">
        <v>13</v>
      </c>
      <c r="F763" s="2" t="s">
        <v>33</v>
      </c>
      <c r="G763">
        <v>19</v>
      </c>
      <c r="H763" s="4">
        <v>44694</v>
      </c>
      <c r="I763" s="2" t="s">
        <v>15</v>
      </c>
      <c r="J763" s="2" t="s">
        <v>22</v>
      </c>
      <c r="M763" t="str">
        <f t="shared" si="44"/>
        <v>Male</v>
      </c>
      <c r="N763" t="str">
        <f t="shared" si="45"/>
        <v>Jaipur</v>
      </c>
      <c r="O763" t="str">
        <f t="shared" si="46"/>
        <v>Telugu</v>
      </c>
      <c r="P763" t="str">
        <f t="shared" si="47"/>
        <v>Premium</v>
      </c>
    </row>
    <row r="764" spans="1:16" x14ac:dyDescent="0.3">
      <c r="A764" s="2" t="s">
        <v>808</v>
      </c>
      <c r="B764" s="2" t="s">
        <v>24</v>
      </c>
      <c r="C764" s="3">
        <v>35</v>
      </c>
      <c r="D764" t="s">
        <v>12</v>
      </c>
      <c r="E764" s="2" t="s">
        <v>19</v>
      </c>
      <c r="F764" s="2" t="s">
        <v>64</v>
      </c>
      <c r="G764">
        <v>29</v>
      </c>
      <c r="H764" s="4">
        <v>44410</v>
      </c>
      <c r="I764" s="2" t="s">
        <v>47</v>
      </c>
      <c r="J764" s="2" t="s">
        <v>16</v>
      </c>
      <c r="M764" t="str">
        <f t="shared" si="44"/>
        <v>Female</v>
      </c>
      <c r="N764" t="str">
        <f t="shared" si="45"/>
        <v>Pune</v>
      </c>
      <c r="O764" t="str">
        <f t="shared" si="46"/>
        <v>Hindi</v>
      </c>
      <c r="P764" t="str">
        <f t="shared" si="47"/>
        <v>Basic</v>
      </c>
    </row>
    <row r="765" spans="1:16" x14ac:dyDescent="0.3">
      <c r="A765" s="2" t="s">
        <v>809</v>
      </c>
      <c r="B765" s="2" t="s">
        <v>11</v>
      </c>
      <c r="C765" s="3">
        <v>18</v>
      </c>
      <c r="D765" t="s">
        <v>32</v>
      </c>
      <c r="E765" s="2" t="s">
        <v>19</v>
      </c>
      <c r="F765" s="2" t="s">
        <v>25</v>
      </c>
      <c r="G765">
        <v>22</v>
      </c>
      <c r="H765" s="4">
        <v>44625</v>
      </c>
      <c r="I765" s="2" t="s">
        <v>21</v>
      </c>
      <c r="J765" s="2" t="s">
        <v>27</v>
      </c>
      <c r="M765" t="str">
        <f t="shared" si="44"/>
        <v>Female</v>
      </c>
      <c r="N765" t="str">
        <f t="shared" si="45"/>
        <v>Mumbai</v>
      </c>
      <c r="O765" t="str">
        <f t="shared" si="46"/>
        <v>Bengali</v>
      </c>
      <c r="P765" t="str">
        <f t="shared" si="47"/>
        <v>Standard</v>
      </c>
    </row>
    <row r="766" spans="1:16" x14ac:dyDescent="0.3">
      <c r="A766" s="2" t="s">
        <v>810</v>
      </c>
      <c r="B766" s="2" t="s">
        <v>31</v>
      </c>
      <c r="C766" s="3">
        <v>30</v>
      </c>
      <c r="D766" t="s">
        <v>18</v>
      </c>
      <c r="E766" s="2" t="s">
        <v>19</v>
      </c>
      <c r="F766" s="2" t="s">
        <v>25</v>
      </c>
      <c r="G766">
        <v>53</v>
      </c>
      <c r="H766" s="4">
        <v>43692</v>
      </c>
      <c r="I766" s="2" t="s">
        <v>39</v>
      </c>
      <c r="J766" s="2" t="s">
        <v>22</v>
      </c>
      <c r="M766" t="str">
        <f t="shared" si="44"/>
        <v>Female</v>
      </c>
      <c r="N766" t="str">
        <f t="shared" si="45"/>
        <v>Mumbai</v>
      </c>
      <c r="O766" t="str">
        <f t="shared" si="46"/>
        <v>Tamil</v>
      </c>
      <c r="P766" t="str">
        <f t="shared" si="47"/>
        <v>Premium</v>
      </c>
    </row>
    <row r="767" spans="1:16" x14ac:dyDescent="0.3">
      <c r="A767" s="2" t="s">
        <v>811</v>
      </c>
      <c r="B767" s="2" t="s">
        <v>24</v>
      </c>
      <c r="C767" s="3">
        <v>20</v>
      </c>
      <c r="D767" t="s">
        <v>32</v>
      </c>
      <c r="E767" s="2" t="s">
        <v>13</v>
      </c>
      <c r="F767" s="2" t="s">
        <v>14</v>
      </c>
      <c r="G767">
        <v>10</v>
      </c>
      <c r="H767" s="4">
        <v>44975</v>
      </c>
      <c r="I767" s="2" t="s">
        <v>34</v>
      </c>
      <c r="J767" s="2" t="s">
        <v>27</v>
      </c>
      <c r="M767" t="str">
        <f t="shared" si="44"/>
        <v>Male</v>
      </c>
      <c r="N767" t="str">
        <f t="shared" si="45"/>
        <v>Kolkata</v>
      </c>
      <c r="O767" t="str">
        <f t="shared" si="46"/>
        <v>Marathi</v>
      </c>
      <c r="P767" t="str">
        <f t="shared" si="47"/>
        <v>Standard</v>
      </c>
    </row>
    <row r="768" spans="1:16" x14ac:dyDescent="0.3">
      <c r="A768" s="2" t="s">
        <v>812</v>
      </c>
      <c r="B768" s="2" t="s">
        <v>24</v>
      </c>
      <c r="C768" s="3">
        <v>35</v>
      </c>
      <c r="D768" t="s">
        <v>12</v>
      </c>
      <c r="E768" s="2" t="s">
        <v>19</v>
      </c>
      <c r="F768" s="2" t="s">
        <v>36</v>
      </c>
      <c r="G768">
        <v>57</v>
      </c>
      <c r="H768" s="4">
        <v>43564</v>
      </c>
      <c r="I768" s="2" t="s">
        <v>39</v>
      </c>
      <c r="J768" s="2" t="s">
        <v>16</v>
      </c>
      <c r="M768" t="str">
        <f t="shared" si="44"/>
        <v>Female</v>
      </c>
      <c r="N768" t="str">
        <f t="shared" si="45"/>
        <v>Ahmedabad</v>
      </c>
      <c r="O768" t="str">
        <f t="shared" si="46"/>
        <v>Tamil</v>
      </c>
      <c r="P768" t="str">
        <f t="shared" si="47"/>
        <v>Basic</v>
      </c>
    </row>
    <row r="769" spans="1:16" x14ac:dyDescent="0.3">
      <c r="A769" s="2" t="s">
        <v>813</v>
      </c>
      <c r="B769" s="2" t="s">
        <v>24</v>
      </c>
      <c r="C769" s="3">
        <v>25</v>
      </c>
      <c r="D769" t="s">
        <v>18</v>
      </c>
      <c r="E769" s="2" t="s">
        <v>19</v>
      </c>
      <c r="F769" s="2" t="s">
        <v>33</v>
      </c>
      <c r="G769">
        <v>57</v>
      </c>
      <c r="H769" s="4">
        <v>43563</v>
      </c>
      <c r="I769" s="2" t="s">
        <v>21</v>
      </c>
      <c r="J769" s="2" t="s">
        <v>16</v>
      </c>
      <c r="M769" t="str">
        <f t="shared" si="44"/>
        <v>Female</v>
      </c>
      <c r="N769" t="str">
        <f t="shared" si="45"/>
        <v>Jaipur</v>
      </c>
      <c r="O769" t="str">
        <f t="shared" si="46"/>
        <v>Bengali</v>
      </c>
      <c r="P769" t="str">
        <f t="shared" si="47"/>
        <v>Basic</v>
      </c>
    </row>
    <row r="770" spans="1:16" x14ac:dyDescent="0.3">
      <c r="A770" s="2" t="s">
        <v>814</v>
      </c>
      <c r="B770" s="2" t="s">
        <v>11</v>
      </c>
      <c r="C770" s="3">
        <v>18</v>
      </c>
      <c r="D770" t="s">
        <v>32</v>
      </c>
      <c r="E770" s="2" t="s">
        <v>19</v>
      </c>
      <c r="F770" s="2" t="s">
        <v>25</v>
      </c>
      <c r="G770">
        <v>23</v>
      </c>
      <c r="H770" s="4">
        <v>44602</v>
      </c>
      <c r="I770" s="2" t="s">
        <v>29</v>
      </c>
      <c r="J770" s="2" t="s">
        <v>27</v>
      </c>
      <c r="M770" t="str">
        <f t="shared" si="44"/>
        <v>Female</v>
      </c>
      <c r="N770" t="str">
        <f t="shared" si="45"/>
        <v>Mumbai</v>
      </c>
      <c r="O770" t="str">
        <f t="shared" si="46"/>
        <v>English</v>
      </c>
      <c r="P770" t="str">
        <f t="shared" si="47"/>
        <v>Standard</v>
      </c>
    </row>
    <row r="771" spans="1:16" x14ac:dyDescent="0.3">
      <c r="A771" s="2" t="s">
        <v>815</v>
      </c>
      <c r="B771" s="2" t="s">
        <v>42</v>
      </c>
      <c r="C771" s="3">
        <v>34</v>
      </c>
      <c r="D771" t="s">
        <v>18</v>
      </c>
      <c r="E771" s="2" t="s">
        <v>13</v>
      </c>
      <c r="F771" s="2" t="s">
        <v>88</v>
      </c>
      <c r="G771">
        <v>32</v>
      </c>
      <c r="H771" s="4">
        <v>44328</v>
      </c>
      <c r="I771" s="2" t="s">
        <v>49</v>
      </c>
      <c r="J771" s="2" t="s">
        <v>22</v>
      </c>
      <c r="M771" t="str">
        <f t="shared" ref="M771:M834" si="48">TRIM(E771)</f>
        <v>Male</v>
      </c>
      <c r="N771" t="str">
        <f t="shared" ref="N771:N834" si="49">TRIM(F771)</f>
        <v>Lucknow</v>
      </c>
      <c r="O771" t="str">
        <f t="shared" ref="O771:O834" si="50">TRIM(I771)</f>
        <v>Kannada</v>
      </c>
      <c r="P771" t="str">
        <f t="shared" ref="P771:P834" si="51">TRIM(J771)</f>
        <v>Premium</v>
      </c>
    </row>
    <row r="772" spans="1:16" x14ac:dyDescent="0.3">
      <c r="A772" s="2" t="s">
        <v>816</v>
      </c>
      <c r="B772" s="2" t="s">
        <v>42</v>
      </c>
      <c r="C772" s="3">
        <v>36</v>
      </c>
      <c r="D772" t="s">
        <v>12</v>
      </c>
      <c r="E772" s="2" t="s">
        <v>19</v>
      </c>
      <c r="F772" s="2" t="s">
        <v>33</v>
      </c>
      <c r="G772">
        <v>8</v>
      </c>
      <c r="H772" s="4">
        <v>45042</v>
      </c>
      <c r="I772" s="2" t="s">
        <v>49</v>
      </c>
      <c r="J772" s="2" t="s">
        <v>27</v>
      </c>
      <c r="M772" t="str">
        <f t="shared" si="48"/>
        <v>Female</v>
      </c>
      <c r="N772" t="str">
        <f t="shared" si="49"/>
        <v>Jaipur</v>
      </c>
      <c r="O772" t="str">
        <f t="shared" si="50"/>
        <v>Kannada</v>
      </c>
      <c r="P772" t="str">
        <f t="shared" si="51"/>
        <v>Standard</v>
      </c>
    </row>
    <row r="773" spans="1:16" x14ac:dyDescent="0.3">
      <c r="A773" s="2" t="s">
        <v>817</v>
      </c>
      <c r="B773" s="2" t="s">
        <v>31</v>
      </c>
      <c r="C773" s="3">
        <v>39</v>
      </c>
      <c r="D773" t="s">
        <v>12</v>
      </c>
      <c r="E773" s="2" t="s">
        <v>105</v>
      </c>
      <c r="F773" s="2" t="s">
        <v>54</v>
      </c>
      <c r="G773">
        <v>9</v>
      </c>
      <c r="H773" s="4">
        <v>44996</v>
      </c>
      <c r="I773" s="2" t="s">
        <v>34</v>
      </c>
      <c r="J773" s="2" t="s">
        <v>22</v>
      </c>
      <c r="M773" t="str">
        <f t="shared" si="48"/>
        <v>Non-Binary</v>
      </c>
      <c r="N773" t="str">
        <f t="shared" si="49"/>
        <v>Bangalore</v>
      </c>
      <c r="O773" t="str">
        <f t="shared" si="50"/>
        <v>Marathi</v>
      </c>
      <c r="P773" t="str">
        <f t="shared" si="51"/>
        <v>Premium</v>
      </c>
    </row>
    <row r="774" spans="1:16" x14ac:dyDescent="0.3">
      <c r="A774" s="2" t="s">
        <v>818</v>
      </c>
      <c r="B774" s="2" t="s">
        <v>24</v>
      </c>
      <c r="C774" s="3">
        <v>26</v>
      </c>
      <c r="D774" t="s">
        <v>18</v>
      </c>
      <c r="E774" s="2" t="s">
        <v>13</v>
      </c>
      <c r="F774" s="2" t="s">
        <v>20</v>
      </c>
      <c r="G774">
        <v>59</v>
      </c>
      <c r="H774" s="4">
        <v>43506</v>
      </c>
      <c r="I774" s="2" t="s">
        <v>15</v>
      </c>
      <c r="J774" s="2" t="s">
        <v>27</v>
      </c>
      <c r="M774" t="str">
        <f t="shared" si="48"/>
        <v>Male</v>
      </c>
      <c r="N774" t="str">
        <f t="shared" si="49"/>
        <v>Chennai</v>
      </c>
      <c r="O774" t="str">
        <f t="shared" si="50"/>
        <v>Telugu</v>
      </c>
      <c r="P774" t="str">
        <f t="shared" si="51"/>
        <v>Standard</v>
      </c>
    </row>
    <row r="775" spans="1:16" x14ac:dyDescent="0.3">
      <c r="A775" s="2" t="s">
        <v>819</v>
      </c>
      <c r="B775" s="2" t="s">
        <v>11</v>
      </c>
      <c r="C775" s="3">
        <v>19</v>
      </c>
      <c r="D775" t="s">
        <v>32</v>
      </c>
      <c r="E775" s="2" t="s">
        <v>19</v>
      </c>
      <c r="F775" s="2" t="s">
        <v>64</v>
      </c>
      <c r="G775">
        <v>57</v>
      </c>
      <c r="H775" s="4">
        <v>43560</v>
      </c>
      <c r="I775" s="2" t="s">
        <v>26</v>
      </c>
      <c r="J775" s="2" t="s">
        <v>22</v>
      </c>
      <c r="M775" t="str">
        <f t="shared" si="48"/>
        <v>Female</v>
      </c>
      <c r="N775" t="str">
        <f t="shared" si="49"/>
        <v>Pune</v>
      </c>
      <c r="O775" t="str">
        <f t="shared" si="50"/>
        <v>Malayalam</v>
      </c>
      <c r="P775" t="str">
        <f t="shared" si="51"/>
        <v>Premium</v>
      </c>
    </row>
    <row r="776" spans="1:16" x14ac:dyDescent="0.3">
      <c r="A776" s="2" t="s">
        <v>820</v>
      </c>
      <c r="B776" s="2" t="s">
        <v>24</v>
      </c>
      <c r="C776" s="3">
        <v>23</v>
      </c>
      <c r="D776" t="s">
        <v>32</v>
      </c>
      <c r="E776" s="2" t="s">
        <v>13</v>
      </c>
      <c r="F776" s="2" t="s">
        <v>38</v>
      </c>
      <c r="G776">
        <v>24</v>
      </c>
      <c r="H776" s="4">
        <v>44552</v>
      </c>
      <c r="I776" s="2" t="s">
        <v>26</v>
      </c>
      <c r="J776" s="2" t="s">
        <v>22</v>
      </c>
      <c r="M776" t="str">
        <f t="shared" si="48"/>
        <v>Male</v>
      </c>
      <c r="N776" t="str">
        <f t="shared" si="49"/>
        <v>Delhi</v>
      </c>
      <c r="O776" t="str">
        <f t="shared" si="50"/>
        <v>Malayalam</v>
      </c>
      <c r="P776" t="str">
        <f t="shared" si="51"/>
        <v>Premium</v>
      </c>
    </row>
    <row r="777" spans="1:16" x14ac:dyDescent="0.3">
      <c r="A777" s="2" t="s">
        <v>821</v>
      </c>
      <c r="B777" s="2" t="s">
        <v>42</v>
      </c>
      <c r="C777" s="3">
        <v>29</v>
      </c>
      <c r="D777" t="s">
        <v>18</v>
      </c>
      <c r="E777" s="2" t="s">
        <v>19</v>
      </c>
      <c r="F777" s="2" t="s">
        <v>20</v>
      </c>
      <c r="G777">
        <v>10</v>
      </c>
      <c r="H777" s="4">
        <v>44980</v>
      </c>
      <c r="I777" s="2" t="s">
        <v>26</v>
      </c>
      <c r="J777" s="2" t="s">
        <v>16</v>
      </c>
      <c r="M777" t="str">
        <f t="shared" si="48"/>
        <v>Female</v>
      </c>
      <c r="N777" t="str">
        <f t="shared" si="49"/>
        <v>Chennai</v>
      </c>
      <c r="O777" t="str">
        <f t="shared" si="50"/>
        <v>Malayalam</v>
      </c>
      <c r="P777" t="str">
        <f t="shared" si="51"/>
        <v>Basic</v>
      </c>
    </row>
    <row r="778" spans="1:16" x14ac:dyDescent="0.3">
      <c r="A778" s="2" t="s">
        <v>822</v>
      </c>
      <c r="B778" s="2" t="s">
        <v>31</v>
      </c>
      <c r="C778" s="3">
        <v>21</v>
      </c>
      <c r="D778" t="s">
        <v>32</v>
      </c>
      <c r="E778" s="2" t="s">
        <v>19</v>
      </c>
      <c r="F778" s="2" t="s">
        <v>54</v>
      </c>
      <c r="G778">
        <v>12</v>
      </c>
      <c r="H778" s="4">
        <v>44928</v>
      </c>
      <c r="I778" s="2" t="s">
        <v>49</v>
      </c>
      <c r="J778" s="2" t="s">
        <v>22</v>
      </c>
      <c r="M778" t="str">
        <f t="shared" si="48"/>
        <v>Female</v>
      </c>
      <c r="N778" t="str">
        <f t="shared" si="49"/>
        <v>Bangalore</v>
      </c>
      <c r="O778" t="str">
        <f t="shared" si="50"/>
        <v>Kannada</v>
      </c>
      <c r="P778" t="str">
        <f t="shared" si="51"/>
        <v>Premium</v>
      </c>
    </row>
    <row r="779" spans="1:16" x14ac:dyDescent="0.3">
      <c r="A779" s="2" t="s">
        <v>823</v>
      </c>
      <c r="B779" s="2" t="s">
        <v>11</v>
      </c>
      <c r="C779" s="3">
        <v>36</v>
      </c>
      <c r="D779" t="s">
        <v>12</v>
      </c>
      <c r="E779" s="2" t="s">
        <v>13</v>
      </c>
      <c r="F779" s="2" t="s">
        <v>36</v>
      </c>
      <c r="G779">
        <v>1</v>
      </c>
      <c r="H779" s="4">
        <v>45239</v>
      </c>
      <c r="I779" s="2" t="s">
        <v>26</v>
      </c>
      <c r="J779" s="2" t="s">
        <v>22</v>
      </c>
      <c r="M779" t="str">
        <f t="shared" si="48"/>
        <v>Male</v>
      </c>
      <c r="N779" t="str">
        <f t="shared" si="49"/>
        <v>Ahmedabad</v>
      </c>
      <c r="O779" t="str">
        <f t="shared" si="50"/>
        <v>Malayalam</v>
      </c>
      <c r="P779" t="str">
        <f t="shared" si="51"/>
        <v>Premium</v>
      </c>
    </row>
    <row r="780" spans="1:16" x14ac:dyDescent="0.3">
      <c r="A780" s="2" t="s">
        <v>824</v>
      </c>
      <c r="B780" s="2" t="s">
        <v>24</v>
      </c>
      <c r="C780" s="3">
        <v>19</v>
      </c>
      <c r="D780" t="s">
        <v>32</v>
      </c>
      <c r="E780" s="2" t="s">
        <v>13</v>
      </c>
      <c r="F780" s="2" t="s">
        <v>56</v>
      </c>
      <c r="G780">
        <v>58</v>
      </c>
      <c r="H780" s="4">
        <v>43534</v>
      </c>
      <c r="I780" s="2" t="s">
        <v>62</v>
      </c>
      <c r="J780" s="2" t="s">
        <v>65</v>
      </c>
      <c r="M780" t="str">
        <f t="shared" si="48"/>
        <v>Male</v>
      </c>
      <c r="N780" t="str">
        <f t="shared" si="49"/>
        <v>Hyderabad</v>
      </c>
      <c r="O780" t="str">
        <f t="shared" si="50"/>
        <v>Gujarati</v>
      </c>
      <c r="P780" t="str">
        <f t="shared" si="51"/>
        <v>Family</v>
      </c>
    </row>
    <row r="781" spans="1:16" x14ac:dyDescent="0.3">
      <c r="A781" s="2" t="s">
        <v>825</v>
      </c>
      <c r="B781" s="2" t="s">
        <v>11</v>
      </c>
      <c r="C781" s="3">
        <v>37</v>
      </c>
      <c r="D781" t="s">
        <v>12</v>
      </c>
      <c r="E781" s="2" t="s">
        <v>13</v>
      </c>
      <c r="F781" s="2" t="s">
        <v>88</v>
      </c>
      <c r="G781">
        <v>50</v>
      </c>
      <c r="H781" s="4">
        <v>43772</v>
      </c>
      <c r="I781" s="2" t="s">
        <v>26</v>
      </c>
      <c r="J781" s="2" t="s">
        <v>27</v>
      </c>
      <c r="M781" t="str">
        <f t="shared" si="48"/>
        <v>Male</v>
      </c>
      <c r="N781" t="str">
        <f t="shared" si="49"/>
        <v>Lucknow</v>
      </c>
      <c r="O781" t="str">
        <f t="shared" si="50"/>
        <v>Malayalam</v>
      </c>
      <c r="P781" t="str">
        <f t="shared" si="51"/>
        <v>Standard</v>
      </c>
    </row>
    <row r="782" spans="1:16" x14ac:dyDescent="0.3">
      <c r="A782" s="2" t="s">
        <v>826</v>
      </c>
      <c r="B782" s="2" t="s">
        <v>42</v>
      </c>
      <c r="C782" s="3">
        <v>42</v>
      </c>
      <c r="D782" t="s">
        <v>12</v>
      </c>
      <c r="E782" s="2" t="s">
        <v>19</v>
      </c>
      <c r="F782" s="2" t="s">
        <v>54</v>
      </c>
      <c r="G782">
        <v>21</v>
      </c>
      <c r="H782" s="4">
        <v>44662</v>
      </c>
      <c r="I782" s="2" t="s">
        <v>34</v>
      </c>
      <c r="J782" s="2" t="s">
        <v>27</v>
      </c>
      <c r="M782" t="str">
        <f t="shared" si="48"/>
        <v>Female</v>
      </c>
      <c r="N782" t="str">
        <f t="shared" si="49"/>
        <v>Bangalore</v>
      </c>
      <c r="O782" t="str">
        <f t="shared" si="50"/>
        <v>Marathi</v>
      </c>
      <c r="P782" t="str">
        <f t="shared" si="51"/>
        <v>Standard</v>
      </c>
    </row>
    <row r="783" spans="1:16" x14ac:dyDescent="0.3">
      <c r="A783" s="2" t="s">
        <v>827</v>
      </c>
      <c r="B783" s="2" t="s">
        <v>11</v>
      </c>
      <c r="C783" s="3">
        <v>19</v>
      </c>
      <c r="D783" t="s">
        <v>32</v>
      </c>
      <c r="E783" s="2" t="s">
        <v>19</v>
      </c>
      <c r="F783" s="2" t="s">
        <v>64</v>
      </c>
      <c r="G783">
        <v>19</v>
      </c>
      <c r="H783" s="4">
        <v>44700</v>
      </c>
      <c r="I783" s="2" t="s">
        <v>34</v>
      </c>
      <c r="J783" s="2" t="s">
        <v>65</v>
      </c>
      <c r="M783" t="str">
        <f t="shared" si="48"/>
        <v>Female</v>
      </c>
      <c r="N783" t="str">
        <f t="shared" si="49"/>
        <v>Pune</v>
      </c>
      <c r="O783" t="str">
        <f t="shared" si="50"/>
        <v>Marathi</v>
      </c>
      <c r="P783" t="str">
        <f t="shared" si="51"/>
        <v>Family</v>
      </c>
    </row>
    <row r="784" spans="1:16" x14ac:dyDescent="0.3">
      <c r="A784" s="2" t="s">
        <v>828</v>
      </c>
      <c r="B784" s="2" t="s">
        <v>11</v>
      </c>
      <c r="C784" s="3">
        <v>46</v>
      </c>
      <c r="D784" t="s">
        <v>46</v>
      </c>
      <c r="E784" s="2" t="s">
        <v>19</v>
      </c>
      <c r="F784" s="2" t="s">
        <v>38</v>
      </c>
      <c r="G784">
        <v>27</v>
      </c>
      <c r="H784" s="4">
        <v>44480</v>
      </c>
      <c r="I784" s="2" t="s">
        <v>62</v>
      </c>
      <c r="J784" s="2" t="s">
        <v>65</v>
      </c>
      <c r="M784" t="str">
        <f t="shared" si="48"/>
        <v>Female</v>
      </c>
      <c r="N784" t="str">
        <f t="shared" si="49"/>
        <v>Delhi</v>
      </c>
      <c r="O784" t="str">
        <f t="shared" si="50"/>
        <v>Gujarati</v>
      </c>
      <c r="P784" t="str">
        <f t="shared" si="51"/>
        <v>Family</v>
      </c>
    </row>
    <row r="785" spans="1:16" x14ac:dyDescent="0.3">
      <c r="A785" s="2" t="s">
        <v>829</v>
      </c>
      <c r="B785" s="2" t="s">
        <v>61</v>
      </c>
      <c r="C785" s="3">
        <v>32</v>
      </c>
      <c r="D785" t="s">
        <v>18</v>
      </c>
      <c r="E785" s="2" t="s">
        <v>19</v>
      </c>
      <c r="F785" s="2" t="s">
        <v>88</v>
      </c>
      <c r="G785">
        <v>18</v>
      </c>
      <c r="H785" s="4">
        <v>44728</v>
      </c>
      <c r="I785" s="2" t="s">
        <v>21</v>
      </c>
      <c r="J785" s="2" t="s">
        <v>27</v>
      </c>
      <c r="M785" t="str">
        <f t="shared" si="48"/>
        <v>Female</v>
      </c>
      <c r="N785" t="str">
        <f t="shared" si="49"/>
        <v>Lucknow</v>
      </c>
      <c r="O785" t="str">
        <f t="shared" si="50"/>
        <v>Bengali</v>
      </c>
      <c r="P785" t="str">
        <f t="shared" si="51"/>
        <v>Standard</v>
      </c>
    </row>
    <row r="786" spans="1:16" x14ac:dyDescent="0.3">
      <c r="A786" s="2" t="s">
        <v>830</v>
      </c>
      <c r="B786" s="2" t="s">
        <v>42</v>
      </c>
      <c r="C786" s="3">
        <v>33</v>
      </c>
      <c r="D786" t="s">
        <v>18</v>
      </c>
      <c r="E786" s="2" t="s">
        <v>13</v>
      </c>
      <c r="F786" s="2" t="s">
        <v>25</v>
      </c>
      <c r="G786">
        <v>42</v>
      </c>
      <c r="H786" s="4">
        <v>44024</v>
      </c>
      <c r="I786" s="2" t="s">
        <v>49</v>
      </c>
      <c r="J786" s="2" t="s">
        <v>65</v>
      </c>
      <c r="M786" t="str">
        <f t="shared" si="48"/>
        <v>Male</v>
      </c>
      <c r="N786" t="str">
        <f t="shared" si="49"/>
        <v>Mumbai</v>
      </c>
      <c r="O786" t="str">
        <f t="shared" si="50"/>
        <v>Kannada</v>
      </c>
      <c r="P786" t="str">
        <f t="shared" si="51"/>
        <v>Family</v>
      </c>
    </row>
    <row r="787" spans="1:16" x14ac:dyDescent="0.3">
      <c r="A787" s="2" t="s">
        <v>831</v>
      </c>
      <c r="B787" s="2" t="s">
        <v>11</v>
      </c>
      <c r="C787" s="3">
        <v>48</v>
      </c>
      <c r="D787" t="s">
        <v>46</v>
      </c>
      <c r="E787" s="2" t="s">
        <v>13</v>
      </c>
      <c r="F787" s="2" t="s">
        <v>20</v>
      </c>
      <c r="G787">
        <v>2</v>
      </c>
      <c r="H787" s="4">
        <v>45225</v>
      </c>
      <c r="I787" s="2" t="s">
        <v>34</v>
      </c>
      <c r="J787" s="2" t="s">
        <v>16</v>
      </c>
      <c r="M787" t="str">
        <f t="shared" si="48"/>
        <v>Male</v>
      </c>
      <c r="N787" t="str">
        <f t="shared" si="49"/>
        <v>Chennai</v>
      </c>
      <c r="O787" t="str">
        <f t="shared" si="50"/>
        <v>Marathi</v>
      </c>
      <c r="P787" t="str">
        <f t="shared" si="51"/>
        <v>Basic</v>
      </c>
    </row>
    <row r="788" spans="1:16" x14ac:dyDescent="0.3">
      <c r="A788" s="2" t="s">
        <v>832</v>
      </c>
      <c r="B788" s="2" t="s">
        <v>31</v>
      </c>
      <c r="C788" s="3">
        <v>21</v>
      </c>
      <c r="D788" t="s">
        <v>32</v>
      </c>
      <c r="E788" s="2" t="s">
        <v>13</v>
      </c>
      <c r="F788" s="2" t="s">
        <v>56</v>
      </c>
      <c r="G788">
        <v>57</v>
      </c>
      <c r="H788" s="4">
        <v>43578</v>
      </c>
      <c r="I788" s="2" t="s">
        <v>26</v>
      </c>
      <c r="J788" s="2" t="s">
        <v>16</v>
      </c>
      <c r="M788" t="str">
        <f t="shared" si="48"/>
        <v>Male</v>
      </c>
      <c r="N788" t="str">
        <f t="shared" si="49"/>
        <v>Hyderabad</v>
      </c>
      <c r="O788" t="str">
        <f t="shared" si="50"/>
        <v>Malayalam</v>
      </c>
      <c r="P788" t="str">
        <f t="shared" si="51"/>
        <v>Basic</v>
      </c>
    </row>
    <row r="789" spans="1:16" x14ac:dyDescent="0.3">
      <c r="A789" s="2" t="s">
        <v>833</v>
      </c>
      <c r="B789" s="2" t="s">
        <v>11</v>
      </c>
      <c r="C789" s="3">
        <v>30</v>
      </c>
      <c r="D789" t="s">
        <v>18</v>
      </c>
      <c r="E789" s="2" t="s">
        <v>19</v>
      </c>
      <c r="F789" s="2" t="s">
        <v>56</v>
      </c>
      <c r="G789">
        <v>6</v>
      </c>
      <c r="H789" s="4">
        <v>45092</v>
      </c>
      <c r="I789" s="2" t="s">
        <v>15</v>
      </c>
      <c r="J789" s="2" t="s">
        <v>22</v>
      </c>
      <c r="M789" t="str">
        <f t="shared" si="48"/>
        <v>Female</v>
      </c>
      <c r="N789" t="str">
        <f t="shared" si="49"/>
        <v>Hyderabad</v>
      </c>
      <c r="O789" t="str">
        <f t="shared" si="50"/>
        <v>Telugu</v>
      </c>
      <c r="P789" t="str">
        <f t="shared" si="51"/>
        <v>Premium</v>
      </c>
    </row>
    <row r="790" spans="1:16" x14ac:dyDescent="0.3">
      <c r="A790" s="2" t="s">
        <v>834</v>
      </c>
      <c r="B790" s="2" t="s">
        <v>24</v>
      </c>
      <c r="C790" s="3">
        <v>30</v>
      </c>
      <c r="D790" t="s">
        <v>18</v>
      </c>
      <c r="E790" s="2" t="s">
        <v>105</v>
      </c>
      <c r="F790" s="2" t="s">
        <v>25</v>
      </c>
      <c r="G790">
        <v>52</v>
      </c>
      <c r="H790" s="4">
        <v>43724</v>
      </c>
      <c r="I790" s="2" t="s">
        <v>21</v>
      </c>
      <c r="J790" s="2" t="s">
        <v>27</v>
      </c>
      <c r="M790" t="str">
        <f t="shared" si="48"/>
        <v>Non-Binary</v>
      </c>
      <c r="N790" t="str">
        <f t="shared" si="49"/>
        <v>Mumbai</v>
      </c>
      <c r="O790" t="str">
        <f t="shared" si="50"/>
        <v>Bengali</v>
      </c>
      <c r="P790" t="str">
        <f t="shared" si="51"/>
        <v>Standard</v>
      </c>
    </row>
    <row r="791" spans="1:16" x14ac:dyDescent="0.3">
      <c r="A791" s="2" t="s">
        <v>835</v>
      </c>
      <c r="B791" s="2" t="s">
        <v>11</v>
      </c>
      <c r="C791" s="3">
        <v>36</v>
      </c>
      <c r="D791" t="s">
        <v>12</v>
      </c>
      <c r="E791" s="2" t="s">
        <v>13</v>
      </c>
      <c r="F791" s="2" t="s">
        <v>54</v>
      </c>
      <c r="G791">
        <v>53</v>
      </c>
      <c r="H791" s="4">
        <v>43692</v>
      </c>
      <c r="I791" s="2" t="s">
        <v>49</v>
      </c>
      <c r="J791" s="2" t="s">
        <v>27</v>
      </c>
      <c r="M791" t="str">
        <f t="shared" si="48"/>
        <v>Male</v>
      </c>
      <c r="N791" t="str">
        <f t="shared" si="49"/>
        <v>Bangalore</v>
      </c>
      <c r="O791" t="str">
        <f t="shared" si="50"/>
        <v>Kannada</v>
      </c>
      <c r="P791" t="str">
        <f t="shared" si="51"/>
        <v>Standard</v>
      </c>
    </row>
    <row r="792" spans="1:16" x14ac:dyDescent="0.3">
      <c r="A792" s="2" t="s">
        <v>836</v>
      </c>
      <c r="B792" s="2" t="s">
        <v>11</v>
      </c>
      <c r="C792" s="3">
        <v>21</v>
      </c>
      <c r="D792" t="s">
        <v>32</v>
      </c>
      <c r="E792" s="2" t="s">
        <v>19</v>
      </c>
      <c r="F792" s="2" t="s">
        <v>33</v>
      </c>
      <c r="G792">
        <v>27</v>
      </c>
      <c r="H792" s="4">
        <v>44459</v>
      </c>
      <c r="I792" s="2" t="s">
        <v>15</v>
      </c>
      <c r="J792" s="2" t="s">
        <v>22</v>
      </c>
      <c r="M792" t="str">
        <f t="shared" si="48"/>
        <v>Female</v>
      </c>
      <c r="N792" t="str">
        <f t="shared" si="49"/>
        <v>Jaipur</v>
      </c>
      <c r="O792" t="str">
        <f t="shared" si="50"/>
        <v>Telugu</v>
      </c>
      <c r="P792" t="str">
        <f t="shared" si="51"/>
        <v>Premium</v>
      </c>
    </row>
    <row r="793" spans="1:16" x14ac:dyDescent="0.3">
      <c r="A793" s="2" t="s">
        <v>837</v>
      </c>
      <c r="B793" s="2" t="s">
        <v>42</v>
      </c>
      <c r="C793" s="3">
        <v>19</v>
      </c>
      <c r="D793" t="s">
        <v>32</v>
      </c>
      <c r="E793" s="2" t="s">
        <v>19</v>
      </c>
      <c r="F793" s="2" t="s">
        <v>38</v>
      </c>
      <c r="G793">
        <v>27</v>
      </c>
      <c r="H793" s="4">
        <v>44477</v>
      </c>
      <c r="I793" s="2" t="s">
        <v>49</v>
      </c>
      <c r="J793" s="2" t="s">
        <v>65</v>
      </c>
      <c r="M793" t="str">
        <f t="shared" si="48"/>
        <v>Female</v>
      </c>
      <c r="N793" t="str">
        <f t="shared" si="49"/>
        <v>Delhi</v>
      </c>
      <c r="O793" t="str">
        <f t="shared" si="50"/>
        <v>Kannada</v>
      </c>
      <c r="P793" t="str">
        <f t="shared" si="51"/>
        <v>Family</v>
      </c>
    </row>
    <row r="794" spans="1:16" x14ac:dyDescent="0.3">
      <c r="A794" s="2" t="s">
        <v>838</v>
      </c>
      <c r="B794" s="2" t="s">
        <v>24</v>
      </c>
      <c r="C794" s="3">
        <v>37</v>
      </c>
      <c r="D794" t="s">
        <v>12</v>
      </c>
      <c r="E794" s="2" t="s">
        <v>13</v>
      </c>
      <c r="F794" s="2" t="s">
        <v>88</v>
      </c>
      <c r="G794">
        <v>43</v>
      </c>
      <c r="H794" s="4">
        <v>43981</v>
      </c>
      <c r="I794" s="2" t="s">
        <v>26</v>
      </c>
      <c r="J794" s="2" t="s">
        <v>22</v>
      </c>
      <c r="M794" t="str">
        <f t="shared" si="48"/>
        <v>Male</v>
      </c>
      <c r="N794" t="str">
        <f t="shared" si="49"/>
        <v>Lucknow</v>
      </c>
      <c r="O794" t="str">
        <f t="shared" si="50"/>
        <v>Malayalam</v>
      </c>
      <c r="P794" t="str">
        <f t="shared" si="51"/>
        <v>Premium</v>
      </c>
    </row>
    <row r="795" spans="1:16" x14ac:dyDescent="0.3">
      <c r="A795" s="2" t="s">
        <v>839</v>
      </c>
      <c r="B795" s="2" t="s">
        <v>24</v>
      </c>
      <c r="C795" s="3">
        <v>20</v>
      </c>
      <c r="D795" t="s">
        <v>32</v>
      </c>
      <c r="E795" s="2" t="s">
        <v>19</v>
      </c>
      <c r="F795" s="2" t="s">
        <v>54</v>
      </c>
      <c r="G795">
        <v>33</v>
      </c>
      <c r="H795" s="4">
        <v>44295</v>
      </c>
      <c r="I795" s="2" t="s">
        <v>15</v>
      </c>
      <c r="J795" s="2" t="s">
        <v>27</v>
      </c>
      <c r="M795" t="str">
        <f t="shared" si="48"/>
        <v>Female</v>
      </c>
      <c r="N795" t="str">
        <f t="shared" si="49"/>
        <v>Bangalore</v>
      </c>
      <c r="O795" t="str">
        <f t="shared" si="50"/>
        <v>Telugu</v>
      </c>
      <c r="P795" t="str">
        <f t="shared" si="51"/>
        <v>Standard</v>
      </c>
    </row>
    <row r="796" spans="1:16" x14ac:dyDescent="0.3">
      <c r="A796" s="2" t="s">
        <v>840</v>
      </c>
      <c r="B796" s="2" t="s">
        <v>24</v>
      </c>
      <c r="C796" s="3">
        <v>30</v>
      </c>
      <c r="D796" t="s">
        <v>18</v>
      </c>
      <c r="E796" s="2" t="s">
        <v>19</v>
      </c>
      <c r="F796" s="2" t="s">
        <v>88</v>
      </c>
      <c r="G796">
        <v>58</v>
      </c>
      <c r="H796" s="4">
        <v>43547</v>
      </c>
      <c r="I796" s="2" t="s">
        <v>34</v>
      </c>
      <c r="J796" s="2" t="s">
        <v>22</v>
      </c>
      <c r="M796" t="str">
        <f t="shared" si="48"/>
        <v>Female</v>
      </c>
      <c r="N796" t="str">
        <f t="shared" si="49"/>
        <v>Lucknow</v>
      </c>
      <c r="O796" t="str">
        <f t="shared" si="50"/>
        <v>Marathi</v>
      </c>
      <c r="P796" t="str">
        <f t="shared" si="51"/>
        <v>Premium</v>
      </c>
    </row>
    <row r="797" spans="1:16" x14ac:dyDescent="0.3">
      <c r="A797" s="2" t="s">
        <v>841</v>
      </c>
      <c r="B797" s="2" t="s">
        <v>31</v>
      </c>
      <c r="C797" s="3">
        <v>40</v>
      </c>
      <c r="D797" t="s">
        <v>12</v>
      </c>
      <c r="E797" s="2" t="s">
        <v>13</v>
      </c>
      <c r="F797" s="2" t="s">
        <v>14</v>
      </c>
      <c r="G797">
        <v>49</v>
      </c>
      <c r="H797" s="4">
        <v>43796</v>
      </c>
      <c r="I797" s="2" t="s">
        <v>62</v>
      </c>
      <c r="J797" s="2" t="s">
        <v>16</v>
      </c>
      <c r="M797" t="str">
        <f t="shared" si="48"/>
        <v>Male</v>
      </c>
      <c r="N797" t="str">
        <f t="shared" si="49"/>
        <v>Kolkata</v>
      </c>
      <c r="O797" t="str">
        <f t="shared" si="50"/>
        <v>Gujarati</v>
      </c>
      <c r="P797" t="str">
        <f t="shared" si="51"/>
        <v>Basic</v>
      </c>
    </row>
    <row r="798" spans="1:16" x14ac:dyDescent="0.3">
      <c r="A798" s="2" t="s">
        <v>842</v>
      </c>
      <c r="B798" s="2" t="s">
        <v>42</v>
      </c>
      <c r="C798" s="3">
        <v>26</v>
      </c>
      <c r="D798" t="s">
        <v>18</v>
      </c>
      <c r="E798" s="2" t="s">
        <v>13</v>
      </c>
      <c r="F798" s="2" t="s">
        <v>33</v>
      </c>
      <c r="G798">
        <v>43</v>
      </c>
      <c r="H798" s="4">
        <v>43974</v>
      </c>
      <c r="I798" s="2" t="s">
        <v>26</v>
      </c>
      <c r="J798" s="2" t="s">
        <v>27</v>
      </c>
      <c r="M798" t="str">
        <f t="shared" si="48"/>
        <v>Male</v>
      </c>
      <c r="N798" t="str">
        <f t="shared" si="49"/>
        <v>Jaipur</v>
      </c>
      <c r="O798" t="str">
        <f t="shared" si="50"/>
        <v>Malayalam</v>
      </c>
      <c r="P798" t="str">
        <f t="shared" si="51"/>
        <v>Standard</v>
      </c>
    </row>
    <row r="799" spans="1:16" x14ac:dyDescent="0.3">
      <c r="A799" s="2" t="s">
        <v>843</v>
      </c>
      <c r="B799" s="2" t="s">
        <v>31</v>
      </c>
      <c r="C799" s="3">
        <v>31</v>
      </c>
      <c r="D799" t="s">
        <v>18</v>
      </c>
      <c r="E799" s="2" t="s">
        <v>13</v>
      </c>
      <c r="F799" s="2" t="s">
        <v>36</v>
      </c>
      <c r="G799">
        <v>15</v>
      </c>
      <c r="H799" s="4">
        <v>44832</v>
      </c>
      <c r="I799" s="2" t="s">
        <v>21</v>
      </c>
      <c r="J799" s="2" t="s">
        <v>16</v>
      </c>
      <c r="M799" t="str">
        <f t="shared" si="48"/>
        <v>Male</v>
      </c>
      <c r="N799" t="str">
        <f t="shared" si="49"/>
        <v>Ahmedabad</v>
      </c>
      <c r="O799" t="str">
        <f t="shared" si="50"/>
        <v>Bengali</v>
      </c>
      <c r="P799" t="str">
        <f t="shared" si="51"/>
        <v>Basic</v>
      </c>
    </row>
    <row r="800" spans="1:16" x14ac:dyDescent="0.3">
      <c r="A800" s="2" t="s">
        <v>844</v>
      </c>
      <c r="B800" s="2" t="s">
        <v>31</v>
      </c>
      <c r="C800" s="3">
        <v>38</v>
      </c>
      <c r="D800" t="s">
        <v>12</v>
      </c>
      <c r="E800" s="2" t="s">
        <v>13</v>
      </c>
      <c r="F800" s="2" t="s">
        <v>25</v>
      </c>
      <c r="G800">
        <v>52</v>
      </c>
      <c r="H800" s="4">
        <v>43703</v>
      </c>
      <c r="I800" s="2" t="s">
        <v>39</v>
      </c>
      <c r="J800" s="2" t="s">
        <v>16</v>
      </c>
      <c r="M800" t="str">
        <f t="shared" si="48"/>
        <v>Male</v>
      </c>
      <c r="N800" t="str">
        <f t="shared" si="49"/>
        <v>Mumbai</v>
      </c>
      <c r="O800" t="str">
        <f t="shared" si="50"/>
        <v>Tamil</v>
      </c>
      <c r="P800" t="str">
        <f t="shared" si="51"/>
        <v>Basic</v>
      </c>
    </row>
    <row r="801" spans="1:16" x14ac:dyDescent="0.3">
      <c r="A801" s="2" t="s">
        <v>845</v>
      </c>
      <c r="B801" s="2" t="s">
        <v>11</v>
      </c>
      <c r="C801" s="3">
        <v>45</v>
      </c>
      <c r="D801" t="s">
        <v>46</v>
      </c>
      <c r="E801" s="2" t="s">
        <v>13</v>
      </c>
      <c r="F801" s="2" t="s">
        <v>54</v>
      </c>
      <c r="G801">
        <v>11</v>
      </c>
      <c r="H801" s="4">
        <v>44962</v>
      </c>
      <c r="I801" s="2" t="s">
        <v>21</v>
      </c>
      <c r="J801" s="2" t="s">
        <v>22</v>
      </c>
      <c r="M801" t="str">
        <f t="shared" si="48"/>
        <v>Male</v>
      </c>
      <c r="N801" t="str">
        <f t="shared" si="49"/>
        <v>Bangalore</v>
      </c>
      <c r="O801" t="str">
        <f t="shared" si="50"/>
        <v>Bengali</v>
      </c>
      <c r="P801" t="str">
        <f t="shared" si="51"/>
        <v>Premium</v>
      </c>
    </row>
    <row r="802" spans="1:16" x14ac:dyDescent="0.3">
      <c r="A802" s="2" t="s">
        <v>846</v>
      </c>
      <c r="B802" s="2" t="s">
        <v>61</v>
      </c>
      <c r="C802" s="3">
        <v>25</v>
      </c>
      <c r="D802" t="s">
        <v>18</v>
      </c>
      <c r="E802" s="2" t="s">
        <v>13</v>
      </c>
      <c r="F802" s="2" t="s">
        <v>88</v>
      </c>
      <c r="G802">
        <v>12</v>
      </c>
      <c r="H802" s="4">
        <v>44914</v>
      </c>
      <c r="I802" s="2" t="s">
        <v>34</v>
      </c>
      <c r="J802" s="2" t="s">
        <v>27</v>
      </c>
      <c r="M802" t="str">
        <f t="shared" si="48"/>
        <v>Male</v>
      </c>
      <c r="N802" t="str">
        <f t="shared" si="49"/>
        <v>Lucknow</v>
      </c>
      <c r="O802" t="str">
        <f t="shared" si="50"/>
        <v>Marathi</v>
      </c>
      <c r="P802" t="str">
        <f t="shared" si="51"/>
        <v>Standard</v>
      </c>
    </row>
    <row r="803" spans="1:16" x14ac:dyDescent="0.3">
      <c r="A803" s="2" t="s">
        <v>847</v>
      </c>
      <c r="B803" s="2" t="s">
        <v>24</v>
      </c>
      <c r="C803" s="3">
        <v>39</v>
      </c>
      <c r="D803" t="s">
        <v>12</v>
      </c>
      <c r="E803" s="2" t="s">
        <v>19</v>
      </c>
      <c r="F803" s="2" t="s">
        <v>38</v>
      </c>
      <c r="G803">
        <v>24</v>
      </c>
      <c r="H803" s="4">
        <v>44561</v>
      </c>
      <c r="I803" s="2" t="s">
        <v>15</v>
      </c>
      <c r="J803" s="2" t="s">
        <v>27</v>
      </c>
      <c r="M803" t="str">
        <f t="shared" si="48"/>
        <v>Female</v>
      </c>
      <c r="N803" t="str">
        <f t="shared" si="49"/>
        <v>Delhi</v>
      </c>
      <c r="O803" t="str">
        <f t="shared" si="50"/>
        <v>Telugu</v>
      </c>
      <c r="P803" t="str">
        <f t="shared" si="51"/>
        <v>Standard</v>
      </c>
    </row>
    <row r="804" spans="1:16" x14ac:dyDescent="0.3">
      <c r="A804" s="2" t="s">
        <v>848</v>
      </c>
      <c r="B804" s="2" t="s">
        <v>31</v>
      </c>
      <c r="C804" s="3">
        <v>37</v>
      </c>
      <c r="D804" t="s">
        <v>12</v>
      </c>
      <c r="E804" s="2" t="s">
        <v>19</v>
      </c>
      <c r="F804" s="2" t="s">
        <v>33</v>
      </c>
      <c r="G804">
        <v>16</v>
      </c>
      <c r="H804" s="4">
        <v>44795</v>
      </c>
      <c r="I804" s="2" t="s">
        <v>15</v>
      </c>
      <c r="J804" s="2" t="s">
        <v>27</v>
      </c>
      <c r="M804" t="str">
        <f t="shared" si="48"/>
        <v>Female</v>
      </c>
      <c r="N804" t="str">
        <f t="shared" si="49"/>
        <v>Jaipur</v>
      </c>
      <c r="O804" t="str">
        <f t="shared" si="50"/>
        <v>Telugu</v>
      </c>
      <c r="P804" t="str">
        <f t="shared" si="51"/>
        <v>Standard</v>
      </c>
    </row>
    <row r="805" spans="1:16" x14ac:dyDescent="0.3">
      <c r="A805" s="2" t="s">
        <v>849</v>
      </c>
      <c r="B805" s="2" t="s">
        <v>24</v>
      </c>
      <c r="C805" s="3">
        <v>25</v>
      </c>
      <c r="D805" t="s">
        <v>18</v>
      </c>
      <c r="E805" s="2" t="s">
        <v>19</v>
      </c>
      <c r="F805" s="2" t="s">
        <v>20</v>
      </c>
      <c r="G805">
        <v>18</v>
      </c>
      <c r="H805" s="4">
        <v>44738</v>
      </c>
      <c r="I805" s="2" t="s">
        <v>39</v>
      </c>
      <c r="J805" s="2" t="s">
        <v>22</v>
      </c>
      <c r="M805" t="str">
        <f t="shared" si="48"/>
        <v>Female</v>
      </c>
      <c r="N805" t="str">
        <f t="shared" si="49"/>
        <v>Chennai</v>
      </c>
      <c r="O805" t="str">
        <f t="shared" si="50"/>
        <v>Tamil</v>
      </c>
      <c r="P805" t="str">
        <f t="shared" si="51"/>
        <v>Premium</v>
      </c>
    </row>
    <row r="806" spans="1:16" x14ac:dyDescent="0.3">
      <c r="A806" s="2" t="s">
        <v>850</v>
      </c>
      <c r="B806" s="2" t="s">
        <v>11</v>
      </c>
      <c r="C806" s="3">
        <v>29</v>
      </c>
      <c r="D806" t="s">
        <v>18</v>
      </c>
      <c r="E806" s="2" t="s">
        <v>19</v>
      </c>
      <c r="F806" s="2" t="s">
        <v>54</v>
      </c>
      <c r="G806">
        <v>36</v>
      </c>
      <c r="H806" s="4">
        <v>44192</v>
      </c>
      <c r="I806" s="2" t="s">
        <v>21</v>
      </c>
      <c r="J806" s="2" t="s">
        <v>16</v>
      </c>
      <c r="M806" t="str">
        <f t="shared" si="48"/>
        <v>Female</v>
      </c>
      <c r="N806" t="str">
        <f t="shared" si="49"/>
        <v>Bangalore</v>
      </c>
      <c r="O806" t="str">
        <f t="shared" si="50"/>
        <v>Bengali</v>
      </c>
      <c r="P806" t="str">
        <f t="shared" si="51"/>
        <v>Basic</v>
      </c>
    </row>
    <row r="807" spans="1:16" x14ac:dyDescent="0.3">
      <c r="A807" s="2" t="s">
        <v>851</v>
      </c>
      <c r="B807" s="2" t="s">
        <v>31</v>
      </c>
      <c r="C807" s="3">
        <v>36</v>
      </c>
      <c r="D807" t="s">
        <v>12</v>
      </c>
      <c r="E807" s="2" t="s">
        <v>13</v>
      </c>
      <c r="F807" s="2" t="s">
        <v>33</v>
      </c>
      <c r="G807">
        <v>41</v>
      </c>
      <c r="H807" s="4">
        <v>44055</v>
      </c>
      <c r="I807" s="2" t="s">
        <v>15</v>
      </c>
      <c r="J807" s="2" t="s">
        <v>27</v>
      </c>
      <c r="M807" t="str">
        <f t="shared" si="48"/>
        <v>Male</v>
      </c>
      <c r="N807" t="str">
        <f t="shared" si="49"/>
        <v>Jaipur</v>
      </c>
      <c r="O807" t="str">
        <f t="shared" si="50"/>
        <v>Telugu</v>
      </c>
      <c r="P807" t="str">
        <f t="shared" si="51"/>
        <v>Standard</v>
      </c>
    </row>
    <row r="808" spans="1:16" x14ac:dyDescent="0.3">
      <c r="A808" s="2" t="s">
        <v>852</v>
      </c>
      <c r="B808" s="2" t="s">
        <v>11</v>
      </c>
      <c r="C808" s="3">
        <v>26</v>
      </c>
      <c r="D808" t="s">
        <v>18</v>
      </c>
      <c r="E808" s="2" t="s">
        <v>13</v>
      </c>
      <c r="F808" s="2" t="s">
        <v>25</v>
      </c>
      <c r="G808">
        <v>18</v>
      </c>
      <c r="H808" s="4">
        <v>44747</v>
      </c>
      <c r="I808" s="2" t="s">
        <v>49</v>
      </c>
      <c r="J808" s="2" t="s">
        <v>27</v>
      </c>
      <c r="M808" t="str">
        <f t="shared" si="48"/>
        <v>Male</v>
      </c>
      <c r="N808" t="str">
        <f t="shared" si="49"/>
        <v>Mumbai</v>
      </c>
      <c r="O808" t="str">
        <f t="shared" si="50"/>
        <v>Kannada</v>
      </c>
      <c r="P808" t="str">
        <f t="shared" si="51"/>
        <v>Standard</v>
      </c>
    </row>
    <row r="809" spans="1:16" x14ac:dyDescent="0.3">
      <c r="A809" s="2" t="s">
        <v>853</v>
      </c>
      <c r="B809" s="2" t="s">
        <v>11</v>
      </c>
      <c r="C809" s="3">
        <v>35</v>
      </c>
      <c r="D809" t="s">
        <v>12</v>
      </c>
      <c r="E809" s="2" t="s">
        <v>19</v>
      </c>
      <c r="F809" s="2" t="s">
        <v>36</v>
      </c>
      <c r="G809">
        <v>8</v>
      </c>
      <c r="H809" s="4">
        <v>45034</v>
      </c>
      <c r="I809" s="2" t="s">
        <v>39</v>
      </c>
      <c r="J809" s="2" t="s">
        <v>27</v>
      </c>
      <c r="M809" t="str">
        <f t="shared" si="48"/>
        <v>Female</v>
      </c>
      <c r="N809" t="str">
        <f t="shared" si="49"/>
        <v>Ahmedabad</v>
      </c>
      <c r="O809" t="str">
        <f t="shared" si="50"/>
        <v>Tamil</v>
      </c>
      <c r="P809" t="str">
        <f t="shared" si="51"/>
        <v>Standard</v>
      </c>
    </row>
    <row r="810" spans="1:16" x14ac:dyDescent="0.3">
      <c r="A810" s="2" t="s">
        <v>854</v>
      </c>
      <c r="B810" s="2" t="s">
        <v>24</v>
      </c>
      <c r="C810" s="3">
        <v>26</v>
      </c>
      <c r="D810" t="s">
        <v>18</v>
      </c>
      <c r="E810" s="2" t="s">
        <v>19</v>
      </c>
      <c r="F810" s="2" t="s">
        <v>54</v>
      </c>
      <c r="G810">
        <v>14</v>
      </c>
      <c r="H810" s="4">
        <v>44866</v>
      </c>
      <c r="I810" s="2" t="s">
        <v>29</v>
      </c>
      <c r="J810" s="2" t="s">
        <v>22</v>
      </c>
      <c r="M810" t="str">
        <f t="shared" si="48"/>
        <v>Female</v>
      </c>
      <c r="N810" t="str">
        <f t="shared" si="49"/>
        <v>Bangalore</v>
      </c>
      <c r="O810" t="str">
        <f t="shared" si="50"/>
        <v>English</v>
      </c>
      <c r="P810" t="str">
        <f t="shared" si="51"/>
        <v>Premium</v>
      </c>
    </row>
    <row r="811" spans="1:16" x14ac:dyDescent="0.3">
      <c r="A811" s="2" t="s">
        <v>855</v>
      </c>
      <c r="B811" s="2" t="s">
        <v>24</v>
      </c>
      <c r="C811" s="3">
        <v>36</v>
      </c>
      <c r="D811" t="s">
        <v>12</v>
      </c>
      <c r="E811" s="2" t="s">
        <v>13</v>
      </c>
      <c r="F811" s="2" t="s">
        <v>64</v>
      </c>
      <c r="G811">
        <v>54</v>
      </c>
      <c r="H811" s="4">
        <v>43653</v>
      </c>
      <c r="I811" s="2" t="s">
        <v>39</v>
      </c>
      <c r="J811" s="2" t="s">
        <v>22</v>
      </c>
      <c r="M811" t="str">
        <f t="shared" si="48"/>
        <v>Male</v>
      </c>
      <c r="N811" t="str">
        <f t="shared" si="49"/>
        <v>Pune</v>
      </c>
      <c r="O811" t="str">
        <f t="shared" si="50"/>
        <v>Tamil</v>
      </c>
      <c r="P811" t="str">
        <f t="shared" si="51"/>
        <v>Premium</v>
      </c>
    </row>
    <row r="812" spans="1:16" x14ac:dyDescent="0.3">
      <c r="A812" s="2" t="s">
        <v>856</v>
      </c>
      <c r="B812" s="2" t="s">
        <v>24</v>
      </c>
      <c r="C812" s="3">
        <v>20</v>
      </c>
      <c r="D812" t="s">
        <v>32</v>
      </c>
      <c r="E812" s="2" t="s">
        <v>19</v>
      </c>
      <c r="F812" s="2" t="s">
        <v>14</v>
      </c>
      <c r="G812">
        <v>26</v>
      </c>
      <c r="H812" s="4">
        <v>44503</v>
      </c>
      <c r="I812" s="2" t="s">
        <v>39</v>
      </c>
      <c r="J812" s="2" t="s">
        <v>27</v>
      </c>
      <c r="M812" t="str">
        <f t="shared" si="48"/>
        <v>Female</v>
      </c>
      <c r="N812" t="str">
        <f t="shared" si="49"/>
        <v>Kolkata</v>
      </c>
      <c r="O812" t="str">
        <f t="shared" si="50"/>
        <v>Tamil</v>
      </c>
      <c r="P812" t="str">
        <f t="shared" si="51"/>
        <v>Standard</v>
      </c>
    </row>
    <row r="813" spans="1:16" x14ac:dyDescent="0.3">
      <c r="A813" s="2" t="s">
        <v>857</v>
      </c>
      <c r="B813" s="2" t="s">
        <v>24</v>
      </c>
      <c r="C813" s="3">
        <v>41</v>
      </c>
      <c r="D813" t="s">
        <v>12</v>
      </c>
      <c r="E813" s="2" t="s">
        <v>19</v>
      </c>
      <c r="F813" s="2" t="s">
        <v>54</v>
      </c>
      <c r="G813">
        <v>32</v>
      </c>
      <c r="H813" s="4">
        <v>44327</v>
      </c>
      <c r="I813" s="2" t="s">
        <v>21</v>
      </c>
      <c r="J813" s="2" t="s">
        <v>16</v>
      </c>
      <c r="M813" t="str">
        <f t="shared" si="48"/>
        <v>Female</v>
      </c>
      <c r="N813" t="str">
        <f t="shared" si="49"/>
        <v>Bangalore</v>
      </c>
      <c r="O813" t="str">
        <f t="shared" si="50"/>
        <v>Bengali</v>
      </c>
      <c r="P813" t="str">
        <f t="shared" si="51"/>
        <v>Basic</v>
      </c>
    </row>
    <row r="814" spans="1:16" x14ac:dyDescent="0.3">
      <c r="A814" s="2" t="s">
        <v>858</v>
      </c>
      <c r="B814" s="2" t="s">
        <v>11</v>
      </c>
      <c r="C814" s="3">
        <v>44</v>
      </c>
      <c r="D814" t="s">
        <v>12</v>
      </c>
      <c r="E814" s="2" t="s">
        <v>19</v>
      </c>
      <c r="F814" s="2" t="s">
        <v>88</v>
      </c>
      <c r="G814">
        <v>35</v>
      </c>
      <c r="H814" s="4">
        <v>44232</v>
      </c>
      <c r="I814" s="2" t="s">
        <v>26</v>
      </c>
      <c r="J814" s="2" t="s">
        <v>22</v>
      </c>
      <c r="M814" t="str">
        <f t="shared" si="48"/>
        <v>Female</v>
      </c>
      <c r="N814" t="str">
        <f t="shared" si="49"/>
        <v>Lucknow</v>
      </c>
      <c r="O814" t="str">
        <f t="shared" si="50"/>
        <v>Malayalam</v>
      </c>
      <c r="P814" t="str">
        <f t="shared" si="51"/>
        <v>Premium</v>
      </c>
    </row>
    <row r="815" spans="1:16" x14ac:dyDescent="0.3">
      <c r="A815" s="2" t="s">
        <v>859</v>
      </c>
      <c r="B815" s="2" t="s">
        <v>24</v>
      </c>
      <c r="C815" s="3">
        <v>30</v>
      </c>
      <c r="D815" t="s">
        <v>18</v>
      </c>
      <c r="E815" s="2" t="s">
        <v>19</v>
      </c>
      <c r="F815" s="2" t="s">
        <v>36</v>
      </c>
      <c r="G815">
        <v>18</v>
      </c>
      <c r="H815" s="4">
        <v>44751</v>
      </c>
      <c r="I815" s="2" t="s">
        <v>21</v>
      </c>
      <c r="J815" s="2" t="s">
        <v>65</v>
      </c>
      <c r="M815" t="str">
        <f t="shared" si="48"/>
        <v>Female</v>
      </c>
      <c r="N815" t="str">
        <f t="shared" si="49"/>
        <v>Ahmedabad</v>
      </c>
      <c r="O815" t="str">
        <f t="shared" si="50"/>
        <v>Bengali</v>
      </c>
      <c r="P815" t="str">
        <f t="shared" si="51"/>
        <v>Family</v>
      </c>
    </row>
    <row r="816" spans="1:16" x14ac:dyDescent="0.3">
      <c r="A816" s="2" t="s">
        <v>860</v>
      </c>
      <c r="B816" s="2" t="s">
        <v>11</v>
      </c>
      <c r="C816" s="3">
        <v>18</v>
      </c>
      <c r="D816" t="s">
        <v>32</v>
      </c>
      <c r="E816" s="2" t="s">
        <v>13</v>
      </c>
      <c r="F816" s="2" t="s">
        <v>64</v>
      </c>
      <c r="G816">
        <v>57</v>
      </c>
      <c r="H816" s="4">
        <v>43574</v>
      </c>
      <c r="I816" s="2" t="s">
        <v>39</v>
      </c>
      <c r="J816" s="2" t="s">
        <v>22</v>
      </c>
      <c r="M816" t="str">
        <f t="shared" si="48"/>
        <v>Male</v>
      </c>
      <c r="N816" t="str">
        <f t="shared" si="49"/>
        <v>Pune</v>
      </c>
      <c r="O816" t="str">
        <f t="shared" si="50"/>
        <v>Tamil</v>
      </c>
      <c r="P816" t="str">
        <f t="shared" si="51"/>
        <v>Premium</v>
      </c>
    </row>
    <row r="817" spans="1:16" x14ac:dyDescent="0.3">
      <c r="A817" s="2" t="s">
        <v>861</v>
      </c>
      <c r="B817" s="2" t="s">
        <v>24</v>
      </c>
      <c r="C817" s="3">
        <v>36</v>
      </c>
      <c r="D817" t="s">
        <v>12</v>
      </c>
      <c r="E817" s="2" t="s">
        <v>13</v>
      </c>
      <c r="F817" s="2" t="s">
        <v>38</v>
      </c>
      <c r="G817">
        <v>60</v>
      </c>
      <c r="H817" s="4">
        <v>43479</v>
      </c>
      <c r="I817" s="2" t="s">
        <v>34</v>
      </c>
      <c r="J817" s="2" t="s">
        <v>65</v>
      </c>
      <c r="M817" t="str">
        <f t="shared" si="48"/>
        <v>Male</v>
      </c>
      <c r="N817" t="str">
        <f t="shared" si="49"/>
        <v>Delhi</v>
      </c>
      <c r="O817" t="str">
        <f t="shared" si="50"/>
        <v>Marathi</v>
      </c>
      <c r="P817" t="str">
        <f t="shared" si="51"/>
        <v>Family</v>
      </c>
    </row>
    <row r="818" spans="1:16" x14ac:dyDescent="0.3">
      <c r="A818" s="2" t="s">
        <v>862</v>
      </c>
      <c r="B818" s="2" t="s">
        <v>11</v>
      </c>
      <c r="C818" s="3">
        <v>41</v>
      </c>
      <c r="D818" t="s">
        <v>12</v>
      </c>
      <c r="E818" s="2" t="s">
        <v>13</v>
      </c>
      <c r="F818" s="2" t="s">
        <v>25</v>
      </c>
      <c r="G818">
        <v>10</v>
      </c>
      <c r="H818" s="4">
        <v>44975</v>
      </c>
      <c r="I818" s="2" t="s">
        <v>29</v>
      </c>
      <c r="J818" s="2" t="s">
        <v>27</v>
      </c>
      <c r="M818" t="str">
        <f t="shared" si="48"/>
        <v>Male</v>
      </c>
      <c r="N818" t="str">
        <f t="shared" si="49"/>
        <v>Mumbai</v>
      </c>
      <c r="O818" t="str">
        <f t="shared" si="50"/>
        <v>English</v>
      </c>
      <c r="P818" t="str">
        <f t="shared" si="51"/>
        <v>Standard</v>
      </c>
    </row>
    <row r="819" spans="1:16" x14ac:dyDescent="0.3">
      <c r="A819" s="2" t="s">
        <v>863</v>
      </c>
      <c r="B819" s="2" t="s">
        <v>61</v>
      </c>
      <c r="C819" s="3">
        <v>27</v>
      </c>
      <c r="D819" t="s">
        <v>18</v>
      </c>
      <c r="E819" s="2" t="s">
        <v>19</v>
      </c>
      <c r="F819" s="2" t="s">
        <v>56</v>
      </c>
      <c r="G819">
        <v>54</v>
      </c>
      <c r="H819" s="4">
        <v>43644</v>
      </c>
      <c r="I819" s="2" t="s">
        <v>62</v>
      </c>
      <c r="J819" s="2" t="s">
        <v>27</v>
      </c>
      <c r="M819" t="str">
        <f t="shared" si="48"/>
        <v>Female</v>
      </c>
      <c r="N819" t="str">
        <f t="shared" si="49"/>
        <v>Hyderabad</v>
      </c>
      <c r="O819" t="str">
        <f t="shared" si="50"/>
        <v>Gujarati</v>
      </c>
      <c r="P819" t="str">
        <f t="shared" si="51"/>
        <v>Standard</v>
      </c>
    </row>
    <row r="820" spans="1:16" x14ac:dyDescent="0.3">
      <c r="A820" s="2" t="s">
        <v>864</v>
      </c>
      <c r="B820" s="2" t="s">
        <v>31</v>
      </c>
      <c r="C820" s="3">
        <v>22</v>
      </c>
      <c r="D820" t="s">
        <v>32</v>
      </c>
      <c r="E820" s="2" t="s">
        <v>19</v>
      </c>
      <c r="F820" s="2" t="s">
        <v>88</v>
      </c>
      <c r="G820">
        <v>45</v>
      </c>
      <c r="H820" s="4">
        <v>43931</v>
      </c>
      <c r="I820" s="2" t="s">
        <v>15</v>
      </c>
      <c r="J820" s="2" t="s">
        <v>22</v>
      </c>
      <c r="M820" t="str">
        <f t="shared" si="48"/>
        <v>Female</v>
      </c>
      <c r="N820" t="str">
        <f t="shared" si="49"/>
        <v>Lucknow</v>
      </c>
      <c r="O820" t="str">
        <f t="shared" si="50"/>
        <v>Telugu</v>
      </c>
      <c r="P820" t="str">
        <f t="shared" si="51"/>
        <v>Premium</v>
      </c>
    </row>
    <row r="821" spans="1:16" x14ac:dyDescent="0.3">
      <c r="A821" s="2" t="s">
        <v>865</v>
      </c>
      <c r="B821" s="2" t="s">
        <v>24</v>
      </c>
      <c r="C821" s="3">
        <v>28</v>
      </c>
      <c r="D821" t="s">
        <v>18</v>
      </c>
      <c r="E821" s="2" t="s">
        <v>19</v>
      </c>
      <c r="F821" s="2" t="s">
        <v>64</v>
      </c>
      <c r="G821">
        <v>2</v>
      </c>
      <c r="H821" s="4">
        <v>45219</v>
      </c>
      <c r="I821" s="2" t="s">
        <v>49</v>
      </c>
      <c r="J821" s="2" t="s">
        <v>27</v>
      </c>
      <c r="M821" t="str">
        <f t="shared" si="48"/>
        <v>Female</v>
      </c>
      <c r="N821" t="str">
        <f t="shared" si="49"/>
        <v>Pune</v>
      </c>
      <c r="O821" t="str">
        <f t="shared" si="50"/>
        <v>Kannada</v>
      </c>
      <c r="P821" t="str">
        <f t="shared" si="51"/>
        <v>Standard</v>
      </c>
    </row>
    <row r="822" spans="1:16" x14ac:dyDescent="0.3">
      <c r="A822" s="2" t="s">
        <v>866</v>
      </c>
      <c r="B822" s="2" t="s">
        <v>11</v>
      </c>
      <c r="C822" s="3">
        <v>18</v>
      </c>
      <c r="D822" t="s">
        <v>32</v>
      </c>
      <c r="E822" s="2" t="s">
        <v>19</v>
      </c>
      <c r="F822" s="2" t="s">
        <v>20</v>
      </c>
      <c r="G822">
        <v>53</v>
      </c>
      <c r="H822" s="4">
        <v>43686</v>
      </c>
      <c r="I822" s="2" t="s">
        <v>34</v>
      </c>
      <c r="J822" s="2" t="s">
        <v>22</v>
      </c>
      <c r="M822" t="str">
        <f t="shared" si="48"/>
        <v>Female</v>
      </c>
      <c r="N822" t="str">
        <f t="shared" si="49"/>
        <v>Chennai</v>
      </c>
      <c r="O822" t="str">
        <f t="shared" si="50"/>
        <v>Marathi</v>
      </c>
      <c r="P822" t="str">
        <f t="shared" si="51"/>
        <v>Premium</v>
      </c>
    </row>
    <row r="823" spans="1:16" x14ac:dyDescent="0.3">
      <c r="A823" s="2" t="s">
        <v>867</v>
      </c>
      <c r="B823" s="2" t="s">
        <v>42</v>
      </c>
      <c r="C823" s="3">
        <v>41</v>
      </c>
      <c r="D823" t="s">
        <v>12</v>
      </c>
      <c r="E823" s="2" t="s">
        <v>19</v>
      </c>
      <c r="F823" s="2" t="s">
        <v>38</v>
      </c>
      <c r="G823">
        <v>23</v>
      </c>
      <c r="H823" s="4">
        <v>44592</v>
      </c>
      <c r="I823" s="2" t="s">
        <v>34</v>
      </c>
      <c r="J823" s="2" t="s">
        <v>65</v>
      </c>
      <c r="M823" t="str">
        <f t="shared" si="48"/>
        <v>Female</v>
      </c>
      <c r="N823" t="str">
        <f t="shared" si="49"/>
        <v>Delhi</v>
      </c>
      <c r="O823" t="str">
        <f t="shared" si="50"/>
        <v>Marathi</v>
      </c>
      <c r="P823" t="str">
        <f t="shared" si="51"/>
        <v>Family</v>
      </c>
    </row>
    <row r="824" spans="1:16" x14ac:dyDescent="0.3">
      <c r="A824" s="2" t="s">
        <v>868</v>
      </c>
      <c r="B824" s="2" t="s">
        <v>61</v>
      </c>
      <c r="C824" s="3">
        <v>26</v>
      </c>
      <c r="D824" t="s">
        <v>18</v>
      </c>
      <c r="E824" s="2" t="s">
        <v>13</v>
      </c>
      <c r="F824" s="2" t="s">
        <v>64</v>
      </c>
      <c r="G824">
        <v>2</v>
      </c>
      <c r="H824" s="4">
        <v>45210</v>
      </c>
      <c r="I824" s="2" t="s">
        <v>26</v>
      </c>
      <c r="J824" s="2" t="s">
        <v>22</v>
      </c>
      <c r="M824" t="str">
        <f t="shared" si="48"/>
        <v>Male</v>
      </c>
      <c r="N824" t="str">
        <f t="shared" si="49"/>
        <v>Pune</v>
      </c>
      <c r="O824" t="str">
        <f t="shared" si="50"/>
        <v>Malayalam</v>
      </c>
      <c r="P824" t="str">
        <f t="shared" si="51"/>
        <v>Premium</v>
      </c>
    </row>
    <row r="825" spans="1:16" x14ac:dyDescent="0.3">
      <c r="A825" s="2" t="s">
        <v>869</v>
      </c>
      <c r="B825" s="2" t="s">
        <v>24</v>
      </c>
      <c r="C825" s="3">
        <v>43</v>
      </c>
      <c r="D825" t="s">
        <v>12</v>
      </c>
      <c r="E825" s="2" t="s">
        <v>19</v>
      </c>
      <c r="F825" s="2" t="s">
        <v>33</v>
      </c>
      <c r="G825">
        <v>9</v>
      </c>
      <c r="H825" s="4">
        <v>45013</v>
      </c>
      <c r="I825" s="2" t="s">
        <v>39</v>
      </c>
      <c r="J825" s="2" t="s">
        <v>22</v>
      </c>
      <c r="M825" t="str">
        <f t="shared" si="48"/>
        <v>Female</v>
      </c>
      <c r="N825" t="str">
        <f t="shared" si="49"/>
        <v>Jaipur</v>
      </c>
      <c r="O825" t="str">
        <f t="shared" si="50"/>
        <v>Tamil</v>
      </c>
      <c r="P825" t="str">
        <f t="shared" si="51"/>
        <v>Premium</v>
      </c>
    </row>
    <row r="826" spans="1:16" x14ac:dyDescent="0.3">
      <c r="A826" s="2" t="s">
        <v>870</v>
      </c>
      <c r="B826" s="2" t="s">
        <v>24</v>
      </c>
      <c r="C826" s="3">
        <v>32</v>
      </c>
      <c r="D826" t="s">
        <v>18</v>
      </c>
      <c r="E826" s="2" t="s">
        <v>19</v>
      </c>
      <c r="F826" s="2" t="s">
        <v>36</v>
      </c>
      <c r="G826">
        <v>2</v>
      </c>
      <c r="H826" s="4">
        <v>45229</v>
      </c>
      <c r="I826" s="2" t="s">
        <v>47</v>
      </c>
      <c r="J826" s="2" t="s">
        <v>27</v>
      </c>
      <c r="M826" t="str">
        <f t="shared" si="48"/>
        <v>Female</v>
      </c>
      <c r="N826" t="str">
        <f t="shared" si="49"/>
        <v>Ahmedabad</v>
      </c>
      <c r="O826" t="str">
        <f t="shared" si="50"/>
        <v>Hindi</v>
      </c>
      <c r="P826" t="str">
        <f t="shared" si="51"/>
        <v>Standard</v>
      </c>
    </row>
    <row r="827" spans="1:16" x14ac:dyDescent="0.3">
      <c r="A827" s="2" t="s">
        <v>871</v>
      </c>
      <c r="B827" s="2" t="s">
        <v>61</v>
      </c>
      <c r="C827" s="3">
        <v>38</v>
      </c>
      <c r="D827" t="s">
        <v>12</v>
      </c>
      <c r="E827" s="2" t="s">
        <v>13</v>
      </c>
      <c r="F827" s="2" t="s">
        <v>64</v>
      </c>
      <c r="G827">
        <v>60</v>
      </c>
      <c r="H827" s="4">
        <v>43469</v>
      </c>
      <c r="I827" s="2" t="s">
        <v>26</v>
      </c>
      <c r="J827" s="2" t="s">
        <v>16</v>
      </c>
      <c r="M827" t="str">
        <f t="shared" si="48"/>
        <v>Male</v>
      </c>
      <c r="N827" t="str">
        <f t="shared" si="49"/>
        <v>Pune</v>
      </c>
      <c r="O827" t="str">
        <f t="shared" si="50"/>
        <v>Malayalam</v>
      </c>
      <c r="P827" t="str">
        <f t="shared" si="51"/>
        <v>Basic</v>
      </c>
    </row>
    <row r="828" spans="1:16" x14ac:dyDescent="0.3">
      <c r="A828" s="2" t="s">
        <v>872</v>
      </c>
      <c r="B828" s="2" t="s">
        <v>42</v>
      </c>
      <c r="C828" s="3">
        <v>45</v>
      </c>
      <c r="D828" t="s">
        <v>46</v>
      </c>
      <c r="E828" s="2" t="s">
        <v>13</v>
      </c>
      <c r="F828" s="2" t="s">
        <v>20</v>
      </c>
      <c r="G828">
        <v>60</v>
      </c>
      <c r="H828" s="4">
        <v>43488</v>
      </c>
      <c r="I828" s="2" t="s">
        <v>21</v>
      </c>
      <c r="J828" s="2" t="s">
        <v>27</v>
      </c>
      <c r="M828" t="str">
        <f t="shared" si="48"/>
        <v>Male</v>
      </c>
      <c r="N828" t="str">
        <f t="shared" si="49"/>
        <v>Chennai</v>
      </c>
      <c r="O828" t="str">
        <f t="shared" si="50"/>
        <v>Bengali</v>
      </c>
      <c r="P828" t="str">
        <f t="shared" si="51"/>
        <v>Standard</v>
      </c>
    </row>
    <row r="829" spans="1:16" x14ac:dyDescent="0.3">
      <c r="A829" s="2" t="s">
        <v>873</v>
      </c>
      <c r="B829" s="2" t="s">
        <v>31</v>
      </c>
      <c r="C829" s="3">
        <v>27</v>
      </c>
      <c r="D829" t="s">
        <v>18</v>
      </c>
      <c r="E829" s="2" t="s">
        <v>13</v>
      </c>
      <c r="F829" s="2" t="s">
        <v>64</v>
      </c>
      <c r="G829">
        <v>43</v>
      </c>
      <c r="H829" s="4">
        <v>43982</v>
      </c>
      <c r="I829" s="2" t="s">
        <v>34</v>
      </c>
      <c r="J829" s="2" t="s">
        <v>65</v>
      </c>
      <c r="M829" t="str">
        <f t="shared" si="48"/>
        <v>Male</v>
      </c>
      <c r="N829" t="str">
        <f t="shared" si="49"/>
        <v>Pune</v>
      </c>
      <c r="O829" t="str">
        <f t="shared" si="50"/>
        <v>Marathi</v>
      </c>
      <c r="P829" t="str">
        <f t="shared" si="51"/>
        <v>Family</v>
      </c>
    </row>
    <row r="830" spans="1:16" x14ac:dyDescent="0.3">
      <c r="A830" s="2" t="s">
        <v>874</v>
      </c>
      <c r="B830" s="2" t="s">
        <v>11</v>
      </c>
      <c r="C830" s="3">
        <v>25</v>
      </c>
      <c r="D830" t="s">
        <v>18</v>
      </c>
      <c r="E830" s="2" t="s">
        <v>19</v>
      </c>
      <c r="F830" s="2" t="s">
        <v>33</v>
      </c>
      <c r="G830">
        <v>12</v>
      </c>
      <c r="H830" s="4">
        <v>44915</v>
      </c>
      <c r="I830" s="2" t="s">
        <v>39</v>
      </c>
      <c r="J830" s="2" t="s">
        <v>16</v>
      </c>
      <c r="M830" t="str">
        <f t="shared" si="48"/>
        <v>Female</v>
      </c>
      <c r="N830" t="str">
        <f t="shared" si="49"/>
        <v>Jaipur</v>
      </c>
      <c r="O830" t="str">
        <f t="shared" si="50"/>
        <v>Tamil</v>
      </c>
      <c r="P830" t="str">
        <f t="shared" si="51"/>
        <v>Basic</v>
      </c>
    </row>
    <row r="831" spans="1:16" x14ac:dyDescent="0.3">
      <c r="A831" s="2" t="s">
        <v>875</v>
      </c>
      <c r="B831" s="2" t="s">
        <v>31</v>
      </c>
      <c r="C831" s="3">
        <v>35</v>
      </c>
      <c r="D831" t="s">
        <v>12</v>
      </c>
      <c r="E831" s="2" t="s">
        <v>19</v>
      </c>
      <c r="F831" s="2" t="s">
        <v>25</v>
      </c>
      <c r="G831">
        <v>22</v>
      </c>
      <c r="H831" s="4">
        <v>44625</v>
      </c>
      <c r="I831" s="2" t="s">
        <v>26</v>
      </c>
      <c r="J831" s="2" t="s">
        <v>27</v>
      </c>
      <c r="M831" t="str">
        <f t="shared" si="48"/>
        <v>Female</v>
      </c>
      <c r="N831" t="str">
        <f t="shared" si="49"/>
        <v>Mumbai</v>
      </c>
      <c r="O831" t="str">
        <f t="shared" si="50"/>
        <v>Malayalam</v>
      </c>
      <c r="P831" t="str">
        <f t="shared" si="51"/>
        <v>Standard</v>
      </c>
    </row>
    <row r="832" spans="1:16" x14ac:dyDescent="0.3">
      <c r="A832" s="2" t="s">
        <v>876</v>
      </c>
      <c r="B832" s="2" t="s">
        <v>31</v>
      </c>
      <c r="C832" s="3">
        <v>18</v>
      </c>
      <c r="D832" t="s">
        <v>32</v>
      </c>
      <c r="E832" s="2" t="s">
        <v>13</v>
      </c>
      <c r="F832" s="2" t="s">
        <v>54</v>
      </c>
      <c r="G832">
        <v>55</v>
      </c>
      <c r="H832" s="4">
        <v>43613</v>
      </c>
      <c r="I832" s="2" t="s">
        <v>39</v>
      </c>
      <c r="J832" s="2" t="s">
        <v>16</v>
      </c>
      <c r="M832" t="str">
        <f t="shared" si="48"/>
        <v>Male</v>
      </c>
      <c r="N832" t="str">
        <f t="shared" si="49"/>
        <v>Bangalore</v>
      </c>
      <c r="O832" t="str">
        <f t="shared" si="50"/>
        <v>Tamil</v>
      </c>
      <c r="P832" t="str">
        <f t="shared" si="51"/>
        <v>Basic</v>
      </c>
    </row>
    <row r="833" spans="1:16" x14ac:dyDescent="0.3">
      <c r="A833" s="2" t="s">
        <v>877</v>
      </c>
      <c r="B833" s="2" t="s">
        <v>11</v>
      </c>
      <c r="C833" s="3">
        <v>45</v>
      </c>
      <c r="D833" t="s">
        <v>46</v>
      </c>
      <c r="E833" s="2" t="s">
        <v>13</v>
      </c>
      <c r="F833" s="2" t="s">
        <v>88</v>
      </c>
      <c r="G833">
        <v>36</v>
      </c>
      <c r="H833" s="4">
        <v>44198</v>
      </c>
      <c r="I833" s="2" t="s">
        <v>62</v>
      </c>
      <c r="J833" s="2" t="s">
        <v>27</v>
      </c>
      <c r="M833" t="str">
        <f t="shared" si="48"/>
        <v>Male</v>
      </c>
      <c r="N833" t="str">
        <f t="shared" si="49"/>
        <v>Lucknow</v>
      </c>
      <c r="O833" t="str">
        <f t="shared" si="50"/>
        <v>Gujarati</v>
      </c>
      <c r="P833" t="str">
        <f t="shared" si="51"/>
        <v>Standard</v>
      </c>
    </row>
    <row r="834" spans="1:16" x14ac:dyDescent="0.3">
      <c r="A834" s="2" t="s">
        <v>878</v>
      </c>
      <c r="B834" s="2" t="s">
        <v>42</v>
      </c>
      <c r="C834" s="3">
        <v>33</v>
      </c>
      <c r="D834" t="s">
        <v>18</v>
      </c>
      <c r="E834" s="2" t="s">
        <v>19</v>
      </c>
      <c r="F834" s="2" t="s">
        <v>20</v>
      </c>
      <c r="G834">
        <v>13</v>
      </c>
      <c r="H834" s="4">
        <v>44889</v>
      </c>
      <c r="I834" s="2" t="s">
        <v>47</v>
      </c>
      <c r="J834" s="2" t="s">
        <v>16</v>
      </c>
      <c r="M834" t="str">
        <f t="shared" si="48"/>
        <v>Female</v>
      </c>
      <c r="N834" t="str">
        <f t="shared" si="49"/>
        <v>Chennai</v>
      </c>
      <c r="O834" t="str">
        <f t="shared" si="50"/>
        <v>Hindi</v>
      </c>
      <c r="P834" t="str">
        <f t="shared" si="51"/>
        <v>Basic</v>
      </c>
    </row>
    <row r="835" spans="1:16" x14ac:dyDescent="0.3">
      <c r="A835" s="2" t="s">
        <v>879</v>
      </c>
      <c r="B835" s="2" t="s">
        <v>61</v>
      </c>
      <c r="C835" s="3">
        <v>20</v>
      </c>
      <c r="D835" t="s">
        <v>32</v>
      </c>
      <c r="E835" s="2" t="s">
        <v>13</v>
      </c>
      <c r="F835" s="2" t="s">
        <v>20</v>
      </c>
      <c r="G835">
        <v>31</v>
      </c>
      <c r="H835" s="4">
        <v>44334</v>
      </c>
      <c r="I835" s="2" t="s">
        <v>21</v>
      </c>
      <c r="J835" s="2" t="s">
        <v>27</v>
      </c>
      <c r="M835" t="str">
        <f t="shared" ref="M835:M898" si="52">TRIM(E835)</f>
        <v>Male</v>
      </c>
      <c r="N835" t="str">
        <f t="shared" ref="N835:N898" si="53">TRIM(F835)</f>
        <v>Chennai</v>
      </c>
      <c r="O835" t="str">
        <f t="shared" ref="O835:O898" si="54">TRIM(I835)</f>
        <v>Bengali</v>
      </c>
      <c r="P835" t="str">
        <f t="shared" ref="P835:P898" si="55">TRIM(J835)</f>
        <v>Standard</v>
      </c>
    </row>
    <row r="836" spans="1:16" x14ac:dyDescent="0.3">
      <c r="A836" s="2" t="s">
        <v>880</v>
      </c>
      <c r="B836" s="2" t="s">
        <v>11</v>
      </c>
      <c r="C836" s="3">
        <v>27</v>
      </c>
      <c r="D836" t="s">
        <v>18</v>
      </c>
      <c r="E836" s="2" t="s">
        <v>19</v>
      </c>
      <c r="F836" s="2" t="s">
        <v>56</v>
      </c>
      <c r="G836">
        <v>53</v>
      </c>
      <c r="H836" s="4">
        <v>43699</v>
      </c>
      <c r="I836" s="2" t="s">
        <v>62</v>
      </c>
      <c r="J836" s="2" t="s">
        <v>16</v>
      </c>
      <c r="M836" t="str">
        <f t="shared" si="52"/>
        <v>Female</v>
      </c>
      <c r="N836" t="str">
        <f t="shared" si="53"/>
        <v>Hyderabad</v>
      </c>
      <c r="O836" t="str">
        <f t="shared" si="54"/>
        <v>Gujarati</v>
      </c>
      <c r="P836" t="str">
        <f t="shared" si="55"/>
        <v>Basic</v>
      </c>
    </row>
    <row r="837" spans="1:16" x14ac:dyDescent="0.3">
      <c r="A837" s="2" t="s">
        <v>881</v>
      </c>
      <c r="B837" s="2" t="s">
        <v>31</v>
      </c>
      <c r="C837" s="3">
        <v>29</v>
      </c>
      <c r="D837" t="s">
        <v>18</v>
      </c>
      <c r="E837" s="2" t="s">
        <v>13</v>
      </c>
      <c r="F837" s="2" t="s">
        <v>36</v>
      </c>
      <c r="G837">
        <v>30</v>
      </c>
      <c r="H837" s="4">
        <v>44369</v>
      </c>
      <c r="I837" s="2" t="s">
        <v>62</v>
      </c>
      <c r="J837" s="2" t="s">
        <v>65</v>
      </c>
      <c r="M837" t="str">
        <f t="shared" si="52"/>
        <v>Male</v>
      </c>
      <c r="N837" t="str">
        <f t="shared" si="53"/>
        <v>Ahmedabad</v>
      </c>
      <c r="O837" t="str">
        <f t="shared" si="54"/>
        <v>Gujarati</v>
      </c>
      <c r="P837" t="str">
        <f t="shared" si="55"/>
        <v>Family</v>
      </c>
    </row>
    <row r="838" spans="1:16" x14ac:dyDescent="0.3">
      <c r="A838" s="2" t="s">
        <v>882</v>
      </c>
      <c r="B838" s="2" t="s">
        <v>31</v>
      </c>
      <c r="C838" s="3">
        <v>25</v>
      </c>
      <c r="D838" t="s">
        <v>18</v>
      </c>
      <c r="E838" s="2" t="s">
        <v>19</v>
      </c>
      <c r="F838" s="2" t="s">
        <v>56</v>
      </c>
      <c r="G838">
        <v>36</v>
      </c>
      <c r="H838" s="4">
        <v>44186</v>
      </c>
      <c r="I838" s="2" t="s">
        <v>39</v>
      </c>
      <c r="J838" s="2" t="s">
        <v>27</v>
      </c>
      <c r="M838" t="str">
        <f t="shared" si="52"/>
        <v>Female</v>
      </c>
      <c r="N838" t="str">
        <f t="shared" si="53"/>
        <v>Hyderabad</v>
      </c>
      <c r="O838" t="str">
        <f t="shared" si="54"/>
        <v>Tamil</v>
      </c>
      <c r="P838" t="str">
        <f t="shared" si="55"/>
        <v>Standard</v>
      </c>
    </row>
    <row r="839" spans="1:16" x14ac:dyDescent="0.3">
      <c r="A839" s="2" t="s">
        <v>883</v>
      </c>
      <c r="B839" s="2" t="s">
        <v>11</v>
      </c>
      <c r="C839" s="3">
        <v>27</v>
      </c>
      <c r="D839" t="s">
        <v>18</v>
      </c>
      <c r="E839" s="2" t="s">
        <v>19</v>
      </c>
      <c r="F839" s="2" t="s">
        <v>20</v>
      </c>
      <c r="G839">
        <v>58</v>
      </c>
      <c r="H839" s="4">
        <v>43536</v>
      </c>
      <c r="I839" s="2" t="s">
        <v>39</v>
      </c>
      <c r="J839" s="2" t="s">
        <v>27</v>
      </c>
      <c r="M839" t="str">
        <f t="shared" si="52"/>
        <v>Female</v>
      </c>
      <c r="N839" t="str">
        <f t="shared" si="53"/>
        <v>Chennai</v>
      </c>
      <c r="O839" t="str">
        <f t="shared" si="54"/>
        <v>Tamil</v>
      </c>
      <c r="P839" t="str">
        <f t="shared" si="55"/>
        <v>Standard</v>
      </c>
    </row>
    <row r="840" spans="1:16" x14ac:dyDescent="0.3">
      <c r="A840" s="2" t="s">
        <v>884</v>
      </c>
      <c r="B840" s="2" t="s">
        <v>61</v>
      </c>
      <c r="C840" s="3">
        <v>41</v>
      </c>
      <c r="D840" t="s">
        <v>12</v>
      </c>
      <c r="E840" s="2" t="s">
        <v>13</v>
      </c>
      <c r="F840" s="2" t="s">
        <v>54</v>
      </c>
      <c r="G840">
        <v>50</v>
      </c>
      <c r="H840" s="4">
        <v>43785</v>
      </c>
      <c r="I840" s="2" t="s">
        <v>21</v>
      </c>
      <c r="J840" s="2" t="s">
        <v>16</v>
      </c>
      <c r="M840" t="str">
        <f t="shared" si="52"/>
        <v>Male</v>
      </c>
      <c r="N840" t="str">
        <f t="shared" si="53"/>
        <v>Bangalore</v>
      </c>
      <c r="O840" t="str">
        <f t="shared" si="54"/>
        <v>Bengali</v>
      </c>
      <c r="P840" t="str">
        <f t="shared" si="55"/>
        <v>Basic</v>
      </c>
    </row>
    <row r="841" spans="1:16" x14ac:dyDescent="0.3">
      <c r="A841" s="2" t="s">
        <v>885</v>
      </c>
      <c r="B841" s="2" t="s">
        <v>42</v>
      </c>
      <c r="C841" s="3">
        <v>25</v>
      </c>
      <c r="D841" t="s">
        <v>18</v>
      </c>
      <c r="E841" s="2" t="s">
        <v>19</v>
      </c>
      <c r="F841" s="2" t="s">
        <v>20</v>
      </c>
      <c r="G841">
        <v>27</v>
      </c>
      <c r="H841" s="4">
        <v>44461</v>
      </c>
      <c r="I841" s="2" t="s">
        <v>39</v>
      </c>
      <c r="J841" s="2" t="s">
        <v>27</v>
      </c>
      <c r="M841" t="str">
        <f t="shared" si="52"/>
        <v>Female</v>
      </c>
      <c r="N841" t="str">
        <f t="shared" si="53"/>
        <v>Chennai</v>
      </c>
      <c r="O841" t="str">
        <f t="shared" si="54"/>
        <v>Tamil</v>
      </c>
      <c r="P841" t="str">
        <f t="shared" si="55"/>
        <v>Standard</v>
      </c>
    </row>
    <row r="842" spans="1:16" x14ac:dyDescent="0.3">
      <c r="A842" s="2" t="s">
        <v>886</v>
      </c>
      <c r="B842" s="2" t="s">
        <v>11</v>
      </c>
      <c r="C842" s="3">
        <v>20</v>
      </c>
      <c r="D842" t="s">
        <v>32</v>
      </c>
      <c r="E842" s="2" t="s">
        <v>19</v>
      </c>
      <c r="F842" s="2" t="s">
        <v>20</v>
      </c>
      <c r="G842">
        <v>31</v>
      </c>
      <c r="H842" s="4">
        <v>44354</v>
      </c>
      <c r="I842" s="2" t="s">
        <v>39</v>
      </c>
      <c r="J842" s="2" t="s">
        <v>22</v>
      </c>
      <c r="M842" t="str">
        <f t="shared" si="52"/>
        <v>Female</v>
      </c>
      <c r="N842" t="str">
        <f t="shared" si="53"/>
        <v>Chennai</v>
      </c>
      <c r="O842" t="str">
        <f t="shared" si="54"/>
        <v>Tamil</v>
      </c>
      <c r="P842" t="str">
        <f t="shared" si="55"/>
        <v>Premium</v>
      </c>
    </row>
    <row r="843" spans="1:16" x14ac:dyDescent="0.3">
      <c r="A843" s="2" t="s">
        <v>887</v>
      </c>
      <c r="B843" s="2" t="s">
        <v>11</v>
      </c>
      <c r="C843" s="3">
        <v>28</v>
      </c>
      <c r="D843" t="s">
        <v>18</v>
      </c>
      <c r="E843" s="2" t="s">
        <v>13</v>
      </c>
      <c r="F843" s="2" t="s">
        <v>38</v>
      </c>
      <c r="G843">
        <v>52</v>
      </c>
      <c r="H843" s="4">
        <v>43718</v>
      </c>
      <c r="I843" s="2" t="s">
        <v>34</v>
      </c>
      <c r="J843" s="2" t="s">
        <v>22</v>
      </c>
      <c r="M843" t="str">
        <f t="shared" si="52"/>
        <v>Male</v>
      </c>
      <c r="N843" t="str">
        <f t="shared" si="53"/>
        <v>Delhi</v>
      </c>
      <c r="O843" t="str">
        <f t="shared" si="54"/>
        <v>Marathi</v>
      </c>
      <c r="P843" t="str">
        <f t="shared" si="55"/>
        <v>Premium</v>
      </c>
    </row>
    <row r="844" spans="1:16" x14ac:dyDescent="0.3">
      <c r="A844" s="2" t="s">
        <v>888</v>
      </c>
      <c r="B844" s="2" t="s">
        <v>42</v>
      </c>
      <c r="C844" s="3">
        <v>21</v>
      </c>
      <c r="D844" t="s">
        <v>32</v>
      </c>
      <c r="E844" s="2" t="s">
        <v>19</v>
      </c>
      <c r="F844" s="2" t="s">
        <v>20</v>
      </c>
      <c r="G844">
        <v>36</v>
      </c>
      <c r="H844" s="4">
        <v>44192</v>
      </c>
      <c r="I844" s="2" t="s">
        <v>29</v>
      </c>
      <c r="J844" s="2" t="s">
        <v>16</v>
      </c>
      <c r="M844" t="str">
        <f t="shared" si="52"/>
        <v>Female</v>
      </c>
      <c r="N844" t="str">
        <f t="shared" si="53"/>
        <v>Chennai</v>
      </c>
      <c r="O844" t="str">
        <f t="shared" si="54"/>
        <v>English</v>
      </c>
      <c r="P844" t="str">
        <f t="shared" si="55"/>
        <v>Basic</v>
      </c>
    </row>
    <row r="845" spans="1:16" x14ac:dyDescent="0.3">
      <c r="A845" s="2" t="s">
        <v>889</v>
      </c>
      <c r="B845" s="2" t="s">
        <v>11</v>
      </c>
      <c r="C845" s="3">
        <v>28</v>
      </c>
      <c r="D845" t="s">
        <v>18</v>
      </c>
      <c r="E845" s="2" t="s">
        <v>19</v>
      </c>
      <c r="F845" s="2" t="s">
        <v>14</v>
      </c>
      <c r="G845">
        <v>58</v>
      </c>
      <c r="H845" s="4">
        <v>43537</v>
      </c>
      <c r="I845" s="2" t="s">
        <v>21</v>
      </c>
      <c r="J845" s="2" t="s">
        <v>65</v>
      </c>
      <c r="M845" t="str">
        <f t="shared" si="52"/>
        <v>Female</v>
      </c>
      <c r="N845" t="str">
        <f t="shared" si="53"/>
        <v>Kolkata</v>
      </c>
      <c r="O845" t="str">
        <f t="shared" si="54"/>
        <v>Bengali</v>
      </c>
      <c r="P845" t="str">
        <f t="shared" si="55"/>
        <v>Family</v>
      </c>
    </row>
    <row r="846" spans="1:16" x14ac:dyDescent="0.3">
      <c r="A846" s="2" t="s">
        <v>890</v>
      </c>
      <c r="B846" s="2" t="s">
        <v>11</v>
      </c>
      <c r="C846" s="3">
        <v>31</v>
      </c>
      <c r="D846" t="s">
        <v>18</v>
      </c>
      <c r="E846" s="2" t="s">
        <v>19</v>
      </c>
      <c r="F846" s="2" t="s">
        <v>38</v>
      </c>
      <c r="G846">
        <v>54</v>
      </c>
      <c r="H846" s="4">
        <v>43663</v>
      </c>
      <c r="I846" s="2" t="s">
        <v>26</v>
      </c>
      <c r="J846" s="2" t="s">
        <v>27</v>
      </c>
      <c r="M846" t="str">
        <f t="shared" si="52"/>
        <v>Female</v>
      </c>
      <c r="N846" t="str">
        <f t="shared" si="53"/>
        <v>Delhi</v>
      </c>
      <c r="O846" t="str">
        <f t="shared" si="54"/>
        <v>Malayalam</v>
      </c>
      <c r="P846" t="str">
        <f t="shared" si="55"/>
        <v>Standard</v>
      </c>
    </row>
    <row r="847" spans="1:16" x14ac:dyDescent="0.3">
      <c r="A847" s="2" t="s">
        <v>891</v>
      </c>
      <c r="B847" s="2" t="s">
        <v>31</v>
      </c>
      <c r="C847" s="3">
        <v>20</v>
      </c>
      <c r="D847" t="s">
        <v>32</v>
      </c>
      <c r="E847" s="2" t="s">
        <v>13</v>
      </c>
      <c r="F847" s="2" t="s">
        <v>20</v>
      </c>
      <c r="G847">
        <v>25</v>
      </c>
      <c r="H847" s="4">
        <v>44524</v>
      </c>
      <c r="I847" s="2" t="s">
        <v>49</v>
      </c>
      <c r="J847" s="2" t="s">
        <v>22</v>
      </c>
      <c r="M847" t="str">
        <f t="shared" si="52"/>
        <v>Male</v>
      </c>
      <c r="N847" t="str">
        <f t="shared" si="53"/>
        <v>Chennai</v>
      </c>
      <c r="O847" t="str">
        <f t="shared" si="54"/>
        <v>Kannada</v>
      </c>
      <c r="P847" t="str">
        <f t="shared" si="55"/>
        <v>Premium</v>
      </c>
    </row>
    <row r="848" spans="1:16" x14ac:dyDescent="0.3">
      <c r="A848" s="2" t="s">
        <v>892</v>
      </c>
      <c r="B848" s="2" t="s">
        <v>11</v>
      </c>
      <c r="C848" s="3">
        <v>23</v>
      </c>
      <c r="D848" t="s">
        <v>32</v>
      </c>
      <c r="E848" s="2" t="s">
        <v>13</v>
      </c>
      <c r="F848" s="2" t="s">
        <v>25</v>
      </c>
      <c r="G848">
        <v>15</v>
      </c>
      <c r="H848" s="4">
        <v>44820</v>
      </c>
      <c r="I848" s="2" t="s">
        <v>39</v>
      </c>
      <c r="J848" s="2" t="s">
        <v>16</v>
      </c>
      <c r="M848" t="str">
        <f t="shared" si="52"/>
        <v>Male</v>
      </c>
      <c r="N848" t="str">
        <f t="shared" si="53"/>
        <v>Mumbai</v>
      </c>
      <c r="O848" t="str">
        <f t="shared" si="54"/>
        <v>Tamil</v>
      </c>
      <c r="P848" t="str">
        <f t="shared" si="55"/>
        <v>Basic</v>
      </c>
    </row>
    <row r="849" spans="1:16" x14ac:dyDescent="0.3">
      <c r="A849" s="2" t="s">
        <v>893</v>
      </c>
      <c r="B849" s="2" t="s">
        <v>61</v>
      </c>
      <c r="C849" s="3">
        <v>18</v>
      </c>
      <c r="D849" t="s">
        <v>32</v>
      </c>
      <c r="E849" s="2" t="s">
        <v>13</v>
      </c>
      <c r="F849" s="2" t="s">
        <v>25</v>
      </c>
      <c r="G849">
        <v>23</v>
      </c>
      <c r="H849" s="4">
        <v>44598</v>
      </c>
      <c r="I849" s="2" t="s">
        <v>26</v>
      </c>
      <c r="J849" s="2" t="s">
        <v>22</v>
      </c>
      <c r="M849" t="str">
        <f t="shared" si="52"/>
        <v>Male</v>
      </c>
      <c r="N849" t="str">
        <f t="shared" si="53"/>
        <v>Mumbai</v>
      </c>
      <c r="O849" t="str">
        <f t="shared" si="54"/>
        <v>Malayalam</v>
      </c>
      <c r="P849" t="str">
        <f t="shared" si="55"/>
        <v>Premium</v>
      </c>
    </row>
    <row r="850" spans="1:16" x14ac:dyDescent="0.3">
      <c r="A850" s="2" t="s">
        <v>894</v>
      </c>
      <c r="B850" s="2" t="s">
        <v>31</v>
      </c>
      <c r="C850" s="3">
        <v>42</v>
      </c>
      <c r="D850" t="s">
        <v>12</v>
      </c>
      <c r="E850" s="2" t="s">
        <v>13</v>
      </c>
      <c r="F850" s="2" t="s">
        <v>38</v>
      </c>
      <c r="G850">
        <v>23</v>
      </c>
      <c r="H850" s="4">
        <v>44579</v>
      </c>
      <c r="I850" s="2" t="s">
        <v>34</v>
      </c>
      <c r="J850" s="2" t="s">
        <v>27</v>
      </c>
      <c r="M850" t="str">
        <f t="shared" si="52"/>
        <v>Male</v>
      </c>
      <c r="N850" t="str">
        <f t="shared" si="53"/>
        <v>Delhi</v>
      </c>
      <c r="O850" t="str">
        <f t="shared" si="54"/>
        <v>Marathi</v>
      </c>
      <c r="P850" t="str">
        <f t="shared" si="55"/>
        <v>Standard</v>
      </c>
    </row>
    <row r="851" spans="1:16" x14ac:dyDescent="0.3">
      <c r="A851" s="2" t="s">
        <v>895</v>
      </c>
      <c r="B851" s="2" t="s">
        <v>31</v>
      </c>
      <c r="C851" s="3">
        <v>36</v>
      </c>
      <c r="D851" t="s">
        <v>12</v>
      </c>
      <c r="E851" s="2" t="s">
        <v>13</v>
      </c>
      <c r="F851" s="2" t="s">
        <v>14</v>
      </c>
      <c r="G851">
        <v>59</v>
      </c>
      <c r="H851" s="4">
        <v>43509</v>
      </c>
      <c r="I851" s="2" t="s">
        <v>26</v>
      </c>
      <c r="J851" s="2" t="s">
        <v>27</v>
      </c>
      <c r="M851" t="str">
        <f t="shared" si="52"/>
        <v>Male</v>
      </c>
      <c r="N851" t="str">
        <f t="shared" si="53"/>
        <v>Kolkata</v>
      </c>
      <c r="O851" t="str">
        <f t="shared" si="54"/>
        <v>Malayalam</v>
      </c>
      <c r="P851" t="str">
        <f t="shared" si="55"/>
        <v>Standard</v>
      </c>
    </row>
    <row r="852" spans="1:16" x14ac:dyDescent="0.3">
      <c r="A852" s="2" t="s">
        <v>896</v>
      </c>
      <c r="B852" s="2" t="s">
        <v>11</v>
      </c>
      <c r="C852" s="3">
        <v>26</v>
      </c>
      <c r="D852" t="s">
        <v>18</v>
      </c>
      <c r="E852" s="2" t="s">
        <v>13</v>
      </c>
      <c r="F852" s="2" t="s">
        <v>33</v>
      </c>
      <c r="G852">
        <v>37</v>
      </c>
      <c r="H852" s="4">
        <v>44160</v>
      </c>
      <c r="I852" s="2" t="s">
        <v>39</v>
      </c>
      <c r="J852" s="2" t="s">
        <v>27</v>
      </c>
      <c r="M852" t="str">
        <f t="shared" si="52"/>
        <v>Male</v>
      </c>
      <c r="N852" t="str">
        <f t="shared" si="53"/>
        <v>Jaipur</v>
      </c>
      <c r="O852" t="str">
        <f t="shared" si="54"/>
        <v>Tamil</v>
      </c>
      <c r="P852" t="str">
        <f t="shared" si="55"/>
        <v>Standard</v>
      </c>
    </row>
    <row r="853" spans="1:16" x14ac:dyDescent="0.3">
      <c r="A853" s="2" t="s">
        <v>897</v>
      </c>
      <c r="B853" s="2" t="s">
        <v>24</v>
      </c>
      <c r="C853" s="3">
        <v>25</v>
      </c>
      <c r="D853" t="s">
        <v>18</v>
      </c>
      <c r="E853" s="2" t="s">
        <v>13</v>
      </c>
      <c r="F853" s="2" t="s">
        <v>64</v>
      </c>
      <c r="G853">
        <v>8</v>
      </c>
      <c r="H853" s="4">
        <v>45050</v>
      </c>
      <c r="I853" s="2" t="s">
        <v>21</v>
      </c>
      <c r="J853" s="2" t="s">
        <v>27</v>
      </c>
      <c r="M853" t="str">
        <f t="shared" si="52"/>
        <v>Male</v>
      </c>
      <c r="N853" t="str">
        <f t="shared" si="53"/>
        <v>Pune</v>
      </c>
      <c r="O853" t="str">
        <f t="shared" si="54"/>
        <v>Bengali</v>
      </c>
      <c r="P853" t="str">
        <f t="shared" si="55"/>
        <v>Standard</v>
      </c>
    </row>
    <row r="854" spans="1:16" x14ac:dyDescent="0.3">
      <c r="A854" s="2" t="s">
        <v>898</v>
      </c>
      <c r="B854" s="2" t="s">
        <v>42</v>
      </c>
      <c r="C854" s="3">
        <v>39</v>
      </c>
      <c r="D854" t="s">
        <v>12</v>
      </c>
      <c r="E854" s="2" t="s">
        <v>105</v>
      </c>
      <c r="F854" s="2" t="s">
        <v>20</v>
      </c>
      <c r="G854">
        <v>60</v>
      </c>
      <c r="H854" s="4">
        <v>43470</v>
      </c>
      <c r="I854" s="2" t="s">
        <v>15</v>
      </c>
      <c r="J854" s="2" t="s">
        <v>27</v>
      </c>
      <c r="M854" t="str">
        <f t="shared" si="52"/>
        <v>Non-Binary</v>
      </c>
      <c r="N854" t="str">
        <f t="shared" si="53"/>
        <v>Chennai</v>
      </c>
      <c r="O854" t="str">
        <f t="shared" si="54"/>
        <v>Telugu</v>
      </c>
      <c r="P854" t="str">
        <f t="shared" si="55"/>
        <v>Standard</v>
      </c>
    </row>
    <row r="855" spans="1:16" x14ac:dyDescent="0.3">
      <c r="A855" s="2" t="s">
        <v>899</v>
      </c>
      <c r="B855" s="2" t="s">
        <v>11</v>
      </c>
      <c r="C855" s="3">
        <v>19</v>
      </c>
      <c r="D855" t="s">
        <v>32</v>
      </c>
      <c r="E855" s="2" t="s">
        <v>13</v>
      </c>
      <c r="F855" s="2" t="s">
        <v>33</v>
      </c>
      <c r="G855">
        <v>40</v>
      </c>
      <c r="H855" s="4">
        <v>44073</v>
      </c>
      <c r="I855" s="2" t="s">
        <v>49</v>
      </c>
      <c r="J855" s="2" t="s">
        <v>27</v>
      </c>
      <c r="M855" t="str">
        <f t="shared" si="52"/>
        <v>Male</v>
      </c>
      <c r="N855" t="str">
        <f t="shared" si="53"/>
        <v>Jaipur</v>
      </c>
      <c r="O855" t="str">
        <f t="shared" si="54"/>
        <v>Kannada</v>
      </c>
      <c r="P855" t="str">
        <f t="shared" si="55"/>
        <v>Standard</v>
      </c>
    </row>
    <row r="856" spans="1:16" x14ac:dyDescent="0.3">
      <c r="A856" s="2" t="s">
        <v>900</v>
      </c>
      <c r="B856" s="2" t="s">
        <v>31</v>
      </c>
      <c r="C856" s="3">
        <v>32</v>
      </c>
      <c r="D856" t="s">
        <v>18</v>
      </c>
      <c r="E856" s="2" t="s">
        <v>19</v>
      </c>
      <c r="F856" s="2" t="s">
        <v>38</v>
      </c>
      <c r="G856">
        <v>48</v>
      </c>
      <c r="H856" s="4">
        <v>43843</v>
      </c>
      <c r="I856" s="2" t="s">
        <v>39</v>
      </c>
      <c r="J856" s="2" t="s">
        <v>27</v>
      </c>
      <c r="M856" t="str">
        <f t="shared" si="52"/>
        <v>Female</v>
      </c>
      <c r="N856" t="str">
        <f t="shared" si="53"/>
        <v>Delhi</v>
      </c>
      <c r="O856" t="str">
        <f t="shared" si="54"/>
        <v>Tamil</v>
      </c>
      <c r="P856" t="str">
        <f t="shared" si="55"/>
        <v>Standard</v>
      </c>
    </row>
    <row r="857" spans="1:16" x14ac:dyDescent="0.3">
      <c r="A857" s="2" t="s">
        <v>901</v>
      </c>
      <c r="B857" s="2" t="s">
        <v>42</v>
      </c>
      <c r="C857" s="3">
        <v>23</v>
      </c>
      <c r="D857" t="s">
        <v>32</v>
      </c>
      <c r="E857" s="2" t="s">
        <v>13</v>
      </c>
      <c r="F857" s="2" t="s">
        <v>56</v>
      </c>
      <c r="G857">
        <v>49</v>
      </c>
      <c r="H857" s="4">
        <v>43793</v>
      </c>
      <c r="I857" s="2" t="s">
        <v>62</v>
      </c>
      <c r="J857" s="2" t="s">
        <v>22</v>
      </c>
      <c r="M857" t="str">
        <f t="shared" si="52"/>
        <v>Male</v>
      </c>
      <c r="N857" t="str">
        <f t="shared" si="53"/>
        <v>Hyderabad</v>
      </c>
      <c r="O857" t="str">
        <f t="shared" si="54"/>
        <v>Gujarati</v>
      </c>
      <c r="P857" t="str">
        <f t="shared" si="55"/>
        <v>Premium</v>
      </c>
    </row>
    <row r="858" spans="1:16" x14ac:dyDescent="0.3">
      <c r="A858" s="2" t="s">
        <v>902</v>
      </c>
      <c r="B858" s="2" t="s">
        <v>11</v>
      </c>
      <c r="C858" s="3">
        <v>34</v>
      </c>
      <c r="D858" t="s">
        <v>18</v>
      </c>
      <c r="E858" s="2" t="s">
        <v>13</v>
      </c>
      <c r="F858" s="2" t="s">
        <v>56</v>
      </c>
      <c r="G858">
        <v>33</v>
      </c>
      <c r="H858" s="4">
        <v>44286</v>
      </c>
      <c r="I858" s="2" t="s">
        <v>39</v>
      </c>
      <c r="J858" s="2" t="s">
        <v>16</v>
      </c>
      <c r="M858" t="str">
        <f t="shared" si="52"/>
        <v>Male</v>
      </c>
      <c r="N858" t="str">
        <f t="shared" si="53"/>
        <v>Hyderabad</v>
      </c>
      <c r="O858" t="str">
        <f t="shared" si="54"/>
        <v>Tamil</v>
      </c>
      <c r="P858" t="str">
        <f t="shared" si="55"/>
        <v>Basic</v>
      </c>
    </row>
    <row r="859" spans="1:16" x14ac:dyDescent="0.3">
      <c r="A859" s="2" t="s">
        <v>903</v>
      </c>
      <c r="B859" s="2" t="s">
        <v>61</v>
      </c>
      <c r="C859" s="3">
        <v>24</v>
      </c>
      <c r="D859" t="s">
        <v>32</v>
      </c>
      <c r="E859" s="2" t="s">
        <v>105</v>
      </c>
      <c r="F859" s="2" t="s">
        <v>20</v>
      </c>
      <c r="G859">
        <v>46</v>
      </c>
      <c r="H859" s="4">
        <v>43907</v>
      </c>
      <c r="I859" s="2" t="s">
        <v>26</v>
      </c>
      <c r="J859" s="2" t="s">
        <v>27</v>
      </c>
      <c r="M859" t="str">
        <f t="shared" si="52"/>
        <v>Non-Binary</v>
      </c>
      <c r="N859" t="str">
        <f t="shared" si="53"/>
        <v>Chennai</v>
      </c>
      <c r="O859" t="str">
        <f t="shared" si="54"/>
        <v>Malayalam</v>
      </c>
      <c r="P859" t="str">
        <f t="shared" si="55"/>
        <v>Standard</v>
      </c>
    </row>
    <row r="860" spans="1:16" x14ac:dyDescent="0.3">
      <c r="A860" s="2" t="s">
        <v>904</v>
      </c>
      <c r="B860" s="2" t="s">
        <v>24</v>
      </c>
      <c r="C860" s="3">
        <v>29</v>
      </c>
      <c r="D860" t="s">
        <v>18</v>
      </c>
      <c r="E860" s="2" t="s">
        <v>13</v>
      </c>
      <c r="F860" s="2" t="s">
        <v>88</v>
      </c>
      <c r="G860">
        <v>4</v>
      </c>
      <c r="H860" s="4">
        <v>45154</v>
      </c>
      <c r="I860" s="2" t="s">
        <v>34</v>
      </c>
      <c r="J860" s="2" t="s">
        <v>27</v>
      </c>
      <c r="M860" t="str">
        <f t="shared" si="52"/>
        <v>Male</v>
      </c>
      <c r="N860" t="str">
        <f t="shared" si="53"/>
        <v>Lucknow</v>
      </c>
      <c r="O860" t="str">
        <f t="shared" si="54"/>
        <v>Marathi</v>
      </c>
      <c r="P860" t="str">
        <f t="shared" si="55"/>
        <v>Standard</v>
      </c>
    </row>
    <row r="861" spans="1:16" x14ac:dyDescent="0.3">
      <c r="A861" s="2" t="s">
        <v>905</v>
      </c>
      <c r="B861" s="2" t="s">
        <v>31</v>
      </c>
      <c r="C861" s="3">
        <v>23</v>
      </c>
      <c r="D861" t="s">
        <v>32</v>
      </c>
      <c r="E861" s="2" t="s">
        <v>13</v>
      </c>
      <c r="F861" s="2" t="s">
        <v>36</v>
      </c>
      <c r="G861">
        <v>50</v>
      </c>
      <c r="H861" s="4">
        <v>43770</v>
      </c>
      <c r="I861" s="2" t="s">
        <v>29</v>
      </c>
      <c r="J861" s="2" t="s">
        <v>27</v>
      </c>
      <c r="M861" t="str">
        <f t="shared" si="52"/>
        <v>Male</v>
      </c>
      <c r="N861" t="str">
        <f t="shared" si="53"/>
        <v>Ahmedabad</v>
      </c>
      <c r="O861" t="str">
        <f t="shared" si="54"/>
        <v>English</v>
      </c>
      <c r="P861" t="str">
        <f t="shared" si="55"/>
        <v>Standard</v>
      </c>
    </row>
    <row r="862" spans="1:16" x14ac:dyDescent="0.3">
      <c r="A862" s="2" t="s">
        <v>906</v>
      </c>
      <c r="B862" s="2" t="s">
        <v>31</v>
      </c>
      <c r="C862" s="3">
        <v>34</v>
      </c>
      <c r="D862" t="s">
        <v>18</v>
      </c>
      <c r="E862" s="2" t="s">
        <v>13</v>
      </c>
      <c r="F862" s="2" t="s">
        <v>64</v>
      </c>
      <c r="G862">
        <v>18</v>
      </c>
      <c r="H862" s="4">
        <v>44746</v>
      </c>
      <c r="I862" s="2" t="s">
        <v>26</v>
      </c>
      <c r="J862" s="2" t="s">
        <v>16</v>
      </c>
      <c r="M862" t="str">
        <f t="shared" si="52"/>
        <v>Male</v>
      </c>
      <c r="N862" t="str">
        <f t="shared" si="53"/>
        <v>Pune</v>
      </c>
      <c r="O862" t="str">
        <f t="shared" si="54"/>
        <v>Malayalam</v>
      </c>
      <c r="P862" t="str">
        <f t="shared" si="55"/>
        <v>Basic</v>
      </c>
    </row>
    <row r="863" spans="1:16" x14ac:dyDescent="0.3">
      <c r="A863" s="2" t="s">
        <v>907</v>
      </c>
      <c r="B863" s="2" t="s">
        <v>61</v>
      </c>
      <c r="C863" s="3">
        <v>33</v>
      </c>
      <c r="D863" t="s">
        <v>18</v>
      </c>
      <c r="E863" s="2" t="s">
        <v>13</v>
      </c>
      <c r="F863" s="2" t="s">
        <v>56</v>
      </c>
      <c r="G863">
        <v>7</v>
      </c>
      <c r="H863" s="4">
        <v>45067</v>
      </c>
      <c r="I863" s="2" t="s">
        <v>39</v>
      </c>
      <c r="J863" s="2" t="s">
        <v>16</v>
      </c>
      <c r="M863" t="str">
        <f t="shared" si="52"/>
        <v>Male</v>
      </c>
      <c r="N863" t="str">
        <f t="shared" si="53"/>
        <v>Hyderabad</v>
      </c>
      <c r="O863" t="str">
        <f t="shared" si="54"/>
        <v>Tamil</v>
      </c>
      <c r="P863" t="str">
        <f t="shared" si="55"/>
        <v>Basic</v>
      </c>
    </row>
    <row r="864" spans="1:16" x14ac:dyDescent="0.3">
      <c r="A864" s="2" t="s">
        <v>908</v>
      </c>
      <c r="B864" s="2" t="s">
        <v>31</v>
      </c>
      <c r="C864" s="3">
        <v>24</v>
      </c>
      <c r="D864" t="s">
        <v>32</v>
      </c>
      <c r="E864" s="2" t="s">
        <v>19</v>
      </c>
      <c r="F864" s="2" t="s">
        <v>54</v>
      </c>
      <c r="G864">
        <v>37</v>
      </c>
      <c r="H864" s="4">
        <v>44166</v>
      </c>
      <c r="I864" s="2" t="s">
        <v>15</v>
      </c>
      <c r="J864" s="2" t="s">
        <v>65</v>
      </c>
      <c r="M864" t="str">
        <f t="shared" si="52"/>
        <v>Female</v>
      </c>
      <c r="N864" t="str">
        <f t="shared" si="53"/>
        <v>Bangalore</v>
      </c>
      <c r="O864" t="str">
        <f t="shared" si="54"/>
        <v>Telugu</v>
      </c>
      <c r="P864" t="str">
        <f t="shared" si="55"/>
        <v>Family</v>
      </c>
    </row>
    <row r="865" spans="1:16" x14ac:dyDescent="0.3">
      <c r="A865" s="2" t="s">
        <v>909</v>
      </c>
      <c r="B865" s="2" t="s">
        <v>31</v>
      </c>
      <c r="C865" s="3">
        <v>29</v>
      </c>
      <c r="D865" t="s">
        <v>18</v>
      </c>
      <c r="E865" s="2" t="s">
        <v>19</v>
      </c>
      <c r="F865" s="2" t="s">
        <v>25</v>
      </c>
      <c r="G865">
        <v>43</v>
      </c>
      <c r="H865" s="4">
        <v>43988</v>
      </c>
      <c r="I865" s="2" t="s">
        <v>47</v>
      </c>
      <c r="J865" s="2" t="s">
        <v>65</v>
      </c>
      <c r="M865" t="str">
        <f t="shared" si="52"/>
        <v>Female</v>
      </c>
      <c r="N865" t="str">
        <f t="shared" si="53"/>
        <v>Mumbai</v>
      </c>
      <c r="O865" t="str">
        <f t="shared" si="54"/>
        <v>Hindi</v>
      </c>
      <c r="P865" t="str">
        <f t="shared" si="55"/>
        <v>Family</v>
      </c>
    </row>
    <row r="866" spans="1:16" x14ac:dyDescent="0.3">
      <c r="A866" s="2" t="s">
        <v>910</v>
      </c>
      <c r="B866" s="2" t="s">
        <v>61</v>
      </c>
      <c r="C866" s="3">
        <v>31</v>
      </c>
      <c r="D866" t="s">
        <v>18</v>
      </c>
      <c r="E866" s="2" t="s">
        <v>13</v>
      </c>
      <c r="F866" s="2" t="s">
        <v>88</v>
      </c>
      <c r="G866">
        <v>11</v>
      </c>
      <c r="H866" s="4">
        <v>44945</v>
      </c>
      <c r="I866" s="2" t="s">
        <v>34</v>
      </c>
      <c r="J866" s="2" t="s">
        <v>65</v>
      </c>
      <c r="M866" t="str">
        <f t="shared" si="52"/>
        <v>Male</v>
      </c>
      <c r="N866" t="str">
        <f t="shared" si="53"/>
        <v>Lucknow</v>
      </c>
      <c r="O866" t="str">
        <f t="shared" si="54"/>
        <v>Marathi</v>
      </c>
      <c r="P866" t="str">
        <f t="shared" si="55"/>
        <v>Family</v>
      </c>
    </row>
    <row r="867" spans="1:16" x14ac:dyDescent="0.3">
      <c r="A867" s="2" t="s">
        <v>911</v>
      </c>
      <c r="B867" s="2" t="s">
        <v>61</v>
      </c>
      <c r="C867" s="3">
        <v>35</v>
      </c>
      <c r="D867" t="s">
        <v>12</v>
      </c>
      <c r="E867" s="2" t="s">
        <v>13</v>
      </c>
      <c r="F867" s="2" t="s">
        <v>64</v>
      </c>
      <c r="G867">
        <v>3</v>
      </c>
      <c r="H867" s="4">
        <v>45177</v>
      </c>
      <c r="I867" s="2" t="s">
        <v>34</v>
      </c>
      <c r="J867" s="2" t="s">
        <v>16</v>
      </c>
      <c r="M867" t="str">
        <f t="shared" si="52"/>
        <v>Male</v>
      </c>
      <c r="N867" t="str">
        <f t="shared" si="53"/>
        <v>Pune</v>
      </c>
      <c r="O867" t="str">
        <f t="shared" si="54"/>
        <v>Marathi</v>
      </c>
      <c r="P867" t="str">
        <f t="shared" si="55"/>
        <v>Basic</v>
      </c>
    </row>
    <row r="868" spans="1:16" x14ac:dyDescent="0.3">
      <c r="A868" s="2" t="s">
        <v>912</v>
      </c>
      <c r="B868" s="2" t="s">
        <v>24</v>
      </c>
      <c r="C868" s="3">
        <v>40</v>
      </c>
      <c r="D868" t="s">
        <v>12</v>
      </c>
      <c r="E868" s="2" t="s">
        <v>19</v>
      </c>
      <c r="F868" s="2" t="s">
        <v>88</v>
      </c>
      <c r="G868">
        <v>48</v>
      </c>
      <c r="H868" s="4">
        <v>43824</v>
      </c>
      <c r="I868" s="2" t="s">
        <v>62</v>
      </c>
      <c r="J868" s="2" t="s">
        <v>27</v>
      </c>
      <c r="M868" t="str">
        <f t="shared" si="52"/>
        <v>Female</v>
      </c>
      <c r="N868" t="str">
        <f t="shared" si="53"/>
        <v>Lucknow</v>
      </c>
      <c r="O868" t="str">
        <f t="shared" si="54"/>
        <v>Gujarati</v>
      </c>
      <c r="P868" t="str">
        <f t="shared" si="55"/>
        <v>Standard</v>
      </c>
    </row>
    <row r="869" spans="1:16" x14ac:dyDescent="0.3">
      <c r="A869" s="2" t="s">
        <v>913</v>
      </c>
      <c r="B869" s="2" t="s">
        <v>31</v>
      </c>
      <c r="C869" s="3">
        <v>51</v>
      </c>
      <c r="D869" t="s">
        <v>46</v>
      </c>
      <c r="E869" s="2" t="s">
        <v>13</v>
      </c>
      <c r="F869" s="2" t="s">
        <v>38</v>
      </c>
      <c r="G869">
        <v>22</v>
      </c>
      <c r="H869" s="4">
        <v>44604</v>
      </c>
      <c r="I869" s="2" t="s">
        <v>62</v>
      </c>
      <c r="J869" s="2" t="s">
        <v>27</v>
      </c>
      <c r="M869" t="str">
        <f t="shared" si="52"/>
        <v>Male</v>
      </c>
      <c r="N869" t="str">
        <f t="shared" si="53"/>
        <v>Delhi</v>
      </c>
      <c r="O869" t="str">
        <f t="shared" si="54"/>
        <v>Gujarati</v>
      </c>
      <c r="P869" t="str">
        <f t="shared" si="55"/>
        <v>Standard</v>
      </c>
    </row>
    <row r="870" spans="1:16" x14ac:dyDescent="0.3">
      <c r="A870" s="2" t="s">
        <v>914</v>
      </c>
      <c r="B870" s="2" t="s">
        <v>24</v>
      </c>
      <c r="C870" s="3">
        <v>33</v>
      </c>
      <c r="D870" t="s">
        <v>18</v>
      </c>
      <c r="E870" s="2" t="s">
        <v>19</v>
      </c>
      <c r="F870" s="2" t="s">
        <v>88</v>
      </c>
      <c r="G870">
        <v>38</v>
      </c>
      <c r="H870" s="4">
        <v>44151</v>
      </c>
      <c r="I870" s="2" t="s">
        <v>39</v>
      </c>
      <c r="J870" s="2" t="s">
        <v>27</v>
      </c>
      <c r="M870" t="str">
        <f t="shared" si="52"/>
        <v>Female</v>
      </c>
      <c r="N870" t="str">
        <f t="shared" si="53"/>
        <v>Lucknow</v>
      </c>
      <c r="O870" t="str">
        <f t="shared" si="54"/>
        <v>Tamil</v>
      </c>
      <c r="P870" t="str">
        <f t="shared" si="55"/>
        <v>Standard</v>
      </c>
    </row>
    <row r="871" spans="1:16" x14ac:dyDescent="0.3">
      <c r="A871" s="2" t="s">
        <v>915</v>
      </c>
      <c r="B871" s="2" t="s">
        <v>11</v>
      </c>
      <c r="C871" s="3">
        <v>30</v>
      </c>
      <c r="D871" t="s">
        <v>18</v>
      </c>
      <c r="E871" s="2" t="s">
        <v>19</v>
      </c>
      <c r="F871" s="2" t="s">
        <v>54</v>
      </c>
      <c r="G871">
        <v>35</v>
      </c>
      <c r="H871" s="4">
        <v>44221</v>
      </c>
      <c r="I871" s="2" t="s">
        <v>34</v>
      </c>
      <c r="J871" s="2" t="s">
        <v>22</v>
      </c>
      <c r="M871" t="str">
        <f t="shared" si="52"/>
        <v>Female</v>
      </c>
      <c r="N871" t="str">
        <f t="shared" si="53"/>
        <v>Bangalore</v>
      </c>
      <c r="O871" t="str">
        <f t="shared" si="54"/>
        <v>Marathi</v>
      </c>
      <c r="P871" t="str">
        <f t="shared" si="55"/>
        <v>Premium</v>
      </c>
    </row>
    <row r="872" spans="1:16" x14ac:dyDescent="0.3">
      <c r="A872" s="2" t="s">
        <v>916</v>
      </c>
      <c r="B872" s="2" t="s">
        <v>11</v>
      </c>
      <c r="C872" s="3">
        <v>37</v>
      </c>
      <c r="D872" t="s">
        <v>12</v>
      </c>
      <c r="E872" s="2" t="s">
        <v>13</v>
      </c>
      <c r="F872" s="2" t="s">
        <v>64</v>
      </c>
      <c r="G872">
        <v>15</v>
      </c>
      <c r="H872" s="4">
        <v>44841</v>
      </c>
      <c r="I872" s="2" t="s">
        <v>29</v>
      </c>
      <c r="J872" s="2" t="s">
        <v>65</v>
      </c>
      <c r="M872" t="str">
        <f t="shared" si="52"/>
        <v>Male</v>
      </c>
      <c r="N872" t="str">
        <f t="shared" si="53"/>
        <v>Pune</v>
      </c>
      <c r="O872" t="str">
        <f t="shared" si="54"/>
        <v>English</v>
      </c>
      <c r="P872" t="str">
        <f t="shared" si="55"/>
        <v>Family</v>
      </c>
    </row>
    <row r="873" spans="1:16" x14ac:dyDescent="0.3">
      <c r="A873" s="2" t="s">
        <v>917</v>
      </c>
      <c r="B873" s="2" t="s">
        <v>31</v>
      </c>
      <c r="C873" s="3">
        <v>43</v>
      </c>
      <c r="D873" t="s">
        <v>12</v>
      </c>
      <c r="E873" s="2" t="s">
        <v>13</v>
      </c>
      <c r="F873" s="2" t="s">
        <v>20</v>
      </c>
      <c r="G873">
        <v>43</v>
      </c>
      <c r="H873" s="4">
        <v>43989</v>
      </c>
      <c r="I873" s="2" t="s">
        <v>21</v>
      </c>
      <c r="J873" s="2" t="s">
        <v>22</v>
      </c>
      <c r="M873" t="str">
        <f t="shared" si="52"/>
        <v>Male</v>
      </c>
      <c r="N873" t="str">
        <f t="shared" si="53"/>
        <v>Chennai</v>
      </c>
      <c r="O873" t="str">
        <f t="shared" si="54"/>
        <v>Bengali</v>
      </c>
      <c r="P873" t="str">
        <f t="shared" si="55"/>
        <v>Premium</v>
      </c>
    </row>
    <row r="874" spans="1:16" x14ac:dyDescent="0.3">
      <c r="A874" s="2" t="s">
        <v>918</v>
      </c>
      <c r="B874" s="2" t="s">
        <v>24</v>
      </c>
      <c r="C874" s="3">
        <v>33</v>
      </c>
      <c r="D874" t="s">
        <v>18</v>
      </c>
      <c r="E874" s="2" t="s">
        <v>19</v>
      </c>
      <c r="F874" s="2" t="s">
        <v>20</v>
      </c>
      <c r="G874">
        <v>56</v>
      </c>
      <c r="H874" s="4">
        <v>43590</v>
      </c>
      <c r="I874" s="2" t="s">
        <v>26</v>
      </c>
      <c r="J874" s="2" t="s">
        <v>16</v>
      </c>
      <c r="M874" t="str">
        <f t="shared" si="52"/>
        <v>Female</v>
      </c>
      <c r="N874" t="str">
        <f t="shared" si="53"/>
        <v>Chennai</v>
      </c>
      <c r="O874" t="str">
        <f t="shared" si="54"/>
        <v>Malayalam</v>
      </c>
      <c r="P874" t="str">
        <f t="shared" si="55"/>
        <v>Basic</v>
      </c>
    </row>
    <row r="875" spans="1:16" x14ac:dyDescent="0.3">
      <c r="A875" s="2" t="s">
        <v>919</v>
      </c>
      <c r="B875" s="2" t="s">
        <v>42</v>
      </c>
      <c r="C875" s="3">
        <v>37</v>
      </c>
      <c r="D875" t="s">
        <v>12</v>
      </c>
      <c r="E875" s="2" t="s">
        <v>13</v>
      </c>
      <c r="F875" s="2" t="s">
        <v>33</v>
      </c>
      <c r="G875">
        <v>23</v>
      </c>
      <c r="H875" s="4">
        <v>44592</v>
      </c>
      <c r="I875" s="2" t="s">
        <v>39</v>
      </c>
      <c r="J875" s="2" t="s">
        <v>65</v>
      </c>
      <c r="M875" t="str">
        <f t="shared" si="52"/>
        <v>Male</v>
      </c>
      <c r="N875" t="str">
        <f t="shared" si="53"/>
        <v>Jaipur</v>
      </c>
      <c r="O875" t="str">
        <f t="shared" si="54"/>
        <v>Tamil</v>
      </c>
      <c r="P875" t="str">
        <f t="shared" si="55"/>
        <v>Family</v>
      </c>
    </row>
    <row r="876" spans="1:16" x14ac:dyDescent="0.3">
      <c r="A876" s="2" t="s">
        <v>920</v>
      </c>
      <c r="B876" s="2" t="s">
        <v>24</v>
      </c>
      <c r="C876" s="3">
        <v>20</v>
      </c>
      <c r="D876" t="s">
        <v>32</v>
      </c>
      <c r="E876" s="2" t="s">
        <v>19</v>
      </c>
      <c r="F876" s="2" t="s">
        <v>20</v>
      </c>
      <c r="G876">
        <v>6</v>
      </c>
      <c r="H876" s="4">
        <v>45085</v>
      </c>
      <c r="I876" s="2" t="s">
        <v>62</v>
      </c>
      <c r="J876" s="2" t="s">
        <v>22</v>
      </c>
      <c r="M876" t="str">
        <f t="shared" si="52"/>
        <v>Female</v>
      </c>
      <c r="N876" t="str">
        <f t="shared" si="53"/>
        <v>Chennai</v>
      </c>
      <c r="O876" t="str">
        <f t="shared" si="54"/>
        <v>Gujarati</v>
      </c>
      <c r="P876" t="str">
        <f t="shared" si="55"/>
        <v>Premium</v>
      </c>
    </row>
    <row r="877" spans="1:16" x14ac:dyDescent="0.3">
      <c r="A877" s="2" t="s">
        <v>921</v>
      </c>
      <c r="B877" s="2" t="s">
        <v>42</v>
      </c>
      <c r="C877" s="3">
        <v>18</v>
      </c>
      <c r="D877" t="s">
        <v>32</v>
      </c>
      <c r="E877" s="2" t="s">
        <v>13</v>
      </c>
      <c r="F877" s="2" t="s">
        <v>88</v>
      </c>
      <c r="G877">
        <v>26</v>
      </c>
      <c r="H877" s="4">
        <v>44503</v>
      </c>
      <c r="I877" s="2" t="s">
        <v>26</v>
      </c>
      <c r="J877" s="2" t="s">
        <v>22</v>
      </c>
      <c r="M877" t="str">
        <f t="shared" si="52"/>
        <v>Male</v>
      </c>
      <c r="N877" t="str">
        <f t="shared" si="53"/>
        <v>Lucknow</v>
      </c>
      <c r="O877" t="str">
        <f t="shared" si="54"/>
        <v>Malayalam</v>
      </c>
      <c r="P877" t="str">
        <f t="shared" si="55"/>
        <v>Premium</v>
      </c>
    </row>
    <row r="878" spans="1:16" x14ac:dyDescent="0.3">
      <c r="A878" s="2" t="s">
        <v>922</v>
      </c>
      <c r="B878" s="2" t="s">
        <v>31</v>
      </c>
      <c r="C878" s="3">
        <v>27</v>
      </c>
      <c r="D878" t="s">
        <v>18</v>
      </c>
      <c r="E878" s="2" t="s">
        <v>19</v>
      </c>
      <c r="F878" s="2" t="s">
        <v>14</v>
      </c>
      <c r="G878">
        <v>12</v>
      </c>
      <c r="H878" s="4">
        <v>44903</v>
      </c>
      <c r="I878" s="2" t="s">
        <v>34</v>
      </c>
      <c r="J878" s="2" t="s">
        <v>27</v>
      </c>
      <c r="M878" t="str">
        <f t="shared" si="52"/>
        <v>Female</v>
      </c>
      <c r="N878" t="str">
        <f t="shared" si="53"/>
        <v>Kolkata</v>
      </c>
      <c r="O878" t="str">
        <f t="shared" si="54"/>
        <v>Marathi</v>
      </c>
      <c r="P878" t="str">
        <f t="shared" si="55"/>
        <v>Standard</v>
      </c>
    </row>
    <row r="879" spans="1:16" x14ac:dyDescent="0.3">
      <c r="A879" s="2" t="s">
        <v>923</v>
      </c>
      <c r="B879" s="2" t="s">
        <v>24</v>
      </c>
      <c r="C879" s="3">
        <v>18</v>
      </c>
      <c r="D879" t="s">
        <v>32</v>
      </c>
      <c r="E879" s="2" t="s">
        <v>19</v>
      </c>
      <c r="F879" s="2" t="s">
        <v>38</v>
      </c>
      <c r="G879">
        <v>58</v>
      </c>
      <c r="H879" s="4">
        <v>43535</v>
      </c>
      <c r="I879" s="2" t="s">
        <v>15</v>
      </c>
      <c r="J879" s="2" t="s">
        <v>27</v>
      </c>
      <c r="M879" t="str">
        <f t="shared" si="52"/>
        <v>Female</v>
      </c>
      <c r="N879" t="str">
        <f t="shared" si="53"/>
        <v>Delhi</v>
      </c>
      <c r="O879" t="str">
        <f t="shared" si="54"/>
        <v>Telugu</v>
      </c>
      <c r="P879" t="str">
        <f t="shared" si="55"/>
        <v>Standard</v>
      </c>
    </row>
    <row r="880" spans="1:16" x14ac:dyDescent="0.3">
      <c r="A880" s="2" t="s">
        <v>924</v>
      </c>
      <c r="B880" s="2" t="s">
        <v>31</v>
      </c>
      <c r="C880" s="3">
        <v>33</v>
      </c>
      <c r="D880" t="s">
        <v>18</v>
      </c>
      <c r="E880" s="2" t="s">
        <v>19</v>
      </c>
      <c r="F880" s="2" t="s">
        <v>56</v>
      </c>
      <c r="G880">
        <v>3</v>
      </c>
      <c r="H880" s="4">
        <v>45184</v>
      </c>
      <c r="I880" s="2" t="s">
        <v>39</v>
      </c>
      <c r="J880" s="2" t="s">
        <v>65</v>
      </c>
      <c r="M880" t="str">
        <f t="shared" si="52"/>
        <v>Female</v>
      </c>
      <c r="N880" t="str">
        <f t="shared" si="53"/>
        <v>Hyderabad</v>
      </c>
      <c r="O880" t="str">
        <f t="shared" si="54"/>
        <v>Tamil</v>
      </c>
      <c r="P880" t="str">
        <f t="shared" si="55"/>
        <v>Family</v>
      </c>
    </row>
    <row r="881" spans="1:16" x14ac:dyDescent="0.3">
      <c r="A881" s="2" t="s">
        <v>925</v>
      </c>
      <c r="B881" s="2" t="s">
        <v>11</v>
      </c>
      <c r="C881" s="3">
        <v>37</v>
      </c>
      <c r="D881" t="s">
        <v>12</v>
      </c>
      <c r="E881" s="2" t="s">
        <v>13</v>
      </c>
      <c r="F881" s="2" t="s">
        <v>36</v>
      </c>
      <c r="G881">
        <v>40</v>
      </c>
      <c r="H881" s="4">
        <v>44092</v>
      </c>
      <c r="I881" s="2" t="s">
        <v>49</v>
      </c>
      <c r="J881" s="2" t="s">
        <v>16</v>
      </c>
      <c r="M881" t="str">
        <f t="shared" si="52"/>
        <v>Male</v>
      </c>
      <c r="N881" t="str">
        <f t="shared" si="53"/>
        <v>Ahmedabad</v>
      </c>
      <c r="O881" t="str">
        <f t="shared" si="54"/>
        <v>Kannada</v>
      </c>
      <c r="P881" t="str">
        <f t="shared" si="55"/>
        <v>Basic</v>
      </c>
    </row>
    <row r="882" spans="1:16" x14ac:dyDescent="0.3">
      <c r="A882" s="2" t="s">
        <v>926</v>
      </c>
      <c r="B882" s="2" t="s">
        <v>24</v>
      </c>
      <c r="C882" s="3">
        <v>31</v>
      </c>
      <c r="D882" t="s">
        <v>18</v>
      </c>
      <c r="E882" s="2" t="s">
        <v>19</v>
      </c>
      <c r="F882" s="2" t="s">
        <v>20</v>
      </c>
      <c r="G882">
        <v>10</v>
      </c>
      <c r="H882" s="4">
        <v>44967</v>
      </c>
      <c r="I882" s="2" t="s">
        <v>21</v>
      </c>
      <c r="J882" s="2" t="s">
        <v>27</v>
      </c>
      <c r="M882" t="str">
        <f t="shared" si="52"/>
        <v>Female</v>
      </c>
      <c r="N882" t="str">
        <f t="shared" si="53"/>
        <v>Chennai</v>
      </c>
      <c r="O882" t="str">
        <f t="shared" si="54"/>
        <v>Bengali</v>
      </c>
      <c r="P882" t="str">
        <f t="shared" si="55"/>
        <v>Standard</v>
      </c>
    </row>
    <row r="883" spans="1:16" x14ac:dyDescent="0.3">
      <c r="A883" s="2" t="s">
        <v>927</v>
      </c>
      <c r="B883" s="2" t="s">
        <v>42</v>
      </c>
      <c r="C883" s="3">
        <v>18</v>
      </c>
      <c r="D883" t="s">
        <v>32</v>
      </c>
      <c r="E883" s="2" t="s">
        <v>19</v>
      </c>
      <c r="F883" s="2" t="s">
        <v>64</v>
      </c>
      <c r="G883">
        <v>9</v>
      </c>
      <c r="H883" s="4">
        <v>45006</v>
      </c>
      <c r="I883" s="2" t="s">
        <v>34</v>
      </c>
      <c r="J883" s="2" t="s">
        <v>16</v>
      </c>
      <c r="M883" t="str">
        <f t="shared" si="52"/>
        <v>Female</v>
      </c>
      <c r="N883" t="str">
        <f t="shared" si="53"/>
        <v>Pune</v>
      </c>
      <c r="O883" t="str">
        <f t="shared" si="54"/>
        <v>Marathi</v>
      </c>
      <c r="P883" t="str">
        <f t="shared" si="55"/>
        <v>Basic</v>
      </c>
    </row>
    <row r="884" spans="1:16" x14ac:dyDescent="0.3">
      <c r="A884" s="2" t="s">
        <v>928</v>
      </c>
      <c r="B884" s="2" t="s">
        <v>11</v>
      </c>
      <c r="C884" s="3">
        <v>36</v>
      </c>
      <c r="D884" t="s">
        <v>12</v>
      </c>
      <c r="E884" s="2" t="s">
        <v>13</v>
      </c>
      <c r="F884" s="2" t="s">
        <v>20</v>
      </c>
      <c r="G884">
        <v>49</v>
      </c>
      <c r="H884" s="4">
        <v>43803</v>
      </c>
      <c r="I884" s="2" t="s">
        <v>15</v>
      </c>
      <c r="J884" s="2" t="s">
        <v>27</v>
      </c>
      <c r="M884" t="str">
        <f t="shared" si="52"/>
        <v>Male</v>
      </c>
      <c r="N884" t="str">
        <f t="shared" si="53"/>
        <v>Chennai</v>
      </c>
      <c r="O884" t="str">
        <f t="shared" si="54"/>
        <v>Telugu</v>
      </c>
      <c r="P884" t="str">
        <f t="shared" si="55"/>
        <v>Standard</v>
      </c>
    </row>
    <row r="885" spans="1:16" x14ac:dyDescent="0.3">
      <c r="A885" s="2" t="s">
        <v>929</v>
      </c>
      <c r="B885" s="2" t="s">
        <v>24</v>
      </c>
      <c r="C885" s="3">
        <v>20</v>
      </c>
      <c r="D885" t="s">
        <v>32</v>
      </c>
      <c r="E885" s="2" t="s">
        <v>19</v>
      </c>
      <c r="F885" s="2" t="s">
        <v>36</v>
      </c>
      <c r="G885">
        <v>21</v>
      </c>
      <c r="H885" s="4">
        <v>44647</v>
      </c>
      <c r="I885" s="2" t="s">
        <v>49</v>
      </c>
      <c r="J885" s="2" t="s">
        <v>16</v>
      </c>
      <c r="M885" t="str">
        <f t="shared" si="52"/>
        <v>Female</v>
      </c>
      <c r="N885" t="str">
        <f t="shared" si="53"/>
        <v>Ahmedabad</v>
      </c>
      <c r="O885" t="str">
        <f t="shared" si="54"/>
        <v>Kannada</v>
      </c>
      <c r="P885" t="str">
        <f t="shared" si="55"/>
        <v>Basic</v>
      </c>
    </row>
    <row r="886" spans="1:16" x14ac:dyDescent="0.3">
      <c r="A886" s="2" t="s">
        <v>930</v>
      </c>
      <c r="B886" s="2" t="s">
        <v>11</v>
      </c>
      <c r="C886" s="3">
        <v>34</v>
      </c>
      <c r="D886" t="s">
        <v>18</v>
      </c>
      <c r="E886" s="2" t="s">
        <v>13</v>
      </c>
      <c r="F886" s="2" t="s">
        <v>88</v>
      </c>
      <c r="G886">
        <v>53</v>
      </c>
      <c r="H886" s="4">
        <v>43687</v>
      </c>
      <c r="I886" s="2" t="s">
        <v>39</v>
      </c>
      <c r="J886" s="2" t="s">
        <v>27</v>
      </c>
      <c r="M886" t="str">
        <f t="shared" si="52"/>
        <v>Male</v>
      </c>
      <c r="N886" t="str">
        <f t="shared" si="53"/>
        <v>Lucknow</v>
      </c>
      <c r="O886" t="str">
        <f t="shared" si="54"/>
        <v>Tamil</v>
      </c>
      <c r="P886" t="str">
        <f t="shared" si="55"/>
        <v>Standard</v>
      </c>
    </row>
    <row r="887" spans="1:16" x14ac:dyDescent="0.3">
      <c r="A887" s="2" t="s">
        <v>931</v>
      </c>
      <c r="B887" s="2" t="s">
        <v>42</v>
      </c>
      <c r="C887" s="3">
        <v>24</v>
      </c>
      <c r="D887" t="s">
        <v>32</v>
      </c>
      <c r="E887" s="2" t="s">
        <v>19</v>
      </c>
      <c r="F887" s="2" t="s">
        <v>25</v>
      </c>
      <c r="G887">
        <v>47</v>
      </c>
      <c r="H887" s="4">
        <v>43878</v>
      </c>
      <c r="I887" s="2" t="s">
        <v>29</v>
      </c>
      <c r="J887" s="2" t="s">
        <v>22</v>
      </c>
      <c r="M887" t="str">
        <f t="shared" si="52"/>
        <v>Female</v>
      </c>
      <c r="N887" t="str">
        <f t="shared" si="53"/>
        <v>Mumbai</v>
      </c>
      <c r="O887" t="str">
        <f t="shared" si="54"/>
        <v>English</v>
      </c>
      <c r="P887" t="str">
        <f t="shared" si="55"/>
        <v>Premium</v>
      </c>
    </row>
    <row r="888" spans="1:16" x14ac:dyDescent="0.3">
      <c r="A888" s="2" t="s">
        <v>932</v>
      </c>
      <c r="B888" s="2" t="s">
        <v>61</v>
      </c>
      <c r="C888" s="3">
        <v>26</v>
      </c>
      <c r="D888" t="s">
        <v>18</v>
      </c>
      <c r="E888" s="2" t="s">
        <v>13</v>
      </c>
      <c r="F888" s="2" t="s">
        <v>38</v>
      </c>
      <c r="G888">
        <v>25</v>
      </c>
      <c r="H888" s="4">
        <v>44519</v>
      </c>
      <c r="I888" s="2" t="s">
        <v>34</v>
      </c>
      <c r="J888" s="2" t="s">
        <v>27</v>
      </c>
      <c r="M888" t="str">
        <f t="shared" si="52"/>
        <v>Male</v>
      </c>
      <c r="N888" t="str">
        <f t="shared" si="53"/>
        <v>Delhi</v>
      </c>
      <c r="O888" t="str">
        <f t="shared" si="54"/>
        <v>Marathi</v>
      </c>
      <c r="P888" t="str">
        <f t="shared" si="55"/>
        <v>Standard</v>
      </c>
    </row>
    <row r="889" spans="1:16" x14ac:dyDescent="0.3">
      <c r="A889" s="2" t="s">
        <v>933</v>
      </c>
      <c r="B889" s="2" t="s">
        <v>61</v>
      </c>
      <c r="C889" s="3">
        <v>38</v>
      </c>
      <c r="D889" t="s">
        <v>12</v>
      </c>
      <c r="E889" s="2" t="s">
        <v>13</v>
      </c>
      <c r="F889" s="2" t="s">
        <v>33</v>
      </c>
      <c r="G889">
        <v>38</v>
      </c>
      <c r="H889" s="4">
        <v>44131</v>
      </c>
      <c r="I889" s="2" t="s">
        <v>26</v>
      </c>
      <c r="J889" s="2" t="s">
        <v>22</v>
      </c>
      <c r="M889" t="str">
        <f t="shared" si="52"/>
        <v>Male</v>
      </c>
      <c r="N889" t="str">
        <f t="shared" si="53"/>
        <v>Jaipur</v>
      </c>
      <c r="O889" t="str">
        <f t="shared" si="54"/>
        <v>Malayalam</v>
      </c>
      <c r="P889" t="str">
        <f t="shared" si="55"/>
        <v>Premium</v>
      </c>
    </row>
    <row r="890" spans="1:16" x14ac:dyDescent="0.3">
      <c r="A890" s="2" t="s">
        <v>934</v>
      </c>
      <c r="B890" s="2" t="s">
        <v>24</v>
      </c>
      <c r="C890" s="3">
        <v>36</v>
      </c>
      <c r="D890" t="s">
        <v>12</v>
      </c>
      <c r="E890" s="2" t="s">
        <v>13</v>
      </c>
      <c r="F890" s="2" t="s">
        <v>25</v>
      </c>
      <c r="G890">
        <v>41</v>
      </c>
      <c r="H890" s="4">
        <v>44062</v>
      </c>
      <c r="I890" s="2" t="s">
        <v>34</v>
      </c>
      <c r="J890" s="2" t="s">
        <v>65</v>
      </c>
      <c r="M890" t="str">
        <f t="shared" si="52"/>
        <v>Male</v>
      </c>
      <c r="N890" t="str">
        <f t="shared" si="53"/>
        <v>Mumbai</v>
      </c>
      <c r="O890" t="str">
        <f t="shared" si="54"/>
        <v>Marathi</v>
      </c>
      <c r="P890" t="str">
        <f t="shared" si="55"/>
        <v>Family</v>
      </c>
    </row>
    <row r="891" spans="1:16" x14ac:dyDescent="0.3">
      <c r="A891" s="2" t="s">
        <v>935</v>
      </c>
      <c r="B891" s="2" t="s">
        <v>31</v>
      </c>
      <c r="C891" s="3">
        <v>41</v>
      </c>
      <c r="D891" t="s">
        <v>12</v>
      </c>
      <c r="E891" s="2" t="s">
        <v>19</v>
      </c>
      <c r="F891" s="2" t="s">
        <v>64</v>
      </c>
      <c r="G891">
        <v>11</v>
      </c>
      <c r="H891" s="4">
        <v>44956</v>
      </c>
      <c r="I891" s="2" t="s">
        <v>29</v>
      </c>
      <c r="J891" s="2" t="s">
        <v>65</v>
      </c>
      <c r="M891" t="str">
        <f t="shared" si="52"/>
        <v>Female</v>
      </c>
      <c r="N891" t="str">
        <f t="shared" si="53"/>
        <v>Pune</v>
      </c>
      <c r="O891" t="str">
        <f t="shared" si="54"/>
        <v>English</v>
      </c>
      <c r="P891" t="str">
        <f t="shared" si="55"/>
        <v>Family</v>
      </c>
    </row>
    <row r="892" spans="1:16" x14ac:dyDescent="0.3">
      <c r="A892" s="2" t="s">
        <v>936</v>
      </c>
      <c r="B892" s="2" t="s">
        <v>11</v>
      </c>
      <c r="C892" s="3">
        <v>29</v>
      </c>
      <c r="D892" t="s">
        <v>18</v>
      </c>
      <c r="E892" s="2" t="s">
        <v>19</v>
      </c>
      <c r="F892" s="2" t="s">
        <v>54</v>
      </c>
      <c r="G892">
        <v>25</v>
      </c>
      <c r="H892" s="4">
        <v>44515</v>
      </c>
      <c r="I892" s="2" t="s">
        <v>21</v>
      </c>
      <c r="J892" s="2" t="s">
        <v>16</v>
      </c>
      <c r="M892" t="str">
        <f t="shared" si="52"/>
        <v>Female</v>
      </c>
      <c r="N892" t="str">
        <f t="shared" si="53"/>
        <v>Bangalore</v>
      </c>
      <c r="O892" t="str">
        <f t="shared" si="54"/>
        <v>Bengali</v>
      </c>
      <c r="P892" t="str">
        <f t="shared" si="55"/>
        <v>Basic</v>
      </c>
    </row>
    <row r="893" spans="1:16" x14ac:dyDescent="0.3">
      <c r="A893" s="2" t="s">
        <v>937</v>
      </c>
      <c r="B893" s="2" t="s">
        <v>61</v>
      </c>
      <c r="C893" s="3">
        <v>25</v>
      </c>
      <c r="D893" t="s">
        <v>18</v>
      </c>
      <c r="E893" s="2" t="s">
        <v>13</v>
      </c>
      <c r="F893" s="2" t="s">
        <v>14</v>
      </c>
      <c r="G893">
        <v>52</v>
      </c>
      <c r="H893" s="4">
        <v>43727</v>
      </c>
      <c r="I893" s="2" t="s">
        <v>26</v>
      </c>
      <c r="J893" s="2" t="s">
        <v>22</v>
      </c>
      <c r="M893" t="str">
        <f t="shared" si="52"/>
        <v>Male</v>
      </c>
      <c r="N893" t="str">
        <f t="shared" si="53"/>
        <v>Kolkata</v>
      </c>
      <c r="O893" t="str">
        <f t="shared" si="54"/>
        <v>Malayalam</v>
      </c>
      <c r="P893" t="str">
        <f t="shared" si="55"/>
        <v>Premium</v>
      </c>
    </row>
    <row r="894" spans="1:16" x14ac:dyDescent="0.3">
      <c r="A894" s="2" t="s">
        <v>938</v>
      </c>
      <c r="B894" s="2" t="s">
        <v>24</v>
      </c>
      <c r="C894" s="3">
        <v>28</v>
      </c>
      <c r="D894" t="s">
        <v>18</v>
      </c>
      <c r="E894" s="2" t="s">
        <v>13</v>
      </c>
      <c r="F894" s="2" t="s">
        <v>14</v>
      </c>
      <c r="G894">
        <v>48</v>
      </c>
      <c r="H894" s="4">
        <v>43835</v>
      </c>
      <c r="I894" s="2" t="s">
        <v>49</v>
      </c>
      <c r="J894" s="2" t="s">
        <v>27</v>
      </c>
      <c r="M894" t="str">
        <f t="shared" si="52"/>
        <v>Male</v>
      </c>
      <c r="N894" t="str">
        <f t="shared" si="53"/>
        <v>Kolkata</v>
      </c>
      <c r="O894" t="str">
        <f t="shared" si="54"/>
        <v>Kannada</v>
      </c>
      <c r="P894" t="str">
        <f t="shared" si="55"/>
        <v>Standard</v>
      </c>
    </row>
    <row r="895" spans="1:16" x14ac:dyDescent="0.3">
      <c r="A895" s="2" t="s">
        <v>939</v>
      </c>
      <c r="B895" s="2" t="s">
        <v>31</v>
      </c>
      <c r="C895" s="3">
        <v>34</v>
      </c>
      <c r="D895" t="s">
        <v>18</v>
      </c>
      <c r="E895" s="2" t="s">
        <v>19</v>
      </c>
      <c r="F895" s="2" t="s">
        <v>38</v>
      </c>
      <c r="G895">
        <v>55</v>
      </c>
      <c r="H895" s="4">
        <v>43613</v>
      </c>
      <c r="I895" s="2" t="s">
        <v>34</v>
      </c>
      <c r="J895" s="2" t="s">
        <v>22</v>
      </c>
      <c r="M895" t="str">
        <f t="shared" si="52"/>
        <v>Female</v>
      </c>
      <c r="N895" t="str">
        <f t="shared" si="53"/>
        <v>Delhi</v>
      </c>
      <c r="O895" t="str">
        <f t="shared" si="54"/>
        <v>Marathi</v>
      </c>
      <c r="P895" t="str">
        <f t="shared" si="55"/>
        <v>Premium</v>
      </c>
    </row>
    <row r="896" spans="1:16" x14ac:dyDescent="0.3">
      <c r="A896" s="2" t="s">
        <v>940</v>
      </c>
      <c r="B896" s="2" t="s">
        <v>42</v>
      </c>
      <c r="C896" s="3">
        <v>33</v>
      </c>
      <c r="D896" t="s">
        <v>18</v>
      </c>
      <c r="E896" s="2" t="s">
        <v>19</v>
      </c>
      <c r="F896" s="2" t="s">
        <v>25</v>
      </c>
      <c r="G896">
        <v>50</v>
      </c>
      <c r="H896" s="4">
        <v>43782</v>
      </c>
      <c r="I896" s="2" t="s">
        <v>47</v>
      </c>
      <c r="J896" s="2" t="s">
        <v>22</v>
      </c>
      <c r="M896" t="str">
        <f t="shared" si="52"/>
        <v>Female</v>
      </c>
      <c r="N896" t="str">
        <f t="shared" si="53"/>
        <v>Mumbai</v>
      </c>
      <c r="O896" t="str">
        <f t="shared" si="54"/>
        <v>Hindi</v>
      </c>
      <c r="P896" t="str">
        <f t="shared" si="55"/>
        <v>Premium</v>
      </c>
    </row>
    <row r="897" spans="1:16" x14ac:dyDescent="0.3">
      <c r="A897" s="2" t="s">
        <v>941</v>
      </c>
      <c r="B897" s="2" t="s">
        <v>11</v>
      </c>
      <c r="C897" s="3">
        <v>51</v>
      </c>
      <c r="D897" t="s">
        <v>46</v>
      </c>
      <c r="E897" s="2" t="s">
        <v>13</v>
      </c>
      <c r="F897" s="2" t="s">
        <v>54</v>
      </c>
      <c r="G897">
        <v>14</v>
      </c>
      <c r="H897" s="4">
        <v>44854</v>
      </c>
      <c r="I897" s="2" t="s">
        <v>29</v>
      </c>
      <c r="J897" s="2" t="s">
        <v>16</v>
      </c>
      <c r="M897" t="str">
        <f t="shared" si="52"/>
        <v>Male</v>
      </c>
      <c r="N897" t="str">
        <f t="shared" si="53"/>
        <v>Bangalore</v>
      </c>
      <c r="O897" t="str">
        <f t="shared" si="54"/>
        <v>English</v>
      </c>
      <c r="P897" t="str">
        <f t="shared" si="55"/>
        <v>Basic</v>
      </c>
    </row>
    <row r="898" spans="1:16" x14ac:dyDescent="0.3">
      <c r="A898" s="2" t="s">
        <v>942</v>
      </c>
      <c r="B898" s="2" t="s">
        <v>42</v>
      </c>
      <c r="C898" s="3">
        <v>37</v>
      </c>
      <c r="D898" t="s">
        <v>12</v>
      </c>
      <c r="E898" s="2" t="s">
        <v>19</v>
      </c>
      <c r="F898" s="2" t="s">
        <v>36</v>
      </c>
      <c r="G898">
        <v>42</v>
      </c>
      <c r="H898" s="4">
        <v>44023</v>
      </c>
      <c r="I898" s="2" t="s">
        <v>39</v>
      </c>
      <c r="J898" s="2" t="s">
        <v>27</v>
      </c>
      <c r="M898" t="str">
        <f t="shared" si="52"/>
        <v>Female</v>
      </c>
      <c r="N898" t="str">
        <f t="shared" si="53"/>
        <v>Ahmedabad</v>
      </c>
      <c r="O898" t="str">
        <f t="shared" si="54"/>
        <v>Tamil</v>
      </c>
      <c r="P898" t="str">
        <f t="shared" si="55"/>
        <v>Standard</v>
      </c>
    </row>
    <row r="899" spans="1:16" x14ac:dyDescent="0.3">
      <c r="A899" s="2" t="s">
        <v>943</v>
      </c>
      <c r="B899" s="2" t="s">
        <v>11</v>
      </c>
      <c r="C899" s="3">
        <v>26</v>
      </c>
      <c r="D899" t="s">
        <v>18</v>
      </c>
      <c r="E899" s="2" t="s">
        <v>105</v>
      </c>
      <c r="F899" s="2" t="s">
        <v>38</v>
      </c>
      <c r="G899">
        <v>48</v>
      </c>
      <c r="H899" s="4">
        <v>43823</v>
      </c>
      <c r="I899" s="2" t="s">
        <v>29</v>
      </c>
      <c r="J899" s="2" t="s">
        <v>16</v>
      </c>
      <c r="M899" t="str">
        <f t="shared" ref="M899:M962" si="56">TRIM(E899)</f>
        <v>Non-Binary</v>
      </c>
      <c r="N899" t="str">
        <f t="shared" ref="N899:N962" si="57">TRIM(F899)</f>
        <v>Delhi</v>
      </c>
      <c r="O899" t="str">
        <f t="shared" ref="O899:O962" si="58">TRIM(I899)</f>
        <v>English</v>
      </c>
      <c r="P899" t="str">
        <f t="shared" ref="P899:P962" si="59">TRIM(J899)</f>
        <v>Basic</v>
      </c>
    </row>
    <row r="900" spans="1:16" x14ac:dyDescent="0.3">
      <c r="A900" s="2" t="s">
        <v>944</v>
      </c>
      <c r="B900" s="2" t="s">
        <v>24</v>
      </c>
      <c r="C900" s="3">
        <v>43</v>
      </c>
      <c r="D900" t="s">
        <v>12</v>
      </c>
      <c r="E900" s="2" t="s">
        <v>19</v>
      </c>
      <c r="F900" s="2" t="s">
        <v>20</v>
      </c>
      <c r="G900">
        <v>37</v>
      </c>
      <c r="H900" s="4">
        <v>44176</v>
      </c>
      <c r="I900" s="2" t="s">
        <v>47</v>
      </c>
      <c r="J900" s="2" t="s">
        <v>22</v>
      </c>
      <c r="M900" t="str">
        <f t="shared" si="56"/>
        <v>Female</v>
      </c>
      <c r="N900" t="str">
        <f t="shared" si="57"/>
        <v>Chennai</v>
      </c>
      <c r="O900" t="str">
        <f t="shared" si="58"/>
        <v>Hindi</v>
      </c>
      <c r="P900" t="str">
        <f t="shared" si="59"/>
        <v>Premium</v>
      </c>
    </row>
    <row r="901" spans="1:16" x14ac:dyDescent="0.3">
      <c r="A901" s="2" t="s">
        <v>945</v>
      </c>
      <c r="B901" s="2" t="s">
        <v>24</v>
      </c>
      <c r="C901" s="3">
        <v>19</v>
      </c>
      <c r="D901" t="s">
        <v>32</v>
      </c>
      <c r="E901" s="2" t="s">
        <v>19</v>
      </c>
      <c r="F901" s="2" t="s">
        <v>36</v>
      </c>
      <c r="G901">
        <v>1</v>
      </c>
      <c r="H901" s="4">
        <v>45238</v>
      </c>
      <c r="I901" s="2" t="s">
        <v>29</v>
      </c>
      <c r="J901" s="2" t="s">
        <v>27</v>
      </c>
      <c r="M901" t="str">
        <f t="shared" si="56"/>
        <v>Female</v>
      </c>
      <c r="N901" t="str">
        <f t="shared" si="57"/>
        <v>Ahmedabad</v>
      </c>
      <c r="O901" t="str">
        <f t="shared" si="58"/>
        <v>English</v>
      </c>
      <c r="P901" t="str">
        <f t="shared" si="59"/>
        <v>Standard</v>
      </c>
    </row>
    <row r="902" spans="1:16" x14ac:dyDescent="0.3">
      <c r="A902" s="2" t="s">
        <v>946</v>
      </c>
      <c r="B902" s="2" t="s">
        <v>11</v>
      </c>
      <c r="C902" s="3">
        <v>45</v>
      </c>
      <c r="D902" t="s">
        <v>46</v>
      </c>
      <c r="E902" s="2" t="s">
        <v>13</v>
      </c>
      <c r="F902" s="2" t="s">
        <v>36</v>
      </c>
      <c r="G902">
        <v>21</v>
      </c>
      <c r="H902" s="4">
        <v>44648</v>
      </c>
      <c r="I902" s="2" t="s">
        <v>26</v>
      </c>
      <c r="J902" s="2" t="s">
        <v>27</v>
      </c>
      <c r="M902" t="str">
        <f t="shared" si="56"/>
        <v>Male</v>
      </c>
      <c r="N902" t="str">
        <f t="shared" si="57"/>
        <v>Ahmedabad</v>
      </c>
      <c r="O902" t="str">
        <f t="shared" si="58"/>
        <v>Malayalam</v>
      </c>
      <c r="P902" t="str">
        <f t="shared" si="59"/>
        <v>Standard</v>
      </c>
    </row>
    <row r="903" spans="1:16" x14ac:dyDescent="0.3">
      <c r="A903" s="2" t="s">
        <v>947</v>
      </c>
      <c r="B903" s="2" t="s">
        <v>61</v>
      </c>
      <c r="C903" s="3">
        <v>31</v>
      </c>
      <c r="D903" t="s">
        <v>18</v>
      </c>
      <c r="E903" s="2" t="s">
        <v>13</v>
      </c>
      <c r="F903" s="2" t="s">
        <v>36</v>
      </c>
      <c r="G903">
        <v>31</v>
      </c>
      <c r="H903" s="4">
        <v>44336</v>
      </c>
      <c r="I903" s="2" t="s">
        <v>39</v>
      </c>
      <c r="J903" s="2" t="s">
        <v>16</v>
      </c>
      <c r="M903" t="str">
        <f t="shared" si="56"/>
        <v>Male</v>
      </c>
      <c r="N903" t="str">
        <f t="shared" si="57"/>
        <v>Ahmedabad</v>
      </c>
      <c r="O903" t="str">
        <f t="shared" si="58"/>
        <v>Tamil</v>
      </c>
      <c r="P903" t="str">
        <f t="shared" si="59"/>
        <v>Basic</v>
      </c>
    </row>
    <row r="904" spans="1:16" x14ac:dyDescent="0.3">
      <c r="A904" s="2" t="s">
        <v>948</v>
      </c>
      <c r="B904" s="2" t="s">
        <v>11</v>
      </c>
      <c r="C904" s="3">
        <v>18</v>
      </c>
      <c r="D904" t="s">
        <v>32</v>
      </c>
      <c r="E904" s="2" t="s">
        <v>13</v>
      </c>
      <c r="F904" s="2" t="s">
        <v>88</v>
      </c>
      <c r="G904">
        <v>13</v>
      </c>
      <c r="H904" s="4">
        <v>44886</v>
      </c>
      <c r="I904" s="2" t="s">
        <v>15</v>
      </c>
      <c r="J904" s="2" t="s">
        <v>16</v>
      </c>
      <c r="M904" t="str">
        <f t="shared" si="56"/>
        <v>Male</v>
      </c>
      <c r="N904" t="str">
        <f t="shared" si="57"/>
        <v>Lucknow</v>
      </c>
      <c r="O904" t="str">
        <f t="shared" si="58"/>
        <v>Telugu</v>
      </c>
      <c r="P904" t="str">
        <f t="shared" si="59"/>
        <v>Basic</v>
      </c>
    </row>
    <row r="905" spans="1:16" x14ac:dyDescent="0.3">
      <c r="A905" s="2" t="s">
        <v>949</v>
      </c>
      <c r="B905" s="2" t="s">
        <v>11</v>
      </c>
      <c r="C905" s="3">
        <v>33</v>
      </c>
      <c r="D905" t="s">
        <v>18</v>
      </c>
      <c r="E905" s="2" t="s">
        <v>13</v>
      </c>
      <c r="F905" s="2" t="s">
        <v>64</v>
      </c>
      <c r="G905">
        <v>59</v>
      </c>
      <c r="H905" s="4">
        <v>43518</v>
      </c>
      <c r="I905" s="2" t="s">
        <v>39</v>
      </c>
      <c r="J905" s="2" t="s">
        <v>27</v>
      </c>
      <c r="M905" t="str">
        <f t="shared" si="56"/>
        <v>Male</v>
      </c>
      <c r="N905" t="str">
        <f t="shared" si="57"/>
        <v>Pune</v>
      </c>
      <c r="O905" t="str">
        <f t="shared" si="58"/>
        <v>Tamil</v>
      </c>
      <c r="P905" t="str">
        <f t="shared" si="59"/>
        <v>Standard</v>
      </c>
    </row>
    <row r="906" spans="1:16" x14ac:dyDescent="0.3">
      <c r="A906" s="2" t="s">
        <v>950</v>
      </c>
      <c r="B906" s="2" t="s">
        <v>42</v>
      </c>
      <c r="C906" s="3">
        <v>35</v>
      </c>
      <c r="D906" t="s">
        <v>12</v>
      </c>
      <c r="E906" s="2" t="s">
        <v>13</v>
      </c>
      <c r="F906" s="2" t="s">
        <v>25</v>
      </c>
      <c r="G906">
        <v>22</v>
      </c>
      <c r="H906" s="4">
        <v>44632</v>
      </c>
      <c r="I906" s="2" t="s">
        <v>39</v>
      </c>
      <c r="J906" s="2" t="s">
        <v>27</v>
      </c>
      <c r="M906" t="str">
        <f t="shared" si="56"/>
        <v>Male</v>
      </c>
      <c r="N906" t="str">
        <f t="shared" si="57"/>
        <v>Mumbai</v>
      </c>
      <c r="O906" t="str">
        <f t="shared" si="58"/>
        <v>Tamil</v>
      </c>
      <c r="P906" t="str">
        <f t="shared" si="59"/>
        <v>Standard</v>
      </c>
    </row>
    <row r="907" spans="1:16" x14ac:dyDescent="0.3">
      <c r="A907" s="2" t="s">
        <v>951</v>
      </c>
      <c r="B907" s="2" t="s">
        <v>24</v>
      </c>
      <c r="C907" s="3">
        <v>40</v>
      </c>
      <c r="D907" t="s">
        <v>12</v>
      </c>
      <c r="E907" s="2" t="s">
        <v>105</v>
      </c>
      <c r="F907" s="2" t="s">
        <v>38</v>
      </c>
      <c r="G907">
        <v>2</v>
      </c>
      <c r="H907" s="4">
        <v>45226</v>
      </c>
      <c r="I907" s="2" t="s">
        <v>26</v>
      </c>
      <c r="J907" s="2" t="s">
        <v>27</v>
      </c>
      <c r="M907" t="str">
        <f t="shared" si="56"/>
        <v>Non-Binary</v>
      </c>
      <c r="N907" t="str">
        <f t="shared" si="57"/>
        <v>Delhi</v>
      </c>
      <c r="O907" t="str">
        <f t="shared" si="58"/>
        <v>Malayalam</v>
      </c>
      <c r="P907" t="str">
        <f t="shared" si="59"/>
        <v>Standard</v>
      </c>
    </row>
    <row r="908" spans="1:16" x14ac:dyDescent="0.3">
      <c r="A908" s="2" t="s">
        <v>952</v>
      </c>
      <c r="B908" s="2" t="s">
        <v>24</v>
      </c>
      <c r="C908" s="3">
        <v>26</v>
      </c>
      <c r="D908" t="s">
        <v>18</v>
      </c>
      <c r="E908" s="2" t="s">
        <v>13</v>
      </c>
      <c r="F908" s="2" t="s">
        <v>54</v>
      </c>
      <c r="G908">
        <v>22</v>
      </c>
      <c r="H908" s="4">
        <v>44603</v>
      </c>
      <c r="I908" s="2" t="s">
        <v>15</v>
      </c>
      <c r="J908" s="2" t="s">
        <v>22</v>
      </c>
      <c r="M908" t="str">
        <f t="shared" si="56"/>
        <v>Male</v>
      </c>
      <c r="N908" t="str">
        <f t="shared" si="57"/>
        <v>Bangalore</v>
      </c>
      <c r="O908" t="str">
        <f t="shared" si="58"/>
        <v>Telugu</v>
      </c>
      <c r="P908" t="str">
        <f t="shared" si="59"/>
        <v>Premium</v>
      </c>
    </row>
    <row r="909" spans="1:16" x14ac:dyDescent="0.3">
      <c r="A909" s="2" t="s">
        <v>953</v>
      </c>
      <c r="B909" s="2" t="s">
        <v>11</v>
      </c>
      <c r="C909" s="3">
        <v>31</v>
      </c>
      <c r="D909" t="s">
        <v>18</v>
      </c>
      <c r="E909" s="2" t="s">
        <v>13</v>
      </c>
      <c r="F909" s="2" t="s">
        <v>36</v>
      </c>
      <c r="G909">
        <v>32</v>
      </c>
      <c r="H909" s="4">
        <v>44315</v>
      </c>
      <c r="I909" s="2" t="s">
        <v>21</v>
      </c>
      <c r="J909" s="2" t="s">
        <v>16</v>
      </c>
      <c r="M909" t="str">
        <f t="shared" si="56"/>
        <v>Male</v>
      </c>
      <c r="N909" t="str">
        <f t="shared" si="57"/>
        <v>Ahmedabad</v>
      </c>
      <c r="O909" t="str">
        <f t="shared" si="58"/>
        <v>Bengali</v>
      </c>
      <c r="P909" t="str">
        <f t="shared" si="59"/>
        <v>Basic</v>
      </c>
    </row>
    <row r="910" spans="1:16" x14ac:dyDescent="0.3">
      <c r="A910" s="2" t="s">
        <v>954</v>
      </c>
      <c r="B910" s="2" t="s">
        <v>11</v>
      </c>
      <c r="C910" s="3">
        <v>33</v>
      </c>
      <c r="D910" t="s">
        <v>18</v>
      </c>
      <c r="E910" s="2" t="s">
        <v>19</v>
      </c>
      <c r="F910" s="2" t="s">
        <v>14</v>
      </c>
      <c r="G910">
        <v>22</v>
      </c>
      <c r="H910" s="4">
        <v>44607</v>
      </c>
      <c r="I910" s="2" t="s">
        <v>26</v>
      </c>
      <c r="J910" s="2" t="s">
        <v>65</v>
      </c>
      <c r="M910" t="str">
        <f t="shared" si="56"/>
        <v>Female</v>
      </c>
      <c r="N910" t="str">
        <f t="shared" si="57"/>
        <v>Kolkata</v>
      </c>
      <c r="O910" t="str">
        <f t="shared" si="58"/>
        <v>Malayalam</v>
      </c>
      <c r="P910" t="str">
        <f t="shared" si="59"/>
        <v>Family</v>
      </c>
    </row>
    <row r="911" spans="1:16" x14ac:dyDescent="0.3">
      <c r="A911" s="2" t="s">
        <v>955</v>
      </c>
      <c r="B911" s="2" t="s">
        <v>24</v>
      </c>
      <c r="C911" s="3">
        <v>18</v>
      </c>
      <c r="D911" t="s">
        <v>32</v>
      </c>
      <c r="E911" s="2" t="s">
        <v>19</v>
      </c>
      <c r="F911" s="2" t="s">
        <v>20</v>
      </c>
      <c r="G911">
        <v>54</v>
      </c>
      <c r="H911" s="4">
        <v>43643</v>
      </c>
      <c r="I911" s="2" t="s">
        <v>49</v>
      </c>
      <c r="J911" s="2" t="s">
        <v>27</v>
      </c>
      <c r="M911" t="str">
        <f t="shared" si="56"/>
        <v>Female</v>
      </c>
      <c r="N911" t="str">
        <f t="shared" si="57"/>
        <v>Chennai</v>
      </c>
      <c r="O911" t="str">
        <f t="shared" si="58"/>
        <v>Kannada</v>
      </c>
      <c r="P911" t="str">
        <f t="shared" si="59"/>
        <v>Standard</v>
      </c>
    </row>
    <row r="912" spans="1:16" x14ac:dyDescent="0.3">
      <c r="A912" s="2" t="s">
        <v>956</v>
      </c>
      <c r="B912" s="2" t="s">
        <v>31</v>
      </c>
      <c r="C912" s="3">
        <v>31</v>
      </c>
      <c r="D912" t="s">
        <v>18</v>
      </c>
      <c r="E912" s="2" t="s">
        <v>19</v>
      </c>
      <c r="F912" s="2" t="s">
        <v>33</v>
      </c>
      <c r="G912">
        <v>11</v>
      </c>
      <c r="H912" s="4">
        <v>44941</v>
      </c>
      <c r="I912" s="2" t="s">
        <v>26</v>
      </c>
      <c r="J912" s="2" t="s">
        <v>22</v>
      </c>
      <c r="M912" t="str">
        <f t="shared" si="56"/>
        <v>Female</v>
      </c>
      <c r="N912" t="str">
        <f t="shared" si="57"/>
        <v>Jaipur</v>
      </c>
      <c r="O912" t="str">
        <f t="shared" si="58"/>
        <v>Malayalam</v>
      </c>
      <c r="P912" t="str">
        <f t="shared" si="59"/>
        <v>Premium</v>
      </c>
    </row>
    <row r="913" spans="1:16" x14ac:dyDescent="0.3">
      <c r="A913" s="2" t="s">
        <v>957</v>
      </c>
      <c r="B913" s="2" t="s">
        <v>24</v>
      </c>
      <c r="C913" s="3">
        <v>30</v>
      </c>
      <c r="D913" t="s">
        <v>18</v>
      </c>
      <c r="E913" s="2" t="s">
        <v>13</v>
      </c>
      <c r="F913" s="2" t="s">
        <v>54</v>
      </c>
      <c r="G913">
        <v>22</v>
      </c>
      <c r="H913" s="4">
        <v>44617</v>
      </c>
      <c r="I913" s="2" t="s">
        <v>49</v>
      </c>
      <c r="J913" s="2" t="s">
        <v>27</v>
      </c>
      <c r="M913" t="str">
        <f t="shared" si="56"/>
        <v>Male</v>
      </c>
      <c r="N913" t="str">
        <f t="shared" si="57"/>
        <v>Bangalore</v>
      </c>
      <c r="O913" t="str">
        <f t="shared" si="58"/>
        <v>Kannada</v>
      </c>
      <c r="P913" t="str">
        <f t="shared" si="59"/>
        <v>Standard</v>
      </c>
    </row>
    <row r="914" spans="1:16" x14ac:dyDescent="0.3">
      <c r="A914" s="2" t="s">
        <v>958</v>
      </c>
      <c r="B914" s="2" t="s">
        <v>31</v>
      </c>
      <c r="C914" s="3">
        <v>38</v>
      </c>
      <c r="D914" t="s">
        <v>12</v>
      </c>
      <c r="E914" s="2" t="s">
        <v>19</v>
      </c>
      <c r="F914" s="2" t="s">
        <v>54</v>
      </c>
      <c r="G914">
        <v>34</v>
      </c>
      <c r="H914" s="4">
        <v>44245</v>
      </c>
      <c r="I914" s="2" t="s">
        <v>29</v>
      </c>
      <c r="J914" s="2" t="s">
        <v>65</v>
      </c>
      <c r="M914" t="str">
        <f t="shared" si="56"/>
        <v>Female</v>
      </c>
      <c r="N914" t="str">
        <f t="shared" si="57"/>
        <v>Bangalore</v>
      </c>
      <c r="O914" t="str">
        <f t="shared" si="58"/>
        <v>English</v>
      </c>
      <c r="P914" t="str">
        <f t="shared" si="59"/>
        <v>Family</v>
      </c>
    </row>
    <row r="915" spans="1:16" x14ac:dyDescent="0.3">
      <c r="A915" s="2" t="s">
        <v>959</v>
      </c>
      <c r="B915" s="2" t="s">
        <v>42</v>
      </c>
      <c r="C915" s="3">
        <v>34</v>
      </c>
      <c r="D915" t="s">
        <v>18</v>
      </c>
      <c r="E915" s="2" t="s">
        <v>13</v>
      </c>
      <c r="F915" s="2" t="s">
        <v>33</v>
      </c>
      <c r="G915">
        <v>5</v>
      </c>
      <c r="H915" s="4">
        <v>45135</v>
      </c>
      <c r="I915" s="2" t="s">
        <v>62</v>
      </c>
      <c r="J915" s="2" t="s">
        <v>27</v>
      </c>
      <c r="M915" t="str">
        <f t="shared" si="56"/>
        <v>Male</v>
      </c>
      <c r="N915" t="str">
        <f t="shared" si="57"/>
        <v>Jaipur</v>
      </c>
      <c r="O915" t="str">
        <f t="shared" si="58"/>
        <v>Gujarati</v>
      </c>
      <c r="P915" t="str">
        <f t="shared" si="59"/>
        <v>Standard</v>
      </c>
    </row>
    <row r="916" spans="1:16" x14ac:dyDescent="0.3">
      <c r="A916" s="2" t="s">
        <v>960</v>
      </c>
      <c r="B916" s="2" t="s">
        <v>31</v>
      </c>
      <c r="C916" s="3">
        <v>36</v>
      </c>
      <c r="D916" t="s">
        <v>12</v>
      </c>
      <c r="E916" s="2" t="s">
        <v>19</v>
      </c>
      <c r="F916" s="2" t="s">
        <v>33</v>
      </c>
      <c r="G916">
        <v>2</v>
      </c>
      <c r="H916" s="4">
        <v>45213</v>
      </c>
      <c r="I916" s="2" t="s">
        <v>47</v>
      </c>
      <c r="J916" s="2" t="s">
        <v>27</v>
      </c>
      <c r="M916" t="str">
        <f t="shared" si="56"/>
        <v>Female</v>
      </c>
      <c r="N916" t="str">
        <f t="shared" si="57"/>
        <v>Jaipur</v>
      </c>
      <c r="O916" t="str">
        <f t="shared" si="58"/>
        <v>Hindi</v>
      </c>
      <c r="P916" t="str">
        <f t="shared" si="59"/>
        <v>Standard</v>
      </c>
    </row>
    <row r="917" spans="1:16" x14ac:dyDescent="0.3">
      <c r="A917" s="2" t="s">
        <v>961</v>
      </c>
      <c r="B917" s="2" t="s">
        <v>11</v>
      </c>
      <c r="C917" s="3">
        <v>20</v>
      </c>
      <c r="D917" t="s">
        <v>32</v>
      </c>
      <c r="E917" s="2" t="s">
        <v>13</v>
      </c>
      <c r="F917" s="2" t="s">
        <v>14</v>
      </c>
      <c r="G917">
        <v>34</v>
      </c>
      <c r="H917" s="4">
        <v>44254</v>
      </c>
      <c r="I917" s="2" t="s">
        <v>47</v>
      </c>
      <c r="J917" s="2" t="s">
        <v>22</v>
      </c>
      <c r="M917" t="str">
        <f t="shared" si="56"/>
        <v>Male</v>
      </c>
      <c r="N917" t="str">
        <f t="shared" si="57"/>
        <v>Kolkata</v>
      </c>
      <c r="O917" t="str">
        <f t="shared" si="58"/>
        <v>Hindi</v>
      </c>
      <c r="P917" t="str">
        <f t="shared" si="59"/>
        <v>Premium</v>
      </c>
    </row>
    <row r="918" spans="1:16" x14ac:dyDescent="0.3">
      <c r="A918" s="2" t="s">
        <v>962</v>
      </c>
      <c r="B918" s="2" t="s">
        <v>24</v>
      </c>
      <c r="C918" s="3">
        <v>18</v>
      </c>
      <c r="D918" t="s">
        <v>32</v>
      </c>
      <c r="E918" s="2" t="s">
        <v>19</v>
      </c>
      <c r="F918" s="2" t="s">
        <v>64</v>
      </c>
      <c r="G918">
        <v>15</v>
      </c>
      <c r="H918" s="4">
        <v>44827</v>
      </c>
      <c r="I918" s="2" t="s">
        <v>39</v>
      </c>
      <c r="J918" s="2" t="s">
        <v>27</v>
      </c>
      <c r="M918" t="str">
        <f t="shared" si="56"/>
        <v>Female</v>
      </c>
      <c r="N918" t="str">
        <f t="shared" si="57"/>
        <v>Pune</v>
      </c>
      <c r="O918" t="str">
        <f t="shared" si="58"/>
        <v>Tamil</v>
      </c>
      <c r="P918" t="str">
        <f t="shared" si="59"/>
        <v>Standard</v>
      </c>
    </row>
    <row r="919" spans="1:16" x14ac:dyDescent="0.3">
      <c r="A919" s="2" t="s">
        <v>963</v>
      </c>
      <c r="B919" s="2" t="s">
        <v>31</v>
      </c>
      <c r="C919" s="3">
        <v>47</v>
      </c>
      <c r="D919" t="s">
        <v>46</v>
      </c>
      <c r="E919" s="2" t="s">
        <v>19</v>
      </c>
      <c r="F919" s="2" t="s">
        <v>64</v>
      </c>
      <c r="G919">
        <v>9</v>
      </c>
      <c r="H919" s="4">
        <v>45018</v>
      </c>
      <c r="I919" s="2" t="s">
        <v>21</v>
      </c>
      <c r="J919" s="2" t="s">
        <v>27</v>
      </c>
      <c r="M919" t="str">
        <f t="shared" si="56"/>
        <v>Female</v>
      </c>
      <c r="N919" t="str">
        <f t="shared" si="57"/>
        <v>Pune</v>
      </c>
      <c r="O919" t="str">
        <f t="shared" si="58"/>
        <v>Bengali</v>
      </c>
      <c r="P919" t="str">
        <f t="shared" si="59"/>
        <v>Standard</v>
      </c>
    </row>
    <row r="920" spans="1:16" x14ac:dyDescent="0.3">
      <c r="A920" s="2" t="s">
        <v>964</v>
      </c>
      <c r="B920" s="2" t="s">
        <v>42</v>
      </c>
      <c r="C920" s="3">
        <v>41</v>
      </c>
      <c r="D920" t="s">
        <v>12</v>
      </c>
      <c r="E920" s="2" t="s">
        <v>13</v>
      </c>
      <c r="F920" s="2" t="s">
        <v>88</v>
      </c>
      <c r="G920">
        <v>51</v>
      </c>
      <c r="H920" s="4">
        <v>43756</v>
      </c>
      <c r="I920" s="2" t="s">
        <v>21</v>
      </c>
      <c r="J920" s="2" t="s">
        <v>22</v>
      </c>
      <c r="M920" t="str">
        <f t="shared" si="56"/>
        <v>Male</v>
      </c>
      <c r="N920" t="str">
        <f t="shared" si="57"/>
        <v>Lucknow</v>
      </c>
      <c r="O920" t="str">
        <f t="shared" si="58"/>
        <v>Bengali</v>
      </c>
      <c r="P920" t="str">
        <f t="shared" si="59"/>
        <v>Premium</v>
      </c>
    </row>
    <row r="921" spans="1:16" x14ac:dyDescent="0.3">
      <c r="A921" s="2" t="s">
        <v>965</v>
      </c>
      <c r="B921" s="2" t="s">
        <v>24</v>
      </c>
      <c r="C921" s="3">
        <v>18</v>
      </c>
      <c r="D921" t="s">
        <v>32</v>
      </c>
      <c r="E921" s="2" t="s">
        <v>13</v>
      </c>
      <c r="F921" s="2" t="s">
        <v>20</v>
      </c>
      <c r="G921">
        <v>57</v>
      </c>
      <c r="H921" s="4">
        <v>43564</v>
      </c>
      <c r="I921" s="2" t="s">
        <v>39</v>
      </c>
      <c r="J921" s="2" t="s">
        <v>22</v>
      </c>
      <c r="M921" t="str">
        <f t="shared" si="56"/>
        <v>Male</v>
      </c>
      <c r="N921" t="str">
        <f t="shared" si="57"/>
        <v>Chennai</v>
      </c>
      <c r="O921" t="str">
        <f t="shared" si="58"/>
        <v>Tamil</v>
      </c>
      <c r="P921" t="str">
        <f t="shared" si="59"/>
        <v>Premium</v>
      </c>
    </row>
    <row r="922" spans="1:16" x14ac:dyDescent="0.3">
      <c r="A922" s="2" t="s">
        <v>966</v>
      </c>
      <c r="B922" s="2" t="s">
        <v>11</v>
      </c>
      <c r="C922" s="3">
        <v>27</v>
      </c>
      <c r="D922" t="s">
        <v>18</v>
      </c>
      <c r="E922" s="2" t="s">
        <v>19</v>
      </c>
      <c r="F922" s="2" t="s">
        <v>20</v>
      </c>
      <c r="G922">
        <v>6</v>
      </c>
      <c r="H922" s="4">
        <v>45103</v>
      </c>
      <c r="I922" s="2" t="s">
        <v>29</v>
      </c>
      <c r="J922" s="2" t="s">
        <v>22</v>
      </c>
      <c r="M922" t="str">
        <f t="shared" si="56"/>
        <v>Female</v>
      </c>
      <c r="N922" t="str">
        <f t="shared" si="57"/>
        <v>Chennai</v>
      </c>
      <c r="O922" t="str">
        <f t="shared" si="58"/>
        <v>English</v>
      </c>
      <c r="P922" t="str">
        <f t="shared" si="59"/>
        <v>Premium</v>
      </c>
    </row>
    <row r="923" spans="1:16" x14ac:dyDescent="0.3">
      <c r="A923" s="2" t="s">
        <v>967</v>
      </c>
      <c r="B923" s="2" t="s">
        <v>31</v>
      </c>
      <c r="C923" s="3">
        <v>34</v>
      </c>
      <c r="D923" t="s">
        <v>18</v>
      </c>
      <c r="E923" s="2" t="s">
        <v>13</v>
      </c>
      <c r="F923" s="2" t="s">
        <v>20</v>
      </c>
      <c r="G923">
        <v>29</v>
      </c>
      <c r="H923" s="4">
        <v>44396</v>
      </c>
      <c r="I923" s="2" t="s">
        <v>34</v>
      </c>
      <c r="J923" s="2" t="s">
        <v>16</v>
      </c>
      <c r="M923" t="str">
        <f t="shared" si="56"/>
        <v>Male</v>
      </c>
      <c r="N923" t="str">
        <f t="shared" si="57"/>
        <v>Chennai</v>
      </c>
      <c r="O923" t="str">
        <f t="shared" si="58"/>
        <v>Marathi</v>
      </c>
      <c r="P923" t="str">
        <f t="shared" si="59"/>
        <v>Basic</v>
      </c>
    </row>
    <row r="924" spans="1:16" x14ac:dyDescent="0.3">
      <c r="A924" s="2" t="s">
        <v>968</v>
      </c>
      <c r="B924" s="2" t="s">
        <v>61</v>
      </c>
      <c r="C924" s="3">
        <v>24</v>
      </c>
      <c r="D924" t="s">
        <v>32</v>
      </c>
      <c r="E924" s="2" t="s">
        <v>13</v>
      </c>
      <c r="F924" s="2" t="s">
        <v>25</v>
      </c>
      <c r="G924">
        <v>33</v>
      </c>
      <c r="H924" s="4">
        <v>44287</v>
      </c>
      <c r="I924" s="2" t="s">
        <v>39</v>
      </c>
      <c r="J924" s="2" t="s">
        <v>16</v>
      </c>
      <c r="M924" t="str">
        <f t="shared" si="56"/>
        <v>Male</v>
      </c>
      <c r="N924" t="str">
        <f t="shared" si="57"/>
        <v>Mumbai</v>
      </c>
      <c r="O924" t="str">
        <f t="shared" si="58"/>
        <v>Tamil</v>
      </c>
      <c r="P924" t="str">
        <f t="shared" si="59"/>
        <v>Basic</v>
      </c>
    </row>
    <row r="925" spans="1:16" x14ac:dyDescent="0.3">
      <c r="A925" s="2" t="s">
        <v>969</v>
      </c>
      <c r="B925" s="2" t="s">
        <v>31</v>
      </c>
      <c r="C925" s="3">
        <v>33</v>
      </c>
      <c r="D925" t="s">
        <v>18</v>
      </c>
      <c r="E925" s="2" t="s">
        <v>13</v>
      </c>
      <c r="F925" s="2" t="s">
        <v>64</v>
      </c>
      <c r="G925">
        <v>3</v>
      </c>
      <c r="H925" s="4">
        <v>45201</v>
      </c>
      <c r="I925" s="2" t="s">
        <v>47</v>
      </c>
      <c r="J925" s="2" t="s">
        <v>27</v>
      </c>
      <c r="M925" t="str">
        <f t="shared" si="56"/>
        <v>Male</v>
      </c>
      <c r="N925" t="str">
        <f t="shared" si="57"/>
        <v>Pune</v>
      </c>
      <c r="O925" t="str">
        <f t="shared" si="58"/>
        <v>Hindi</v>
      </c>
      <c r="P925" t="str">
        <f t="shared" si="59"/>
        <v>Standard</v>
      </c>
    </row>
    <row r="926" spans="1:16" x14ac:dyDescent="0.3">
      <c r="A926" s="2" t="s">
        <v>970</v>
      </c>
      <c r="B926" s="2" t="s">
        <v>11</v>
      </c>
      <c r="C926" s="3">
        <v>18</v>
      </c>
      <c r="D926" t="s">
        <v>32</v>
      </c>
      <c r="E926" s="2" t="s">
        <v>13</v>
      </c>
      <c r="F926" s="2" t="s">
        <v>14</v>
      </c>
      <c r="G926">
        <v>2</v>
      </c>
      <c r="H926" s="4">
        <v>45213</v>
      </c>
      <c r="I926" s="2" t="s">
        <v>21</v>
      </c>
      <c r="J926" s="2" t="s">
        <v>65</v>
      </c>
      <c r="M926" t="str">
        <f t="shared" si="56"/>
        <v>Male</v>
      </c>
      <c r="N926" t="str">
        <f t="shared" si="57"/>
        <v>Kolkata</v>
      </c>
      <c r="O926" t="str">
        <f t="shared" si="58"/>
        <v>Bengali</v>
      </c>
      <c r="P926" t="str">
        <f t="shared" si="59"/>
        <v>Family</v>
      </c>
    </row>
    <row r="927" spans="1:16" x14ac:dyDescent="0.3">
      <c r="A927" s="2" t="s">
        <v>971</v>
      </c>
      <c r="B927" s="2" t="s">
        <v>24</v>
      </c>
      <c r="C927" s="3">
        <v>34</v>
      </c>
      <c r="D927" t="s">
        <v>18</v>
      </c>
      <c r="E927" s="2" t="s">
        <v>13</v>
      </c>
      <c r="F927" s="2" t="s">
        <v>25</v>
      </c>
      <c r="G927">
        <v>20</v>
      </c>
      <c r="H927" s="4">
        <v>44676</v>
      </c>
      <c r="I927" s="2" t="s">
        <v>34</v>
      </c>
      <c r="J927" s="2" t="s">
        <v>16</v>
      </c>
      <c r="M927" t="str">
        <f t="shared" si="56"/>
        <v>Male</v>
      </c>
      <c r="N927" t="str">
        <f t="shared" si="57"/>
        <v>Mumbai</v>
      </c>
      <c r="O927" t="str">
        <f t="shared" si="58"/>
        <v>Marathi</v>
      </c>
      <c r="P927" t="str">
        <f t="shared" si="59"/>
        <v>Basic</v>
      </c>
    </row>
    <row r="928" spans="1:16" x14ac:dyDescent="0.3">
      <c r="A928" s="2" t="s">
        <v>972</v>
      </c>
      <c r="B928" s="2" t="s">
        <v>24</v>
      </c>
      <c r="C928" s="3">
        <v>33</v>
      </c>
      <c r="D928" t="s">
        <v>18</v>
      </c>
      <c r="E928" s="2" t="s">
        <v>19</v>
      </c>
      <c r="F928" s="2" t="s">
        <v>56</v>
      </c>
      <c r="G928">
        <v>32</v>
      </c>
      <c r="H928" s="4">
        <v>44305</v>
      </c>
      <c r="I928" s="2" t="s">
        <v>34</v>
      </c>
      <c r="J928" s="2" t="s">
        <v>22</v>
      </c>
      <c r="M928" t="str">
        <f t="shared" si="56"/>
        <v>Female</v>
      </c>
      <c r="N928" t="str">
        <f t="shared" si="57"/>
        <v>Hyderabad</v>
      </c>
      <c r="O928" t="str">
        <f t="shared" si="58"/>
        <v>Marathi</v>
      </c>
      <c r="P928" t="str">
        <f t="shared" si="59"/>
        <v>Premium</v>
      </c>
    </row>
    <row r="929" spans="1:16" x14ac:dyDescent="0.3">
      <c r="A929" s="2" t="s">
        <v>973</v>
      </c>
      <c r="B929" s="2" t="s">
        <v>11</v>
      </c>
      <c r="C929" s="3">
        <v>29</v>
      </c>
      <c r="D929" t="s">
        <v>18</v>
      </c>
      <c r="E929" s="2" t="s">
        <v>13</v>
      </c>
      <c r="F929" s="2" t="s">
        <v>33</v>
      </c>
      <c r="G929">
        <v>59</v>
      </c>
      <c r="H929" s="4">
        <v>43498</v>
      </c>
      <c r="I929" s="2" t="s">
        <v>39</v>
      </c>
      <c r="J929" s="2" t="s">
        <v>22</v>
      </c>
      <c r="M929" t="str">
        <f t="shared" si="56"/>
        <v>Male</v>
      </c>
      <c r="N929" t="str">
        <f t="shared" si="57"/>
        <v>Jaipur</v>
      </c>
      <c r="O929" t="str">
        <f t="shared" si="58"/>
        <v>Tamil</v>
      </c>
      <c r="P929" t="str">
        <f t="shared" si="59"/>
        <v>Premium</v>
      </c>
    </row>
    <row r="930" spans="1:16" x14ac:dyDescent="0.3">
      <c r="A930" s="2" t="s">
        <v>974</v>
      </c>
      <c r="B930" s="2" t="s">
        <v>42</v>
      </c>
      <c r="C930" s="3">
        <v>32</v>
      </c>
      <c r="D930" t="s">
        <v>18</v>
      </c>
      <c r="E930" s="2" t="s">
        <v>19</v>
      </c>
      <c r="F930" s="2" t="s">
        <v>64</v>
      </c>
      <c r="G930">
        <v>6</v>
      </c>
      <c r="H930" s="4">
        <v>45095</v>
      </c>
      <c r="I930" s="2" t="s">
        <v>49</v>
      </c>
      <c r="J930" s="2" t="s">
        <v>22</v>
      </c>
      <c r="M930" t="str">
        <f t="shared" si="56"/>
        <v>Female</v>
      </c>
      <c r="N930" t="str">
        <f t="shared" si="57"/>
        <v>Pune</v>
      </c>
      <c r="O930" t="str">
        <f t="shared" si="58"/>
        <v>Kannada</v>
      </c>
      <c r="P930" t="str">
        <f t="shared" si="59"/>
        <v>Premium</v>
      </c>
    </row>
    <row r="931" spans="1:16" x14ac:dyDescent="0.3">
      <c r="A931" s="2" t="s">
        <v>975</v>
      </c>
      <c r="B931" s="2" t="s">
        <v>11</v>
      </c>
      <c r="C931" s="3">
        <v>51</v>
      </c>
      <c r="D931" t="s">
        <v>46</v>
      </c>
      <c r="E931" s="2" t="s">
        <v>13</v>
      </c>
      <c r="F931" s="2" t="s">
        <v>38</v>
      </c>
      <c r="G931">
        <v>23</v>
      </c>
      <c r="H931" s="4">
        <v>44596</v>
      </c>
      <c r="I931" s="2" t="s">
        <v>34</v>
      </c>
      <c r="J931" s="2" t="s">
        <v>27</v>
      </c>
      <c r="M931" t="str">
        <f t="shared" si="56"/>
        <v>Male</v>
      </c>
      <c r="N931" t="str">
        <f t="shared" si="57"/>
        <v>Delhi</v>
      </c>
      <c r="O931" t="str">
        <f t="shared" si="58"/>
        <v>Marathi</v>
      </c>
      <c r="P931" t="str">
        <f t="shared" si="59"/>
        <v>Standard</v>
      </c>
    </row>
    <row r="932" spans="1:16" x14ac:dyDescent="0.3">
      <c r="A932" s="2" t="s">
        <v>976</v>
      </c>
      <c r="B932" s="2" t="s">
        <v>11</v>
      </c>
      <c r="C932" s="3">
        <v>30</v>
      </c>
      <c r="D932" t="s">
        <v>18</v>
      </c>
      <c r="E932" s="2" t="s">
        <v>19</v>
      </c>
      <c r="F932" s="2" t="s">
        <v>25</v>
      </c>
      <c r="G932">
        <v>55</v>
      </c>
      <c r="H932" s="4">
        <v>43637</v>
      </c>
      <c r="I932" s="2" t="s">
        <v>62</v>
      </c>
      <c r="J932" s="2" t="s">
        <v>22</v>
      </c>
      <c r="M932" t="str">
        <f t="shared" si="56"/>
        <v>Female</v>
      </c>
      <c r="N932" t="str">
        <f t="shared" si="57"/>
        <v>Mumbai</v>
      </c>
      <c r="O932" t="str">
        <f t="shared" si="58"/>
        <v>Gujarati</v>
      </c>
      <c r="P932" t="str">
        <f t="shared" si="59"/>
        <v>Premium</v>
      </c>
    </row>
    <row r="933" spans="1:16" x14ac:dyDescent="0.3">
      <c r="A933" s="2" t="s">
        <v>977</v>
      </c>
      <c r="B933" s="2" t="s">
        <v>42</v>
      </c>
      <c r="C933" s="3">
        <v>28</v>
      </c>
      <c r="D933" t="s">
        <v>18</v>
      </c>
      <c r="E933" s="2" t="s">
        <v>13</v>
      </c>
      <c r="F933" s="2" t="s">
        <v>25</v>
      </c>
      <c r="G933">
        <v>21</v>
      </c>
      <c r="H933" s="4">
        <v>44657</v>
      </c>
      <c r="I933" s="2" t="s">
        <v>29</v>
      </c>
      <c r="J933" s="2" t="s">
        <v>16</v>
      </c>
      <c r="M933" t="str">
        <f t="shared" si="56"/>
        <v>Male</v>
      </c>
      <c r="N933" t="str">
        <f t="shared" si="57"/>
        <v>Mumbai</v>
      </c>
      <c r="O933" t="str">
        <f t="shared" si="58"/>
        <v>English</v>
      </c>
      <c r="P933" t="str">
        <f t="shared" si="59"/>
        <v>Basic</v>
      </c>
    </row>
    <row r="934" spans="1:16" x14ac:dyDescent="0.3">
      <c r="A934" s="2" t="s">
        <v>978</v>
      </c>
      <c r="B934" s="2" t="s">
        <v>24</v>
      </c>
      <c r="C934" s="3">
        <v>30</v>
      </c>
      <c r="D934" t="s">
        <v>18</v>
      </c>
      <c r="E934" s="2" t="s">
        <v>13</v>
      </c>
      <c r="F934" s="2" t="s">
        <v>14</v>
      </c>
      <c r="G934">
        <v>30</v>
      </c>
      <c r="H934" s="4">
        <v>44385</v>
      </c>
      <c r="I934" s="2" t="s">
        <v>26</v>
      </c>
      <c r="J934" s="2" t="s">
        <v>27</v>
      </c>
      <c r="M934" t="str">
        <f t="shared" si="56"/>
        <v>Male</v>
      </c>
      <c r="N934" t="str">
        <f t="shared" si="57"/>
        <v>Kolkata</v>
      </c>
      <c r="O934" t="str">
        <f t="shared" si="58"/>
        <v>Malayalam</v>
      </c>
      <c r="P934" t="str">
        <f t="shared" si="59"/>
        <v>Standard</v>
      </c>
    </row>
    <row r="935" spans="1:16" x14ac:dyDescent="0.3">
      <c r="A935" s="2" t="s">
        <v>979</v>
      </c>
      <c r="B935" s="2" t="s">
        <v>11</v>
      </c>
      <c r="C935" s="3">
        <v>35</v>
      </c>
      <c r="D935" t="s">
        <v>12</v>
      </c>
      <c r="E935" s="2" t="s">
        <v>13</v>
      </c>
      <c r="F935" s="2" t="s">
        <v>88</v>
      </c>
      <c r="G935">
        <v>43</v>
      </c>
      <c r="H935" s="4">
        <v>43992</v>
      </c>
      <c r="I935" s="2" t="s">
        <v>34</v>
      </c>
      <c r="J935" s="2" t="s">
        <v>65</v>
      </c>
      <c r="M935" t="str">
        <f t="shared" si="56"/>
        <v>Male</v>
      </c>
      <c r="N935" t="str">
        <f t="shared" si="57"/>
        <v>Lucknow</v>
      </c>
      <c r="O935" t="str">
        <f t="shared" si="58"/>
        <v>Marathi</v>
      </c>
      <c r="P935" t="str">
        <f t="shared" si="59"/>
        <v>Family</v>
      </c>
    </row>
    <row r="936" spans="1:16" x14ac:dyDescent="0.3">
      <c r="A936" s="2" t="s">
        <v>980</v>
      </c>
      <c r="B936" s="2" t="s">
        <v>11</v>
      </c>
      <c r="C936" s="3">
        <v>28</v>
      </c>
      <c r="D936" t="s">
        <v>18</v>
      </c>
      <c r="E936" s="2" t="s">
        <v>19</v>
      </c>
      <c r="F936" s="2" t="s">
        <v>38</v>
      </c>
      <c r="G936">
        <v>32</v>
      </c>
      <c r="H936" s="4">
        <v>44331</v>
      </c>
      <c r="I936" s="2" t="s">
        <v>49</v>
      </c>
      <c r="J936" s="2" t="s">
        <v>22</v>
      </c>
      <c r="M936" t="str">
        <f t="shared" si="56"/>
        <v>Female</v>
      </c>
      <c r="N936" t="str">
        <f t="shared" si="57"/>
        <v>Delhi</v>
      </c>
      <c r="O936" t="str">
        <f t="shared" si="58"/>
        <v>Kannada</v>
      </c>
      <c r="P936" t="str">
        <f t="shared" si="59"/>
        <v>Premium</v>
      </c>
    </row>
    <row r="937" spans="1:16" x14ac:dyDescent="0.3">
      <c r="A937" s="2" t="s">
        <v>981</v>
      </c>
      <c r="B937" s="2" t="s">
        <v>42</v>
      </c>
      <c r="C937" s="3">
        <v>18</v>
      </c>
      <c r="D937" t="s">
        <v>32</v>
      </c>
      <c r="E937" s="2" t="s">
        <v>19</v>
      </c>
      <c r="F937" s="2" t="s">
        <v>33</v>
      </c>
      <c r="G937">
        <v>31</v>
      </c>
      <c r="H937" s="4">
        <v>44352</v>
      </c>
      <c r="I937" s="2" t="s">
        <v>29</v>
      </c>
      <c r="J937" s="2" t="s">
        <v>27</v>
      </c>
      <c r="M937" t="str">
        <f t="shared" si="56"/>
        <v>Female</v>
      </c>
      <c r="N937" t="str">
        <f t="shared" si="57"/>
        <v>Jaipur</v>
      </c>
      <c r="O937" t="str">
        <f t="shared" si="58"/>
        <v>English</v>
      </c>
      <c r="P937" t="str">
        <f t="shared" si="59"/>
        <v>Standard</v>
      </c>
    </row>
    <row r="938" spans="1:16" x14ac:dyDescent="0.3">
      <c r="A938" s="2" t="s">
        <v>982</v>
      </c>
      <c r="B938" s="2" t="s">
        <v>31</v>
      </c>
      <c r="C938" s="3">
        <v>31</v>
      </c>
      <c r="D938" t="s">
        <v>18</v>
      </c>
      <c r="E938" s="2" t="s">
        <v>13</v>
      </c>
      <c r="F938" s="2" t="s">
        <v>54</v>
      </c>
      <c r="G938">
        <v>3</v>
      </c>
      <c r="H938" s="4">
        <v>45181</v>
      </c>
      <c r="I938" s="2" t="s">
        <v>21</v>
      </c>
      <c r="J938" s="2" t="s">
        <v>27</v>
      </c>
      <c r="M938" t="str">
        <f t="shared" si="56"/>
        <v>Male</v>
      </c>
      <c r="N938" t="str">
        <f t="shared" si="57"/>
        <v>Bangalore</v>
      </c>
      <c r="O938" t="str">
        <f t="shared" si="58"/>
        <v>Bengali</v>
      </c>
      <c r="P938" t="str">
        <f t="shared" si="59"/>
        <v>Standard</v>
      </c>
    </row>
    <row r="939" spans="1:16" x14ac:dyDescent="0.3">
      <c r="A939" s="2" t="s">
        <v>983</v>
      </c>
      <c r="B939" s="2" t="s">
        <v>61</v>
      </c>
      <c r="C939" s="3">
        <v>30</v>
      </c>
      <c r="D939" t="s">
        <v>18</v>
      </c>
      <c r="E939" s="2" t="s">
        <v>19</v>
      </c>
      <c r="F939" s="2" t="s">
        <v>25</v>
      </c>
      <c r="G939">
        <v>21</v>
      </c>
      <c r="H939" s="4">
        <v>44643</v>
      </c>
      <c r="I939" s="2" t="s">
        <v>39</v>
      </c>
      <c r="J939" s="2" t="s">
        <v>16</v>
      </c>
      <c r="M939" t="str">
        <f t="shared" si="56"/>
        <v>Female</v>
      </c>
      <c r="N939" t="str">
        <f t="shared" si="57"/>
        <v>Mumbai</v>
      </c>
      <c r="O939" t="str">
        <f t="shared" si="58"/>
        <v>Tamil</v>
      </c>
      <c r="P939" t="str">
        <f t="shared" si="59"/>
        <v>Basic</v>
      </c>
    </row>
    <row r="940" spans="1:16" x14ac:dyDescent="0.3">
      <c r="A940" s="2" t="s">
        <v>984</v>
      </c>
      <c r="B940" s="2" t="s">
        <v>61</v>
      </c>
      <c r="C940" s="3">
        <v>24</v>
      </c>
      <c r="D940" t="s">
        <v>32</v>
      </c>
      <c r="E940" s="2" t="s">
        <v>19</v>
      </c>
      <c r="F940" s="2" t="s">
        <v>36</v>
      </c>
      <c r="G940">
        <v>34</v>
      </c>
      <c r="H940" s="4">
        <v>44246</v>
      </c>
      <c r="I940" s="2" t="s">
        <v>34</v>
      </c>
      <c r="J940" s="2" t="s">
        <v>22</v>
      </c>
      <c r="M940" t="str">
        <f t="shared" si="56"/>
        <v>Female</v>
      </c>
      <c r="N940" t="str">
        <f t="shared" si="57"/>
        <v>Ahmedabad</v>
      </c>
      <c r="O940" t="str">
        <f t="shared" si="58"/>
        <v>Marathi</v>
      </c>
      <c r="P940" t="str">
        <f t="shared" si="59"/>
        <v>Premium</v>
      </c>
    </row>
    <row r="941" spans="1:16" x14ac:dyDescent="0.3">
      <c r="A941" s="2" t="s">
        <v>985</v>
      </c>
      <c r="B941" s="2" t="s">
        <v>24</v>
      </c>
      <c r="C941" s="3">
        <v>45</v>
      </c>
      <c r="D941" t="s">
        <v>46</v>
      </c>
      <c r="E941" s="2" t="s">
        <v>13</v>
      </c>
      <c r="F941" s="2" t="s">
        <v>14</v>
      </c>
      <c r="G941">
        <v>46</v>
      </c>
      <c r="H941" s="4">
        <v>43901</v>
      </c>
      <c r="I941" s="2" t="s">
        <v>34</v>
      </c>
      <c r="J941" s="2" t="s">
        <v>27</v>
      </c>
      <c r="M941" t="str">
        <f t="shared" si="56"/>
        <v>Male</v>
      </c>
      <c r="N941" t="str">
        <f t="shared" si="57"/>
        <v>Kolkata</v>
      </c>
      <c r="O941" t="str">
        <f t="shared" si="58"/>
        <v>Marathi</v>
      </c>
      <c r="P941" t="str">
        <f t="shared" si="59"/>
        <v>Standard</v>
      </c>
    </row>
    <row r="942" spans="1:16" x14ac:dyDescent="0.3">
      <c r="A942" s="2" t="s">
        <v>986</v>
      </c>
      <c r="B942" s="2" t="s">
        <v>61</v>
      </c>
      <c r="C942" s="3">
        <v>36</v>
      </c>
      <c r="D942" t="s">
        <v>12</v>
      </c>
      <c r="E942" s="2" t="s">
        <v>13</v>
      </c>
      <c r="F942" s="2" t="s">
        <v>14</v>
      </c>
      <c r="G942">
        <v>33</v>
      </c>
      <c r="H942" s="4">
        <v>44284</v>
      </c>
      <c r="I942" s="2" t="s">
        <v>29</v>
      </c>
      <c r="J942" s="2" t="s">
        <v>65</v>
      </c>
      <c r="M942" t="str">
        <f t="shared" si="56"/>
        <v>Male</v>
      </c>
      <c r="N942" t="str">
        <f t="shared" si="57"/>
        <v>Kolkata</v>
      </c>
      <c r="O942" t="str">
        <f t="shared" si="58"/>
        <v>English</v>
      </c>
      <c r="P942" t="str">
        <f t="shared" si="59"/>
        <v>Family</v>
      </c>
    </row>
    <row r="943" spans="1:16" x14ac:dyDescent="0.3">
      <c r="A943" s="2" t="s">
        <v>987</v>
      </c>
      <c r="B943" s="2" t="s">
        <v>42</v>
      </c>
      <c r="C943" s="3">
        <v>35</v>
      </c>
      <c r="D943" t="s">
        <v>12</v>
      </c>
      <c r="E943" s="2" t="s">
        <v>13</v>
      </c>
      <c r="F943" s="2" t="s">
        <v>14</v>
      </c>
      <c r="G943">
        <v>40</v>
      </c>
      <c r="H943" s="4">
        <v>44063</v>
      </c>
      <c r="I943" s="2" t="s">
        <v>62</v>
      </c>
      <c r="J943" s="2" t="s">
        <v>16</v>
      </c>
      <c r="M943" t="str">
        <f t="shared" si="56"/>
        <v>Male</v>
      </c>
      <c r="N943" t="str">
        <f t="shared" si="57"/>
        <v>Kolkata</v>
      </c>
      <c r="O943" t="str">
        <f t="shared" si="58"/>
        <v>Gujarati</v>
      </c>
      <c r="P943" t="str">
        <f t="shared" si="59"/>
        <v>Basic</v>
      </c>
    </row>
    <row r="944" spans="1:16" x14ac:dyDescent="0.3">
      <c r="A944" s="2" t="s">
        <v>988</v>
      </c>
      <c r="B944" s="2" t="s">
        <v>31</v>
      </c>
      <c r="C944" s="3">
        <v>37</v>
      </c>
      <c r="D944" t="s">
        <v>12</v>
      </c>
      <c r="E944" s="2" t="s">
        <v>19</v>
      </c>
      <c r="F944" s="2" t="s">
        <v>33</v>
      </c>
      <c r="G944">
        <v>59</v>
      </c>
      <c r="H944" s="4">
        <v>43504</v>
      </c>
      <c r="I944" s="2" t="s">
        <v>29</v>
      </c>
      <c r="J944" s="2" t="s">
        <v>16</v>
      </c>
      <c r="M944" t="str">
        <f t="shared" si="56"/>
        <v>Female</v>
      </c>
      <c r="N944" t="str">
        <f t="shared" si="57"/>
        <v>Jaipur</v>
      </c>
      <c r="O944" t="str">
        <f t="shared" si="58"/>
        <v>English</v>
      </c>
      <c r="P944" t="str">
        <f t="shared" si="59"/>
        <v>Basic</v>
      </c>
    </row>
    <row r="945" spans="1:16" x14ac:dyDescent="0.3">
      <c r="A945" s="2" t="s">
        <v>989</v>
      </c>
      <c r="B945" s="2" t="s">
        <v>42</v>
      </c>
      <c r="C945" s="3">
        <v>25</v>
      </c>
      <c r="D945" t="s">
        <v>18</v>
      </c>
      <c r="E945" s="2" t="s">
        <v>13</v>
      </c>
      <c r="F945" s="2" t="s">
        <v>20</v>
      </c>
      <c r="G945">
        <v>57</v>
      </c>
      <c r="H945" s="4">
        <v>43567</v>
      </c>
      <c r="I945" s="2" t="s">
        <v>21</v>
      </c>
      <c r="J945" s="2" t="s">
        <v>27</v>
      </c>
      <c r="M945" t="str">
        <f t="shared" si="56"/>
        <v>Male</v>
      </c>
      <c r="N945" t="str">
        <f t="shared" si="57"/>
        <v>Chennai</v>
      </c>
      <c r="O945" t="str">
        <f t="shared" si="58"/>
        <v>Bengali</v>
      </c>
      <c r="P945" t="str">
        <f t="shared" si="59"/>
        <v>Standard</v>
      </c>
    </row>
    <row r="946" spans="1:16" x14ac:dyDescent="0.3">
      <c r="A946" s="2" t="s">
        <v>990</v>
      </c>
      <c r="B946" s="2" t="s">
        <v>11</v>
      </c>
      <c r="C946" s="3">
        <v>20</v>
      </c>
      <c r="D946" t="s">
        <v>32</v>
      </c>
      <c r="E946" s="2" t="s">
        <v>13</v>
      </c>
      <c r="F946" s="2" t="s">
        <v>88</v>
      </c>
      <c r="G946">
        <v>54</v>
      </c>
      <c r="H946" s="4">
        <v>43644</v>
      </c>
      <c r="I946" s="2" t="s">
        <v>62</v>
      </c>
      <c r="J946" s="2" t="s">
        <v>22</v>
      </c>
      <c r="M946" t="str">
        <f t="shared" si="56"/>
        <v>Male</v>
      </c>
      <c r="N946" t="str">
        <f t="shared" si="57"/>
        <v>Lucknow</v>
      </c>
      <c r="O946" t="str">
        <f t="shared" si="58"/>
        <v>Gujarati</v>
      </c>
      <c r="P946" t="str">
        <f t="shared" si="59"/>
        <v>Premium</v>
      </c>
    </row>
    <row r="947" spans="1:16" x14ac:dyDescent="0.3">
      <c r="A947" s="2" t="s">
        <v>991</v>
      </c>
      <c r="B947" s="2" t="s">
        <v>31</v>
      </c>
      <c r="C947" s="3">
        <v>18</v>
      </c>
      <c r="D947" t="s">
        <v>32</v>
      </c>
      <c r="E947" s="2" t="s">
        <v>19</v>
      </c>
      <c r="F947" s="2" t="s">
        <v>54</v>
      </c>
      <c r="G947">
        <v>53</v>
      </c>
      <c r="H947" s="4">
        <v>43680</v>
      </c>
      <c r="I947" s="2" t="s">
        <v>47</v>
      </c>
      <c r="J947" s="2" t="s">
        <v>27</v>
      </c>
      <c r="M947" t="str">
        <f t="shared" si="56"/>
        <v>Female</v>
      </c>
      <c r="N947" t="str">
        <f t="shared" si="57"/>
        <v>Bangalore</v>
      </c>
      <c r="O947" t="str">
        <f t="shared" si="58"/>
        <v>Hindi</v>
      </c>
      <c r="P947" t="str">
        <f t="shared" si="59"/>
        <v>Standard</v>
      </c>
    </row>
    <row r="948" spans="1:16" x14ac:dyDescent="0.3">
      <c r="A948" s="2" t="s">
        <v>992</v>
      </c>
      <c r="B948" s="2" t="s">
        <v>24</v>
      </c>
      <c r="C948" s="3">
        <v>18</v>
      </c>
      <c r="D948" t="s">
        <v>32</v>
      </c>
      <c r="E948" s="2" t="s">
        <v>13</v>
      </c>
      <c r="F948" s="2" t="s">
        <v>88</v>
      </c>
      <c r="G948">
        <v>48</v>
      </c>
      <c r="H948" s="4">
        <v>43839</v>
      </c>
      <c r="I948" s="2" t="s">
        <v>62</v>
      </c>
      <c r="J948" s="2" t="s">
        <v>65</v>
      </c>
      <c r="M948" t="str">
        <f t="shared" si="56"/>
        <v>Male</v>
      </c>
      <c r="N948" t="str">
        <f t="shared" si="57"/>
        <v>Lucknow</v>
      </c>
      <c r="O948" t="str">
        <f t="shared" si="58"/>
        <v>Gujarati</v>
      </c>
      <c r="P948" t="str">
        <f t="shared" si="59"/>
        <v>Family</v>
      </c>
    </row>
    <row r="949" spans="1:16" x14ac:dyDescent="0.3">
      <c r="A949" s="2" t="s">
        <v>993</v>
      </c>
      <c r="B949" s="2" t="s">
        <v>31</v>
      </c>
      <c r="C949" s="3">
        <v>41</v>
      </c>
      <c r="D949" t="s">
        <v>12</v>
      </c>
      <c r="E949" s="2" t="s">
        <v>19</v>
      </c>
      <c r="F949" s="2" t="s">
        <v>14</v>
      </c>
      <c r="G949">
        <v>60</v>
      </c>
      <c r="H949" s="4">
        <v>43471</v>
      </c>
      <c r="I949" s="2" t="s">
        <v>21</v>
      </c>
      <c r="J949" s="2" t="s">
        <v>27</v>
      </c>
      <c r="M949" t="str">
        <f t="shared" si="56"/>
        <v>Female</v>
      </c>
      <c r="N949" t="str">
        <f t="shared" si="57"/>
        <v>Kolkata</v>
      </c>
      <c r="O949" t="str">
        <f t="shared" si="58"/>
        <v>Bengali</v>
      </c>
      <c r="P949" t="str">
        <f t="shared" si="59"/>
        <v>Standard</v>
      </c>
    </row>
    <row r="950" spans="1:16" x14ac:dyDescent="0.3">
      <c r="A950" s="2" t="s">
        <v>994</v>
      </c>
      <c r="B950" s="2" t="s">
        <v>31</v>
      </c>
      <c r="C950" s="3">
        <v>45</v>
      </c>
      <c r="D950" t="s">
        <v>46</v>
      </c>
      <c r="E950" s="2" t="s">
        <v>19</v>
      </c>
      <c r="F950" s="2" t="s">
        <v>20</v>
      </c>
      <c r="G950">
        <v>53</v>
      </c>
      <c r="H950" s="4">
        <v>43689</v>
      </c>
      <c r="I950" s="2" t="s">
        <v>39</v>
      </c>
      <c r="J950" s="2" t="s">
        <v>22</v>
      </c>
      <c r="M950" t="str">
        <f t="shared" si="56"/>
        <v>Female</v>
      </c>
      <c r="N950" t="str">
        <f t="shared" si="57"/>
        <v>Chennai</v>
      </c>
      <c r="O950" t="str">
        <f t="shared" si="58"/>
        <v>Tamil</v>
      </c>
      <c r="P950" t="str">
        <f t="shared" si="59"/>
        <v>Premium</v>
      </c>
    </row>
    <row r="951" spans="1:16" x14ac:dyDescent="0.3">
      <c r="A951" s="2" t="s">
        <v>995</v>
      </c>
      <c r="B951" s="2" t="s">
        <v>11</v>
      </c>
      <c r="C951" s="3">
        <v>39</v>
      </c>
      <c r="D951" t="s">
        <v>12</v>
      </c>
      <c r="E951" s="2" t="s">
        <v>19</v>
      </c>
      <c r="F951" s="2" t="s">
        <v>20</v>
      </c>
      <c r="G951">
        <v>15</v>
      </c>
      <c r="H951" s="4">
        <v>44841</v>
      </c>
      <c r="I951" s="2" t="s">
        <v>34</v>
      </c>
      <c r="J951" s="2" t="s">
        <v>16</v>
      </c>
      <c r="M951" t="str">
        <f t="shared" si="56"/>
        <v>Female</v>
      </c>
      <c r="N951" t="str">
        <f t="shared" si="57"/>
        <v>Chennai</v>
      </c>
      <c r="O951" t="str">
        <f t="shared" si="58"/>
        <v>Marathi</v>
      </c>
      <c r="P951" t="str">
        <f t="shared" si="59"/>
        <v>Basic</v>
      </c>
    </row>
    <row r="952" spans="1:16" x14ac:dyDescent="0.3">
      <c r="A952" s="2" t="s">
        <v>996</v>
      </c>
      <c r="B952" s="2" t="s">
        <v>31</v>
      </c>
      <c r="C952" s="3">
        <v>28</v>
      </c>
      <c r="D952" t="s">
        <v>18</v>
      </c>
      <c r="E952" s="2" t="s">
        <v>13</v>
      </c>
      <c r="F952" s="2" t="s">
        <v>64</v>
      </c>
      <c r="G952">
        <v>56</v>
      </c>
      <c r="H952" s="4">
        <v>43597</v>
      </c>
      <c r="I952" s="2" t="s">
        <v>62</v>
      </c>
      <c r="J952" s="2" t="s">
        <v>65</v>
      </c>
      <c r="M952" t="str">
        <f t="shared" si="56"/>
        <v>Male</v>
      </c>
      <c r="N952" t="str">
        <f t="shared" si="57"/>
        <v>Pune</v>
      </c>
      <c r="O952" t="str">
        <f t="shared" si="58"/>
        <v>Gujarati</v>
      </c>
      <c r="P952" t="str">
        <f t="shared" si="59"/>
        <v>Family</v>
      </c>
    </row>
    <row r="953" spans="1:16" x14ac:dyDescent="0.3">
      <c r="A953" s="2" t="s">
        <v>997</v>
      </c>
      <c r="B953" s="2" t="s">
        <v>31</v>
      </c>
      <c r="C953" s="3">
        <v>24</v>
      </c>
      <c r="D953" t="s">
        <v>32</v>
      </c>
      <c r="E953" s="2" t="s">
        <v>13</v>
      </c>
      <c r="F953" s="2" t="s">
        <v>64</v>
      </c>
      <c r="G953">
        <v>43</v>
      </c>
      <c r="H953" s="4">
        <v>43976</v>
      </c>
      <c r="I953" s="2" t="s">
        <v>26</v>
      </c>
      <c r="J953" s="2" t="s">
        <v>27</v>
      </c>
      <c r="M953" t="str">
        <f t="shared" si="56"/>
        <v>Male</v>
      </c>
      <c r="N953" t="str">
        <f t="shared" si="57"/>
        <v>Pune</v>
      </c>
      <c r="O953" t="str">
        <f t="shared" si="58"/>
        <v>Malayalam</v>
      </c>
      <c r="P953" t="str">
        <f t="shared" si="59"/>
        <v>Standard</v>
      </c>
    </row>
    <row r="954" spans="1:16" x14ac:dyDescent="0.3">
      <c r="A954" s="2" t="s">
        <v>998</v>
      </c>
      <c r="B954" s="2" t="s">
        <v>31</v>
      </c>
      <c r="C954" s="3">
        <v>36</v>
      </c>
      <c r="D954" t="s">
        <v>12</v>
      </c>
      <c r="E954" s="2" t="s">
        <v>13</v>
      </c>
      <c r="F954" s="2" t="s">
        <v>64</v>
      </c>
      <c r="G954">
        <v>14</v>
      </c>
      <c r="H954" s="4">
        <v>44843</v>
      </c>
      <c r="I954" s="2" t="s">
        <v>47</v>
      </c>
      <c r="J954" s="2" t="s">
        <v>22</v>
      </c>
      <c r="M954" t="str">
        <f t="shared" si="56"/>
        <v>Male</v>
      </c>
      <c r="N954" t="str">
        <f t="shared" si="57"/>
        <v>Pune</v>
      </c>
      <c r="O954" t="str">
        <f t="shared" si="58"/>
        <v>Hindi</v>
      </c>
      <c r="P954" t="str">
        <f t="shared" si="59"/>
        <v>Premium</v>
      </c>
    </row>
    <row r="955" spans="1:16" x14ac:dyDescent="0.3">
      <c r="A955" s="2" t="s">
        <v>999</v>
      </c>
      <c r="B955" s="2" t="s">
        <v>42</v>
      </c>
      <c r="C955" s="3">
        <v>37</v>
      </c>
      <c r="D955" t="s">
        <v>12</v>
      </c>
      <c r="E955" s="2" t="s">
        <v>19</v>
      </c>
      <c r="F955" s="2" t="s">
        <v>56</v>
      </c>
      <c r="G955">
        <v>58</v>
      </c>
      <c r="H955" s="4">
        <v>43541</v>
      </c>
      <c r="I955" s="2" t="s">
        <v>15</v>
      </c>
      <c r="J955" s="2" t="s">
        <v>16</v>
      </c>
      <c r="M955" t="str">
        <f t="shared" si="56"/>
        <v>Female</v>
      </c>
      <c r="N955" t="str">
        <f t="shared" si="57"/>
        <v>Hyderabad</v>
      </c>
      <c r="O955" t="str">
        <f t="shared" si="58"/>
        <v>Telugu</v>
      </c>
      <c r="P955" t="str">
        <f t="shared" si="59"/>
        <v>Basic</v>
      </c>
    </row>
    <row r="956" spans="1:16" x14ac:dyDescent="0.3">
      <c r="A956" s="2" t="s">
        <v>1000</v>
      </c>
      <c r="B956" s="2" t="s">
        <v>11</v>
      </c>
      <c r="C956" s="3">
        <v>33</v>
      </c>
      <c r="D956" t="s">
        <v>18</v>
      </c>
      <c r="E956" s="2" t="s">
        <v>19</v>
      </c>
      <c r="F956" s="2" t="s">
        <v>14</v>
      </c>
      <c r="G956">
        <v>56</v>
      </c>
      <c r="H956" s="4">
        <v>43605</v>
      </c>
      <c r="I956" s="2" t="s">
        <v>26</v>
      </c>
      <c r="J956" s="2" t="s">
        <v>16</v>
      </c>
      <c r="M956" t="str">
        <f t="shared" si="56"/>
        <v>Female</v>
      </c>
      <c r="N956" t="str">
        <f t="shared" si="57"/>
        <v>Kolkata</v>
      </c>
      <c r="O956" t="str">
        <f t="shared" si="58"/>
        <v>Malayalam</v>
      </c>
      <c r="P956" t="str">
        <f t="shared" si="59"/>
        <v>Basic</v>
      </c>
    </row>
    <row r="957" spans="1:16" x14ac:dyDescent="0.3">
      <c r="A957" s="2" t="s">
        <v>1001</v>
      </c>
      <c r="B957" s="2" t="s">
        <v>24</v>
      </c>
      <c r="C957" s="3">
        <v>18</v>
      </c>
      <c r="D957" t="s">
        <v>32</v>
      </c>
      <c r="E957" s="2" t="s">
        <v>19</v>
      </c>
      <c r="F957" s="2" t="s">
        <v>64</v>
      </c>
      <c r="G957">
        <v>31</v>
      </c>
      <c r="H957" s="4">
        <v>44349</v>
      </c>
      <c r="I957" s="2" t="s">
        <v>15</v>
      </c>
      <c r="J957" s="2" t="s">
        <v>16</v>
      </c>
      <c r="M957" t="str">
        <f t="shared" si="56"/>
        <v>Female</v>
      </c>
      <c r="N957" t="str">
        <f t="shared" si="57"/>
        <v>Pune</v>
      </c>
      <c r="O957" t="str">
        <f t="shared" si="58"/>
        <v>Telugu</v>
      </c>
      <c r="P957" t="str">
        <f t="shared" si="59"/>
        <v>Basic</v>
      </c>
    </row>
    <row r="958" spans="1:16" x14ac:dyDescent="0.3">
      <c r="A958" s="2" t="s">
        <v>1002</v>
      </c>
      <c r="B958" s="2" t="s">
        <v>31</v>
      </c>
      <c r="C958" s="3">
        <v>28</v>
      </c>
      <c r="D958" t="s">
        <v>18</v>
      </c>
      <c r="E958" s="2" t="s">
        <v>19</v>
      </c>
      <c r="F958" s="2" t="s">
        <v>64</v>
      </c>
      <c r="G958">
        <v>54</v>
      </c>
      <c r="H958" s="4">
        <v>43645</v>
      </c>
      <c r="I958" s="2" t="s">
        <v>62</v>
      </c>
      <c r="J958" s="2" t="s">
        <v>27</v>
      </c>
      <c r="M958" t="str">
        <f t="shared" si="56"/>
        <v>Female</v>
      </c>
      <c r="N958" t="str">
        <f t="shared" si="57"/>
        <v>Pune</v>
      </c>
      <c r="O958" t="str">
        <f t="shared" si="58"/>
        <v>Gujarati</v>
      </c>
      <c r="P958" t="str">
        <f t="shared" si="59"/>
        <v>Standard</v>
      </c>
    </row>
    <row r="959" spans="1:16" x14ac:dyDescent="0.3">
      <c r="A959" s="2" t="s">
        <v>1003</v>
      </c>
      <c r="B959" s="2" t="s">
        <v>24</v>
      </c>
      <c r="C959" s="3">
        <v>18</v>
      </c>
      <c r="D959" t="s">
        <v>32</v>
      </c>
      <c r="E959" s="2" t="s">
        <v>19</v>
      </c>
      <c r="F959" s="2" t="s">
        <v>20</v>
      </c>
      <c r="G959">
        <v>15</v>
      </c>
      <c r="H959" s="4">
        <v>44816</v>
      </c>
      <c r="I959" s="2" t="s">
        <v>34</v>
      </c>
      <c r="J959" s="2" t="s">
        <v>27</v>
      </c>
      <c r="M959" t="str">
        <f t="shared" si="56"/>
        <v>Female</v>
      </c>
      <c r="N959" t="str">
        <f t="shared" si="57"/>
        <v>Chennai</v>
      </c>
      <c r="O959" t="str">
        <f t="shared" si="58"/>
        <v>Marathi</v>
      </c>
      <c r="P959" t="str">
        <f t="shared" si="59"/>
        <v>Standard</v>
      </c>
    </row>
    <row r="960" spans="1:16" x14ac:dyDescent="0.3">
      <c r="A960" s="2" t="s">
        <v>1004</v>
      </c>
      <c r="B960" s="2" t="s">
        <v>31</v>
      </c>
      <c r="C960" s="3">
        <v>29</v>
      </c>
      <c r="D960" t="s">
        <v>18</v>
      </c>
      <c r="E960" s="2" t="s">
        <v>19</v>
      </c>
      <c r="F960" s="2" t="s">
        <v>25</v>
      </c>
      <c r="G960">
        <v>27</v>
      </c>
      <c r="H960" s="4">
        <v>44466</v>
      </c>
      <c r="I960" s="2" t="s">
        <v>34</v>
      </c>
      <c r="J960" s="2" t="s">
        <v>27</v>
      </c>
      <c r="M960" t="str">
        <f t="shared" si="56"/>
        <v>Female</v>
      </c>
      <c r="N960" t="str">
        <f t="shared" si="57"/>
        <v>Mumbai</v>
      </c>
      <c r="O960" t="str">
        <f t="shared" si="58"/>
        <v>Marathi</v>
      </c>
      <c r="P960" t="str">
        <f t="shared" si="59"/>
        <v>Standard</v>
      </c>
    </row>
    <row r="961" spans="1:16" x14ac:dyDescent="0.3">
      <c r="A961" s="2" t="s">
        <v>1005</v>
      </c>
      <c r="B961" s="2" t="s">
        <v>24</v>
      </c>
      <c r="C961" s="3">
        <v>30</v>
      </c>
      <c r="D961" t="s">
        <v>18</v>
      </c>
      <c r="E961" s="2" t="s">
        <v>13</v>
      </c>
      <c r="F961" s="2" t="s">
        <v>88</v>
      </c>
      <c r="G961">
        <v>45</v>
      </c>
      <c r="H961" s="4">
        <v>43942</v>
      </c>
      <c r="I961" s="2" t="s">
        <v>62</v>
      </c>
      <c r="J961" s="2" t="s">
        <v>27</v>
      </c>
      <c r="M961" t="str">
        <f t="shared" si="56"/>
        <v>Male</v>
      </c>
      <c r="N961" t="str">
        <f t="shared" si="57"/>
        <v>Lucknow</v>
      </c>
      <c r="O961" t="str">
        <f t="shared" si="58"/>
        <v>Gujarati</v>
      </c>
      <c r="P961" t="str">
        <f t="shared" si="59"/>
        <v>Standard</v>
      </c>
    </row>
    <row r="962" spans="1:16" x14ac:dyDescent="0.3">
      <c r="A962" s="2" t="s">
        <v>1006</v>
      </c>
      <c r="B962" s="2" t="s">
        <v>11</v>
      </c>
      <c r="C962" s="3">
        <v>53</v>
      </c>
      <c r="D962" t="s">
        <v>46</v>
      </c>
      <c r="E962" s="2" t="s">
        <v>13</v>
      </c>
      <c r="F962" s="2" t="s">
        <v>33</v>
      </c>
      <c r="G962">
        <v>18</v>
      </c>
      <c r="H962" s="4">
        <v>44740</v>
      </c>
      <c r="I962" s="2" t="s">
        <v>26</v>
      </c>
      <c r="J962" s="2" t="s">
        <v>16</v>
      </c>
      <c r="M962" t="str">
        <f t="shared" si="56"/>
        <v>Male</v>
      </c>
      <c r="N962" t="str">
        <f t="shared" si="57"/>
        <v>Jaipur</v>
      </c>
      <c r="O962" t="str">
        <f t="shared" si="58"/>
        <v>Malayalam</v>
      </c>
      <c r="P962" t="str">
        <f t="shared" si="59"/>
        <v>Basic</v>
      </c>
    </row>
    <row r="963" spans="1:16" x14ac:dyDescent="0.3">
      <c r="A963" s="2" t="s">
        <v>1007</v>
      </c>
      <c r="B963" s="2" t="s">
        <v>11</v>
      </c>
      <c r="C963" s="3">
        <v>22</v>
      </c>
      <c r="D963" t="s">
        <v>32</v>
      </c>
      <c r="E963" s="2" t="s">
        <v>19</v>
      </c>
      <c r="F963" s="2" t="s">
        <v>54</v>
      </c>
      <c r="G963">
        <v>20</v>
      </c>
      <c r="H963" s="4">
        <v>44672</v>
      </c>
      <c r="I963" s="2" t="s">
        <v>62</v>
      </c>
      <c r="J963" s="2" t="s">
        <v>27</v>
      </c>
      <c r="M963" t="str">
        <f t="shared" ref="M963:M1001" si="60">TRIM(E963)</f>
        <v>Female</v>
      </c>
      <c r="N963" t="str">
        <f t="shared" ref="N963:N1001" si="61">TRIM(F963)</f>
        <v>Bangalore</v>
      </c>
      <c r="O963" t="str">
        <f t="shared" ref="O963:O1001" si="62">TRIM(I963)</f>
        <v>Gujarati</v>
      </c>
      <c r="P963" t="str">
        <f t="shared" ref="P963:P1001" si="63">TRIM(J963)</f>
        <v>Standard</v>
      </c>
    </row>
    <row r="964" spans="1:16" x14ac:dyDescent="0.3">
      <c r="A964" s="2" t="s">
        <v>1008</v>
      </c>
      <c r="B964" s="2" t="s">
        <v>31</v>
      </c>
      <c r="C964" s="3">
        <v>21</v>
      </c>
      <c r="D964" t="s">
        <v>32</v>
      </c>
      <c r="E964" s="2" t="s">
        <v>13</v>
      </c>
      <c r="F964" s="2" t="s">
        <v>36</v>
      </c>
      <c r="G964">
        <v>38</v>
      </c>
      <c r="H964" s="4">
        <v>44129</v>
      </c>
      <c r="I964" s="2" t="s">
        <v>34</v>
      </c>
      <c r="J964" s="2" t="s">
        <v>22</v>
      </c>
      <c r="M964" t="str">
        <f t="shared" si="60"/>
        <v>Male</v>
      </c>
      <c r="N964" t="str">
        <f t="shared" si="61"/>
        <v>Ahmedabad</v>
      </c>
      <c r="O964" t="str">
        <f t="shared" si="62"/>
        <v>Marathi</v>
      </c>
      <c r="P964" t="str">
        <f t="shared" si="63"/>
        <v>Premium</v>
      </c>
    </row>
    <row r="965" spans="1:16" x14ac:dyDescent="0.3">
      <c r="A965" s="2" t="s">
        <v>1009</v>
      </c>
      <c r="B965" s="2" t="s">
        <v>31</v>
      </c>
      <c r="C965" s="3">
        <v>34</v>
      </c>
      <c r="D965" t="s">
        <v>18</v>
      </c>
      <c r="E965" s="2" t="s">
        <v>13</v>
      </c>
      <c r="F965" s="2" t="s">
        <v>25</v>
      </c>
      <c r="G965">
        <v>33</v>
      </c>
      <c r="H965" s="4">
        <v>44302</v>
      </c>
      <c r="I965" s="2" t="s">
        <v>39</v>
      </c>
      <c r="J965" s="2" t="s">
        <v>22</v>
      </c>
      <c r="M965" t="str">
        <f t="shared" si="60"/>
        <v>Male</v>
      </c>
      <c r="N965" t="str">
        <f t="shared" si="61"/>
        <v>Mumbai</v>
      </c>
      <c r="O965" t="str">
        <f t="shared" si="62"/>
        <v>Tamil</v>
      </c>
      <c r="P965" t="str">
        <f t="shared" si="63"/>
        <v>Premium</v>
      </c>
    </row>
    <row r="966" spans="1:16" x14ac:dyDescent="0.3">
      <c r="A966" s="2" t="s">
        <v>1010</v>
      </c>
      <c r="B966" s="2" t="s">
        <v>42</v>
      </c>
      <c r="C966" s="3">
        <v>25</v>
      </c>
      <c r="D966" t="s">
        <v>18</v>
      </c>
      <c r="E966" s="2" t="s">
        <v>13</v>
      </c>
      <c r="F966" s="2" t="s">
        <v>64</v>
      </c>
      <c r="G966">
        <v>10</v>
      </c>
      <c r="H966" s="4">
        <v>44984</v>
      </c>
      <c r="I966" s="2" t="s">
        <v>47</v>
      </c>
      <c r="J966" s="2" t="s">
        <v>16</v>
      </c>
      <c r="M966" t="str">
        <f t="shared" si="60"/>
        <v>Male</v>
      </c>
      <c r="N966" t="str">
        <f t="shared" si="61"/>
        <v>Pune</v>
      </c>
      <c r="O966" t="str">
        <f t="shared" si="62"/>
        <v>Hindi</v>
      </c>
      <c r="P966" t="str">
        <f t="shared" si="63"/>
        <v>Basic</v>
      </c>
    </row>
    <row r="967" spans="1:16" x14ac:dyDescent="0.3">
      <c r="A967" s="2" t="s">
        <v>1011</v>
      </c>
      <c r="B967" s="2" t="s">
        <v>42</v>
      </c>
      <c r="C967" s="3">
        <v>24</v>
      </c>
      <c r="D967" t="s">
        <v>32</v>
      </c>
      <c r="E967" s="2" t="s">
        <v>19</v>
      </c>
      <c r="F967" s="2" t="s">
        <v>64</v>
      </c>
      <c r="G967">
        <v>52</v>
      </c>
      <c r="H967" s="4">
        <v>43723</v>
      </c>
      <c r="I967" s="2" t="s">
        <v>21</v>
      </c>
      <c r="J967" s="2" t="s">
        <v>27</v>
      </c>
      <c r="M967" t="str">
        <f t="shared" si="60"/>
        <v>Female</v>
      </c>
      <c r="N967" t="str">
        <f t="shared" si="61"/>
        <v>Pune</v>
      </c>
      <c r="O967" t="str">
        <f t="shared" si="62"/>
        <v>Bengali</v>
      </c>
      <c r="P967" t="str">
        <f t="shared" si="63"/>
        <v>Standard</v>
      </c>
    </row>
    <row r="968" spans="1:16" x14ac:dyDescent="0.3">
      <c r="A968" s="2" t="s">
        <v>1012</v>
      </c>
      <c r="B968" s="2" t="s">
        <v>61</v>
      </c>
      <c r="C968" s="3">
        <v>39</v>
      </c>
      <c r="D968" t="s">
        <v>12</v>
      </c>
      <c r="E968" s="2" t="s">
        <v>13</v>
      </c>
      <c r="F968" s="2" t="s">
        <v>14</v>
      </c>
      <c r="G968">
        <v>26</v>
      </c>
      <c r="H968" s="4">
        <v>44497</v>
      </c>
      <c r="I968" s="2" t="s">
        <v>47</v>
      </c>
      <c r="J968" s="2" t="s">
        <v>27</v>
      </c>
      <c r="M968" t="str">
        <f t="shared" si="60"/>
        <v>Male</v>
      </c>
      <c r="N968" t="str">
        <f t="shared" si="61"/>
        <v>Kolkata</v>
      </c>
      <c r="O968" t="str">
        <f t="shared" si="62"/>
        <v>Hindi</v>
      </c>
      <c r="P968" t="str">
        <f t="shared" si="63"/>
        <v>Standard</v>
      </c>
    </row>
    <row r="969" spans="1:16" x14ac:dyDescent="0.3">
      <c r="A969" s="2" t="s">
        <v>1013</v>
      </c>
      <c r="B969" s="2" t="s">
        <v>24</v>
      </c>
      <c r="C969" s="3">
        <v>28</v>
      </c>
      <c r="D969" t="s">
        <v>18</v>
      </c>
      <c r="E969" s="2" t="s">
        <v>13</v>
      </c>
      <c r="F969" s="2" t="s">
        <v>25</v>
      </c>
      <c r="G969">
        <v>16</v>
      </c>
      <c r="H969" s="4">
        <v>44797</v>
      </c>
      <c r="I969" s="2" t="s">
        <v>26</v>
      </c>
      <c r="J969" s="2" t="s">
        <v>16</v>
      </c>
      <c r="M969" t="str">
        <f t="shared" si="60"/>
        <v>Male</v>
      </c>
      <c r="N969" t="str">
        <f t="shared" si="61"/>
        <v>Mumbai</v>
      </c>
      <c r="O969" t="str">
        <f t="shared" si="62"/>
        <v>Malayalam</v>
      </c>
      <c r="P969" t="str">
        <f t="shared" si="63"/>
        <v>Basic</v>
      </c>
    </row>
    <row r="970" spans="1:16" x14ac:dyDescent="0.3">
      <c r="A970" s="2" t="s">
        <v>1014</v>
      </c>
      <c r="B970" s="2" t="s">
        <v>31</v>
      </c>
      <c r="C970" s="3">
        <v>35</v>
      </c>
      <c r="D970" t="s">
        <v>12</v>
      </c>
      <c r="E970" s="2" t="s">
        <v>13</v>
      </c>
      <c r="F970" s="2" t="s">
        <v>56</v>
      </c>
      <c r="G970">
        <v>32</v>
      </c>
      <c r="H970" s="4">
        <v>44310</v>
      </c>
      <c r="I970" s="2" t="s">
        <v>49</v>
      </c>
      <c r="J970" s="2" t="s">
        <v>22</v>
      </c>
      <c r="M970" t="str">
        <f t="shared" si="60"/>
        <v>Male</v>
      </c>
      <c r="N970" t="str">
        <f t="shared" si="61"/>
        <v>Hyderabad</v>
      </c>
      <c r="O970" t="str">
        <f t="shared" si="62"/>
        <v>Kannada</v>
      </c>
      <c r="P970" t="str">
        <f t="shared" si="63"/>
        <v>Premium</v>
      </c>
    </row>
    <row r="971" spans="1:16" x14ac:dyDescent="0.3">
      <c r="A971" s="2" t="s">
        <v>1015</v>
      </c>
      <c r="B971" s="2" t="s">
        <v>24</v>
      </c>
      <c r="C971" s="3">
        <v>22</v>
      </c>
      <c r="D971" t="s">
        <v>32</v>
      </c>
      <c r="E971" s="2" t="s">
        <v>13</v>
      </c>
      <c r="F971" s="2" t="s">
        <v>33</v>
      </c>
      <c r="G971">
        <v>12</v>
      </c>
      <c r="H971" s="4">
        <v>44923</v>
      </c>
      <c r="I971" s="2" t="s">
        <v>47</v>
      </c>
      <c r="J971" s="2" t="s">
        <v>65</v>
      </c>
      <c r="M971" t="str">
        <f t="shared" si="60"/>
        <v>Male</v>
      </c>
      <c r="N971" t="str">
        <f t="shared" si="61"/>
        <v>Jaipur</v>
      </c>
      <c r="O971" t="str">
        <f t="shared" si="62"/>
        <v>Hindi</v>
      </c>
      <c r="P971" t="str">
        <f t="shared" si="63"/>
        <v>Family</v>
      </c>
    </row>
    <row r="972" spans="1:16" x14ac:dyDescent="0.3">
      <c r="A972" s="2" t="s">
        <v>1016</v>
      </c>
      <c r="B972" s="2" t="s">
        <v>11</v>
      </c>
      <c r="C972" s="3">
        <v>51</v>
      </c>
      <c r="D972" t="s">
        <v>46</v>
      </c>
      <c r="E972" s="2" t="s">
        <v>13</v>
      </c>
      <c r="F972" s="2" t="s">
        <v>56</v>
      </c>
      <c r="G972">
        <v>20</v>
      </c>
      <c r="H972" s="4">
        <v>44679</v>
      </c>
      <c r="I972" s="2" t="s">
        <v>34</v>
      </c>
      <c r="J972" s="2" t="s">
        <v>16</v>
      </c>
      <c r="M972" t="str">
        <f t="shared" si="60"/>
        <v>Male</v>
      </c>
      <c r="N972" t="str">
        <f t="shared" si="61"/>
        <v>Hyderabad</v>
      </c>
      <c r="O972" t="str">
        <f t="shared" si="62"/>
        <v>Marathi</v>
      </c>
      <c r="P972" t="str">
        <f t="shared" si="63"/>
        <v>Basic</v>
      </c>
    </row>
    <row r="973" spans="1:16" x14ac:dyDescent="0.3">
      <c r="A973" s="2" t="s">
        <v>1017</v>
      </c>
      <c r="B973" s="2" t="s">
        <v>24</v>
      </c>
      <c r="C973" s="3">
        <v>50</v>
      </c>
      <c r="D973" t="s">
        <v>46</v>
      </c>
      <c r="E973" s="2" t="s">
        <v>105</v>
      </c>
      <c r="F973" s="2" t="s">
        <v>54</v>
      </c>
      <c r="G973">
        <v>57</v>
      </c>
      <c r="H973" s="4">
        <v>43573</v>
      </c>
      <c r="I973" s="2" t="s">
        <v>49</v>
      </c>
      <c r="J973" s="2" t="s">
        <v>27</v>
      </c>
      <c r="M973" t="str">
        <f t="shared" si="60"/>
        <v>Non-Binary</v>
      </c>
      <c r="N973" t="str">
        <f t="shared" si="61"/>
        <v>Bangalore</v>
      </c>
      <c r="O973" t="str">
        <f t="shared" si="62"/>
        <v>Kannada</v>
      </c>
      <c r="P973" t="str">
        <f t="shared" si="63"/>
        <v>Standard</v>
      </c>
    </row>
    <row r="974" spans="1:16" x14ac:dyDescent="0.3">
      <c r="A974" s="2" t="s">
        <v>1018</v>
      </c>
      <c r="B974" s="2" t="s">
        <v>31</v>
      </c>
      <c r="C974" s="3">
        <v>31</v>
      </c>
      <c r="D974" t="s">
        <v>18</v>
      </c>
      <c r="E974" s="2" t="s">
        <v>13</v>
      </c>
      <c r="F974" s="2" t="s">
        <v>54</v>
      </c>
      <c r="G974">
        <v>14</v>
      </c>
      <c r="H974" s="4">
        <v>44864</v>
      </c>
      <c r="I974" s="2" t="s">
        <v>49</v>
      </c>
      <c r="J974" s="2" t="s">
        <v>27</v>
      </c>
      <c r="M974" t="str">
        <f t="shared" si="60"/>
        <v>Male</v>
      </c>
      <c r="N974" t="str">
        <f t="shared" si="61"/>
        <v>Bangalore</v>
      </c>
      <c r="O974" t="str">
        <f t="shared" si="62"/>
        <v>Kannada</v>
      </c>
      <c r="P974" t="str">
        <f t="shared" si="63"/>
        <v>Standard</v>
      </c>
    </row>
    <row r="975" spans="1:16" x14ac:dyDescent="0.3">
      <c r="A975" s="2" t="s">
        <v>1019</v>
      </c>
      <c r="B975" s="2" t="s">
        <v>31</v>
      </c>
      <c r="C975" s="3">
        <v>32</v>
      </c>
      <c r="D975" t="s">
        <v>18</v>
      </c>
      <c r="E975" s="2" t="s">
        <v>13</v>
      </c>
      <c r="F975" s="2" t="s">
        <v>38</v>
      </c>
      <c r="G975">
        <v>15</v>
      </c>
      <c r="H975" s="4">
        <v>44814</v>
      </c>
      <c r="I975" s="2" t="s">
        <v>26</v>
      </c>
      <c r="J975" s="2" t="s">
        <v>65</v>
      </c>
      <c r="M975" t="str">
        <f t="shared" si="60"/>
        <v>Male</v>
      </c>
      <c r="N975" t="str">
        <f t="shared" si="61"/>
        <v>Delhi</v>
      </c>
      <c r="O975" t="str">
        <f t="shared" si="62"/>
        <v>Malayalam</v>
      </c>
      <c r="P975" t="str">
        <f t="shared" si="63"/>
        <v>Family</v>
      </c>
    </row>
    <row r="976" spans="1:16" x14ac:dyDescent="0.3">
      <c r="A976" s="2" t="s">
        <v>1020</v>
      </c>
      <c r="B976" s="2" t="s">
        <v>61</v>
      </c>
      <c r="C976" s="3">
        <v>29</v>
      </c>
      <c r="D976" t="s">
        <v>18</v>
      </c>
      <c r="E976" s="2" t="s">
        <v>13</v>
      </c>
      <c r="F976" s="2" t="s">
        <v>33</v>
      </c>
      <c r="G976">
        <v>38</v>
      </c>
      <c r="H976" s="4">
        <v>44140</v>
      </c>
      <c r="I976" s="2" t="s">
        <v>34</v>
      </c>
      <c r="J976" s="2" t="s">
        <v>27</v>
      </c>
      <c r="M976" t="str">
        <f t="shared" si="60"/>
        <v>Male</v>
      </c>
      <c r="N976" t="str">
        <f t="shared" si="61"/>
        <v>Jaipur</v>
      </c>
      <c r="O976" t="str">
        <f t="shared" si="62"/>
        <v>Marathi</v>
      </c>
      <c r="P976" t="str">
        <f t="shared" si="63"/>
        <v>Standard</v>
      </c>
    </row>
    <row r="977" spans="1:16" x14ac:dyDescent="0.3">
      <c r="A977" s="2" t="s">
        <v>1021</v>
      </c>
      <c r="B977" s="2" t="s">
        <v>42</v>
      </c>
      <c r="C977" s="3">
        <v>35</v>
      </c>
      <c r="D977" t="s">
        <v>12</v>
      </c>
      <c r="E977" s="2" t="s">
        <v>13</v>
      </c>
      <c r="F977" s="2" t="s">
        <v>14</v>
      </c>
      <c r="G977">
        <v>23</v>
      </c>
      <c r="H977" s="4">
        <v>44590</v>
      </c>
      <c r="I977" s="2" t="s">
        <v>62</v>
      </c>
      <c r="J977" s="2" t="s">
        <v>27</v>
      </c>
      <c r="M977" t="str">
        <f t="shared" si="60"/>
        <v>Male</v>
      </c>
      <c r="N977" t="str">
        <f t="shared" si="61"/>
        <v>Kolkata</v>
      </c>
      <c r="O977" t="str">
        <f t="shared" si="62"/>
        <v>Gujarati</v>
      </c>
      <c r="P977" t="str">
        <f t="shared" si="63"/>
        <v>Standard</v>
      </c>
    </row>
    <row r="978" spans="1:16" x14ac:dyDescent="0.3">
      <c r="A978" s="2" t="s">
        <v>1022</v>
      </c>
      <c r="B978" s="2" t="s">
        <v>61</v>
      </c>
      <c r="C978" s="3">
        <v>29</v>
      </c>
      <c r="D978" t="s">
        <v>18</v>
      </c>
      <c r="E978" s="2" t="s">
        <v>13</v>
      </c>
      <c r="F978" s="2" t="s">
        <v>54</v>
      </c>
      <c r="G978">
        <v>7</v>
      </c>
      <c r="H978" s="4">
        <v>45061</v>
      </c>
      <c r="I978" s="2" t="s">
        <v>62</v>
      </c>
      <c r="J978" s="2" t="s">
        <v>27</v>
      </c>
      <c r="M978" t="str">
        <f t="shared" si="60"/>
        <v>Male</v>
      </c>
      <c r="N978" t="str">
        <f t="shared" si="61"/>
        <v>Bangalore</v>
      </c>
      <c r="O978" t="str">
        <f t="shared" si="62"/>
        <v>Gujarati</v>
      </c>
      <c r="P978" t="str">
        <f t="shared" si="63"/>
        <v>Standard</v>
      </c>
    </row>
    <row r="979" spans="1:16" x14ac:dyDescent="0.3">
      <c r="A979" s="2" t="s">
        <v>1023</v>
      </c>
      <c r="B979" s="2" t="s">
        <v>24</v>
      </c>
      <c r="C979" s="3">
        <v>42</v>
      </c>
      <c r="D979" t="s">
        <v>12</v>
      </c>
      <c r="E979" s="2" t="s">
        <v>19</v>
      </c>
      <c r="F979" s="2" t="s">
        <v>64</v>
      </c>
      <c r="G979">
        <v>28</v>
      </c>
      <c r="H979" s="4">
        <v>44431</v>
      </c>
      <c r="I979" s="2" t="s">
        <v>49</v>
      </c>
      <c r="J979" s="2" t="s">
        <v>16</v>
      </c>
      <c r="M979" t="str">
        <f t="shared" si="60"/>
        <v>Female</v>
      </c>
      <c r="N979" t="str">
        <f t="shared" si="61"/>
        <v>Pune</v>
      </c>
      <c r="O979" t="str">
        <f t="shared" si="62"/>
        <v>Kannada</v>
      </c>
      <c r="P979" t="str">
        <f t="shared" si="63"/>
        <v>Basic</v>
      </c>
    </row>
    <row r="980" spans="1:16" x14ac:dyDescent="0.3">
      <c r="A980" s="2" t="s">
        <v>1024</v>
      </c>
      <c r="B980" s="2" t="s">
        <v>24</v>
      </c>
      <c r="C980" s="3">
        <v>18</v>
      </c>
      <c r="D980" t="s">
        <v>32</v>
      </c>
      <c r="E980" s="2" t="s">
        <v>13</v>
      </c>
      <c r="F980" s="2" t="s">
        <v>20</v>
      </c>
      <c r="G980">
        <v>42</v>
      </c>
      <c r="H980" s="4">
        <v>44012</v>
      </c>
      <c r="I980" s="2" t="s">
        <v>39</v>
      </c>
      <c r="J980" s="2" t="s">
        <v>27</v>
      </c>
      <c r="M980" t="str">
        <f t="shared" si="60"/>
        <v>Male</v>
      </c>
      <c r="N980" t="str">
        <f t="shared" si="61"/>
        <v>Chennai</v>
      </c>
      <c r="O980" t="str">
        <f t="shared" si="62"/>
        <v>Tamil</v>
      </c>
      <c r="P980" t="str">
        <f t="shared" si="63"/>
        <v>Standard</v>
      </c>
    </row>
    <row r="981" spans="1:16" x14ac:dyDescent="0.3">
      <c r="A981" s="2" t="s">
        <v>1025</v>
      </c>
      <c r="B981" s="2" t="s">
        <v>61</v>
      </c>
      <c r="C981" s="3">
        <v>18</v>
      </c>
      <c r="D981" t="s">
        <v>32</v>
      </c>
      <c r="E981" s="2" t="s">
        <v>19</v>
      </c>
      <c r="F981" s="2" t="s">
        <v>54</v>
      </c>
      <c r="G981">
        <v>4</v>
      </c>
      <c r="H981" s="4">
        <v>45157</v>
      </c>
      <c r="I981" s="2" t="s">
        <v>47</v>
      </c>
      <c r="J981" s="2" t="s">
        <v>27</v>
      </c>
      <c r="M981" t="str">
        <f t="shared" si="60"/>
        <v>Female</v>
      </c>
      <c r="N981" t="str">
        <f t="shared" si="61"/>
        <v>Bangalore</v>
      </c>
      <c r="O981" t="str">
        <f t="shared" si="62"/>
        <v>Hindi</v>
      </c>
      <c r="P981" t="str">
        <f t="shared" si="63"/>
        <v>Standard</v>
      </c>
    </row>
    <row r="982" spans="1:16" x14ac:dyDescent="0.3">
      <c r="A982" s="2" t="s">
        <v>1026</v>
      </c>
      <c r="B982" s="2" t="s">
        <v>24</v>
      </c>
      <c r="C982" s="3">
        <v>35</v>
      </c>
      <c r="D982" t="s">
        <v>12</v>
      </c>
      <c r="E982" s="2" t="s">
        <v>13</v>
      </c>
      <c r="F982" s="2" t="s">
        <v>88</v>
      </c>
      <c r="G982">
        <v>6</v>
      </c>
      <c r="H982" s="4">
        <v>45094</v>
      </c>
      <c r="I982" s="2" t="s">
        <v>47</v>
      </c>
      <c r="J982" s="2" t="s">
        <v>27</v>
      </c>
      <c r="M982" t="str">
        <f t="shared" si="60"/>
        <v>Male</v>
      </c>
      <c r="N982" t="str">
        <f t="shared" si="61"/>
        <v>Lucknow</v>
      </c>
      <c r="O982" t="str">
        <f t="shared" si="62"/>
        <v>Hindi</v>
      </c>
      <c r="P982" t="str">
        <f t="shared" si="63"/>
        <v>Standard</v>
      </c>
    </row>
    <row r="983" spans="1:16" x14ac:dyDescent="0.3">
      <c r="A983" s="2" t="s">
        <v>1027</v>
      </c>
      <c r="B983" s="2" t="s">
        <v>31</v>
      </c>
      <c r="C983" s="3">
        <v>39</v>
      </c>
      <c r="D983" t="s">
        <v>12</v>
      </c>
      <c r="E983" s="2" t="s">
        <v>19</v>
      </c>
      <c r="F983" s="2" t="s">
        <v>54</v>
      </c>
      <c r="G983">
        <v>5</v>
      </c>
      <c r="H983" s="4">
        <v>45129</v>
      </c>
      <c r="I983" s="2" t="s">
        <v>26</v>
      </c>
      <c r="J983" s="2" t="s">
        <v>27</v>
      </c>
      <c r="M983" t="str">
        <f t="shared" si="60"/>
        <v>Female</v>
      </c>
      <c r="N983" t="str">
        <f t="shared" si="61"/>
        <v>Bangalore</v>
      </c>
      <c r="O983" t="str">
        <f t="shared" si="62"/>
        <v>Malayalam</v>
      </c>
      <c r="P983" t="str">
        <f t="shared" si="63"/>
        <v>Standard</v>
      </c>
    </row>
    <row r="984" spans="1:16" x14ac:dyDescent="0.3">
      <c r="A984" s="2" t="s">
        <v>1028</v>
      </c>
      <c r="B984" s="2" t="s">
        <v>11</v>
      </c>
      <c r="C984" s="3">
        <v>24</v>
      </c>
      <c r="D984" t="s">
        <v>32</v>
      </c>
      <c r="E984" s="2" t="s">
        <v>19</v>
      </c>
      <c r="F984" s="2" t="s">
        <v>56</v>
      </c>
      <c r="G984">
        <v>35</v>
      </c>
      <c r="H984" s="4">
        <v>44220</v>
      </c>
      <c r="I984" s="2" t="s">
        <v>21</v>
      </c>
      <c r="J984" s="2" t="s">
        <v>16</v>
      </c>
      <c r="M984" t="str">
        <f t="shared" si="60"/>
        <v>Female</v>
      </c>
      <c r="N984" t="str">
        <f t="shared" si="61"/>
        <v>Hyderabad</v>
      </c>
      <c r="O984" t="str">
        <f t="shared" si="62"/>
        <v>Bengali</v>
      </c>
      <c r="P984" t="str">
        <f t="shared" si="63"/>
        <v>Basic</v>
      </c>
    </row>
    <row r="985" spans="1:16" x14ac:dyDescent="0.3">
      <c r="A985" s="2" t="s">
        <v>1029</v>
      </c>
      <c r="B985" s="2" t="s">
        <v>11</v>
      </c>
      <c r="C985" s="3">
        <v>24</v>
      </c>
      <c r="D985" t="s">
        <v>32</v>
      </c>
      <c r="E985" s="2" t="s">
        <v>13</v>
      </c>
      <c r="F985" s="2" t="s">
        <v>25</v>
      </c>
      <c r="G985">
        <v>41</v>
      </c>
      <c r="H985" s="4">
        <v>44059</v>
      </c>
      <c r="I985" s="2" t="s">
        <v>29</v>
      </c>
      <c r="J985" s="2" t="s">
        <v>16</v>
      </c>
      <c r="M985" t="str">
        <f t="shared" si="60"/>
        <v>Male</v>
      </c>
      <c r="N985" t="str">
        <f t="shared" si="61"/>
        <v>Mumbai</v>
      </c>
      <c r="O985" t="str">
        <f t="shared" si="62"/>
        <v>English</v>
      </c>
      <c r="P985" t="str">
        <f t="shared" si="63"/>
        <v>Basic</v>
      </c>
    </row>
    <row r="986" spans="1:16" x14ac:dyDescent="0.3">
      <c r="A986" s="2" t="s">
        <v>1030</v>
      </c>
      <c r="B986" s="2" t="s">
        <v>31</v>
      </c>
      <c r="C986" s="3">
        <v>34</v>
      </c>
      <c r="D986" t="s">
        <v>18</v>
      </c>
      <c r="E986" s="2" t="s">
        <v>19</v>
      </c>
      <c r="F986" s="2" t="s">
        <v>33</v>
      </c>
      <c r="G986">
        <v>50</v>
      </c>
      <c r="H986" s="4">
        <v>43769</v>
      </c>
      <c r="I986" s="2" t="s">
        <v>21</v>
      </c>
      <c r="J986" s="2" t="s">
        <v>65</v>
      </c>
      <c r="M986" t="str">
        <f t="shared" si="60"/>
        <v>Female</v>
      </c>
      <c r="N986" t="str">
        <f t="shared" si="61"/>
        <v>Jaipur</v>
      </c>
      <c r="O986" t="str">
        <f t="shared" si="62"/>
        <v>Bengali</v>
      </c>
      <c r="P986" t="str">
        <f t="shared" si="63"/>
        <v>Family</v>
      </c>
    </row>
    <row r="987" spans="1:16" x14ac:dyDescent="0.3">
      <c r="A987" s="2" t="s">
        <v>1031</v>
      </c>
      <c r="B987" s="2" t="s">
        <v>24</v>
      </c>
      <c r="C987" s="3">
        <v>39</v>
      </c>
      <c r="D987" t="s">
        <v>12</v>
      </c>
      <c r="E987" s="2" t="s">
        <v>19</v>
      </c>
      <c r="F987" s="2" t="s">
        <v>36</v>
      </c>
      <c r="G987">
        <v>45</v>
      </c>
      <c r="H987" s="4">
        <v>43914</v>
      </c>
      <c r="I987" s="2" t="s">
        <v>49</v>
      </c>
      <c r="J987" s="2" t="s">
        <v>22</v>
      </c>
      <c r="M987" t="str">
        <f t="shared" si="60"/>
        <v>Female</v>
      </c>
      <c r="N987" t="str">
        <f t="shared" si="61"/>
        <v>Ahmedabad</v>
      </c>
      <c r="O987" t="str">
        <f t="shared" si="62"/>
        <v>Kannada</v>
      </c>
      <c r="P987" t="str">
        <f t="shared" si="63"/>
        <v>Premium</v>
      </c>
    </row>
    <row r="988" spans="1:16" x14ac:dyDescent="0.3">
      <c r="A988" s="2" t="s">
        <v>1032</v>
      </c>
      <c r="B988" s="2" t="s">
        <v>31</v>
      </c>
      <c r="C988" s="3">
        <v>31</v>
      </c>
      <c r="D988" t="s">
        <v>18</v>
      </c>
      <c r="E988" s="2" t="s">
        <v>19</v>
      </c>
      <c r="F988" s="2" t="s">
        <v>54</v>
      </c>
      <c r="G988">
        <v>18</v>
      </c>
      <c r="H988" s="4">
        <v>44749</v>
      </c>
      <c r="I988" s="2" t="s">
        <v>49</v>
      </c>
      <c r="J988" s="2" t="s">
        <v>16</v>
      </c>
      <c r="M988" t="str">
        <f t="shared" si="60"/>
        <v>Female</v>
      </c>
      <c r="N988" t="str">
        <f t="shared" si="61"/>
        <v>Bangalore</v>
      </c>
      <c r="O988" t="str">
        <f t="shared" si="62"/>
        <v>Kannada</v>
      </c>
      <c r="P988" t="str">
        <f t="shared" si="63"/>
        <v>Basic</v>
      </c>
    </row>
    <row r="989" spans="1:16" x14ac:dyDescent="0.3">
      <c r="A989" s="2" t="s">
        <v>1033</v>
      </c>
      <c r="B989" s="2" t="s">
        <v>24</v>
      </c>
      <c r="C989" s="3">
        <v>23</v>
      </c>
      <c r="D989" t="s">
        <v>32</v>
      </c>
      <c r="E989" s="2" t="s">
        <v>19</v>
      </c>
      <c r="F989" s="2" t="s">
        <v>56</v>
      </c>
      <c r="G989">
        <v>49</v>
      </c>
      <c r="H989" s="4">
        <v>43806</v>
      </c>
      <c r="I989" s="2" t="s">
        <v>34</v>
      </c>
      <c r="J989" s="2" t="s">
        <v>22</v>
      </c>
      <c r="M989" t="str">
        <f t="shared" si="60"/>
        <v>Female</v>
      </c>
      <c r="N989" t="str">
        <f t="shared" si="61"/>
        <v>Hyderabad</v>
      </c>
      <c r="O989" t="str">
        <f t="shared" si="62"/>
        <v>Marathi</v>
      </c>
      <c r="P989" t="str">
        <f t="shared" si="63"/>
        <v>Premium</v>
      </c>
    </row>
    <row r="990" spans="1:16" x14ac:dyDescent="0.3">
      <c r="A990" s="2" t="s">
        <v>1034</v>
      </c>
      <c r="B990" s="2" t="s">
        <v>11</v>
      </c>
      <c r="C990" s="3">
        <v>18</v>
      </c>
      <c r="D990" t="s">
        <v>32</v>
      </c>
      <c r="E990" s="2" t="s">
        <v>13</v>
      </c>
      <c r="F990" s="2" t="s">
        <v>64</v>
      </c>
      <c r="G990">
        <v>37</v>
      </c>
      <c r="H990" s="4">
        <v>44180</v>
      </c>
      <c r="I990" s="2" t="s">
        <v>15</v>
      </c>
      <c r="J990" s="2" t="s">
        <v>27</v>
      </c>
      <c r="M990" t="str">
        <f t="shared" si="60"/>
        <v>Male</v>
      </c>
      <c r="N990" t="str">
        <f t="shared" si="61"/>
        <v>Pune</v>
      </c>
      <c r="O990" t="str">
        <f t="shared" si="62"/>
        <v>Telugu</v>
      </c>
      <c r="P990" t="str">
        <f t="shared" si="63"/>
        <v>Standard</v>
      </c>
    </row>
    <row r="991" spans="1:16" x14ac:dyDescent="0.3">
      <c r="A991" s="2" t="s">
        <v>1035</v>
      </c>
      <c r="B991" s="2" t="s">
        <v>31</v>
      </c>
      <c r="C991" s="3">
        <v>36</v>
      </c>
      <c r="D991" t="s">
        <v>12</v>
      </c>
      <c r="E991" s="2" t="s">
        <v>19</v>
      </c>
      <c r="F991" s="2" t="s">
        <v>38</v>
      </c>
      <c r="G991">
        <v>33</v>
      </c>
      <c r="H991" s="4">
        <v>44291</v>
      </c>
      <c r="I991" s="2" t="s">
        <v>49</v>
      </c>
      <c r="J991" s="2" t="s">
        <v>65</v>
      </c>
      <c r="M991" t="str">
        <f t="shared" si="60"/>
        <v>Female</v>
      </c>
      <c r="N991" t="str">
        <f t="shared" si="61"/>
        <v>Delhi</v>
      </c>
      <c r="O991" t="str">
        <f t="shared" si="62"/>
        <v>Kannada</v>
      </c>
      <c r="P991" t="str">
        <f t="shared" si="63"/>
        <v>Family</v>
      </c>
    </row>
    <row r="992" spans="1:16" x14ac:dyDescent="0.3">
      <c r="A992" s="2" t="s">
        <v>1036</v>
      </c>
      <c r="B992" s="2" t="s">
        <v>42</v>
      </c>
      <c r="C992" s="3">
        <v>18</v>
      </c>
      <c r="D992" t="s">
        <v>32</v>
      </c>
      <c r="E992" s="2" t="s">
        <v>19</v>
      </c>
      <c r="F992" s="2" t="s">
        <v>88</v>
      </c>
      <c r="G992">
        <v>18</v>
      </c>
      <c r="H992" s="4">
        <v>44742</v>
      </c>
      <c r="I992" s="2" t="s">
        <v>49</v>
      </c>
      <c r="J992" s="2" t="s">
        <v>16</v>
      </c>
      <c r="M992" t="str">
        <f t="shared" si="60"/>
        <v>Female</v>
      </c>
      <c r="N992" t="str">
        <f t="shared" si="61"/>
        <v>Lucknow</v>
      </c>
      <c r="O992" t="str">
        <f t="shared" si="62"/>
        <v>Kannada</v>
      </c>
      <c r="P992" t="str">
        <f t="shared" si="63"/>
        <v>Basic</v>
      </c>
    </row>
    <row r="993" spans="1:16" x14ac:dyDescent="0.3">
      <c r="A993" s="2" t="s">
        <v>1037</v>
      </c>
      <c r="B993" s="2" t="s">
        <v>11</v>
      </c>
      <c r="C993" s="3">
        <v>27</v>
      </c>
      <c r="D993" t="s">
        <v>18</v>
      </c>
      <c r="E993" s="2" t="s">
        <v>19</v>
      </c>
      <c r="F993" s="2" t="s">
        <v>64</v>
      </c>
      <c r="G993">
        <v>2</v>
      </c>
      <c r="H993" s="4">
        <v>45229</v>
      </c>
      <c r="I993" s="2" t="s">
        <v>62</v>
      </c>
      <c r="J993" s="2" t="s">
        <v>22</v>
      </c>
      <c r="M993" t="str">
        <f t="shared" si="60"/>
        <v>Female</v>
      </c>
      <c r="N993" t="str">
        <f t="shared" si="61"/>
        <v>Pune</v>
      </c>
      <c r="O993" t="str">
        <f t="shared" si="62"/>
        <v>Gujarati</v>
      </c>
      <c r="P993" t="str">
        <f t="shared" si="63"/>
        <v>Premium</v>
      </c>
    </row>
    <row r="994" spans="1:16" x14ac:dyDescent="0.3">
      <c r="A994" s="2" t="s">
        <v>1038</v>
      </c>
      <c r="B994" s="2" t="s">
        <v>24</v>
      </c>
      <c r="C994" s="3">
        <v>18</v>
      </c>
      <c r="D994" t="s">
        <v>32</v>
      </c>
      <c r="E994" s="2" t="s">
        <v>13</v>
      </c>
      <c r="F994" s="2" t="s">
        <v>20</v>
      </c>
      <c r="G994">
        <v>27</v>
      </c>
      <c r="H994" s="4">
        <v>44466</v>
      </c>
      <c r="I994" s="2" t="s">
        <v>62</v>
      </c>
      <c r="J994" s="2" t="s">
        <v>22</v>
      </c>
      <c r="M994" t="str">
        <f t="shared" si="60"/>
        <v>Male</v>
      </c>
      <c r="N994" t="str">
        <f t="shared" si="61"/>
        <v>Chennai</v>
      </c>
      <c r="O994" t="str">
        <f t="shared" si="62"/>
        <v>Gujarati</v>
      </c>
      <c r="P994" t="str">
        <f t="shared" si="63"/>
        <v>Premium</v>
      </c>
    </row>
    <row r="995" spans="1:16" x14ac:dyDescent="0.3">
      <c r="A995" s="2" t="s">
        <v>1039</v>
      </c>
      <c r="B995" s="2" t="s">
        <v>11</v>
      </c>
      <c r="C995" s="3">
        <v>38</v>
      </c>
      <c r="D995" t="s">
        <v>12</v>
      </c>
      <c r="E995" s="2" t="s">
        <v>13</v>
      </c>
      <c r="F995" s="2" t="s">
        <v>14</v>
      </c>
      <c r="G995">
        <v>46</v>
      </c>
      <c r="H995" s="4">
        <v>43887</v>
      </c>
      <c r="I995" s="2" t="s">
        <v>21</v>
      </c>
      <c r="J995" s="2" t="s">
        <v>27</v>
      </c>
      <c r="M995" t="str">
        <f t="shared" si="60"/>
        <v>Male</v>
      </c>
      <c r="N995" t="str">
        <f t="shared" si="61"/>
        <v>Kolkata</v>
      </c>
      <c r="O995" t="str">
        <f t="shared" si="62"/>
        <v>Bengali</v>
      </c>
      <c r="P995" t="str">
        <f t="shared" si="63"/>
        <v>Standard</v>
      </c>
    </row>
    <row r="996" spans="1:16" x14ac:dyDescent="0.3">
      <c r="A996" s="2" t="s">
        <v>1040</v>
      </c>
      <c r="B996" s="2" t="s">
        <v>31</v>
      </c>
      <c r="C996" s="3">
        <v>44</v>
      </c>
      <c r="D996" t="s">
        <v>12</v>
      </c>
      <c r="E996" s="2" t="s">
        <v>13</v>
      </c>
      <c r="F996" s="2" t="s">
        <v>38</v>
      </c>
      <c r="G996">
        <v>59</v>
      </c>
      <c r="H996" s="4">
        <v>43515</v>
      </c>
      <c r="I996" s="2" t="s">
        <v>47</v>
      </c>
      <c r="J996" s="2" t="s">
        <v>65</v>
      </c>
      <c r="M996" t="str">
        <f t="shared" si="60"/>
        <v>Male</v>
      </c>
      <c r="N996" t="str">
        <f t="shared" si="61"/>
        <v>Delhi</v>
      </c>
      <c r="O996" t="str">
        <f t="shared" si="62"/>
        <v>Hindi</v>
      </c>
      <c r="P996" t="str">
        <f t="shared" si="63"/>
        <v>Family</v>
      </c>
    </row>
    <row r="997" spans="1:16" x14ac:dyDescent="0.3">
      <c r="A997" s="2" t="s">
        <v>1041</v>
      </c>
      <c r="B997" s="2" t="s">
        <v>11</v>
      </c>
      <c r="C997" s="3">
        <v>29</v>
      </c>
      <c r="D997" t="s">
        <v>18</v>
      </c>
      <c r="E997" s="2" t="s">
        <v>19</v>
      </c>
      <c r="F997" s="2" t="s">
        <v>36</v>
      </c>
      <c r="G997">
        <v>46</v>
      </c>
      <c r="H997" s="4">
        <v>43894</v>
      </c>
      <c r="I997" s="2" t="s">
        <v>21</v>
      </c>
      <c r="J997" s="2" t="s">
        <v>22</v>
      </c>
      <c r="M997" t="str">
        <f t="shared" si="60"/>
        <v>Female</v>
      </c>
      <c r="N997" t="str">
        <f t="shared" si="61"/>
        <v>Ahmedabad</v>
      </c>
      <c r="O997" t="str">
        <f t="shared" si="62"/>
        <v>Bengali</v>
      </c>
      <c r="P997" t="str">
        <f t="shared" si="63"/>
        <v>Premium</v>
      </c>
    </row>
    <row r="998" spans="1:16" x14ac:dyDescent="0.3">
      <c r="A998" s="2" t="s">
        <v>1042</v>
      </c>
      <c r="B998" s="2" t="s">
        <v>61</v>
      </c>
      <c r="C998" s="3">
        <v>26</v>
      </c>
      <c r="D998" t="s">
        <v>18</v>
      </c>
      <c r="E998" s="2" t="s">
        <v>19</v>
      </c>
      <c r="F998" s="2" t="s">
        <v>38</v>
      </c>
      <c r="G998">
        <v>12</v>
      </c>
      <c r="H998" s="4">
        <v>44930</v>
      </c>
      <c r="I998" s="2" t="s">
        <v>39</v>
      </c>
      <c r="J998" s="2" t="s">
        <v>27</v>
      </c>
      <c r="M998" t="str">
        <f t="shared" si="60"/>
        <v>Female</v>
      </c>
      <c r="N998" t="str">
        <f t="shared" si="61"/>
        <v>Delhi</v>
      </c>
      <c r="O998" t="str">
        <f t="shared" si="62"/>
        <v>Tamil</v>
      </c>
      <c r="P998" t="str">
        <f t="shared" si="63"/>
        <v>Standard</v>
      </c>
    </row>
    <row r="999" spans="1:16" x14ac:dyDescent="0.3">
      <c r="A999" s="2" t="s">
        <v>1043</v>
      </c>
      <c r="B999" s="2" t="s">
        <v>24</v>
      </c>
      <c r="C999" s="3">
        <v>25</v>
      </c>
      <c r="D999" t="s">
        <v>18</v>
      </c>
      <c r="E999" s="2" t="s">
        <v>19</v>
      </c>
      <c r="F999" s="2" t="s">
        <v>64</v>
      </c>
      <c r="G999">
        <v>15</v>
      </c>
      <c r="H999" s="4">
        <v>44828</v>
      </c>
      <c r="I999" s="2" t="s">
        <v>39</v>
      </c>
      <c r="J999" s="2" t="s">
        <v>16</v>
      </c>
      <c r="M999" t="str">
        <f t="shared" si="60"/>
        <v>Female</v>
      </c>
      <c r="N999" t="str">
        <f t="shared" si="61"/>
        <v>Pune</v>
      </c>
      <c r="O999" t="str">
        <f t="shared" si="62"/>
        <v>Tamil</v>
      </c>
      <c r="P999" t="str">
        <f t="shared" si="63"/>
        <v>Basic</v>
      </c>
    </row>
    <row r="1000" spans="1:16" x14ac:dyDescent="0.3">
      <c r="A1000" s="2" t="s">
        <v>1044</v>
      </c>
      <c r="B1000" s="2" t="s">
        <v>11</v>
      </c>
      <c r="C1000" s="3">
        <v>27</v>
      </c>
      <c r="D1000" t="s">
        <v>18</v>
      </c>
      <c r="E1000" s="2" t="s">
        <v>13</v>
      </c>
      <c r="F1000" s="2" t="s">
        <v>56</v>
      </c>
      <c r="G1000">
        <v>44</v>
      </c>
      <c r="H1000" s="4">
        <v>43947</v>
      </c>
      <c r="I1000" s="2" t="s">
        <v>34</v>
      </c>
      <c r="J1000" s="2" t="s">
        <v>16</v>
      </c>
      <c r="M1000" t="str">
        <f t="shared" si="60"/>
        <v>Male</v>
      </c>
      <c r="N1000" t="str">
        <f t="shared" si="61"/>
        <v>Hyderabad</v>
      </c>
      <c r="O1000" t="str">
        <f t="shared" si="62"/>
        <v>Marathi</v>
      </c>
      <c r="P1000" t="str">
        <f t="shared" si="63"/>
        <v>Basic</v>
      </c>
    </row>
    <row r="1001" spans="1:16" x14ac:dyDescent="0.3">
      <c r="A1001" s="2" t="s">
        <v>1045</v>
      </c>
      <c r="B1001" s="2" t="s">
        <v>61</v>
      </c>
      <c r="C1001" s="3">
        <v>18</v>
      </c>
      <c r="D1001" t="s">
        <v>32</v>
      </c>
      <c r="E1001" s="2" t="s">
        <v>19</v>
      </c>
      <c r="F1001" s="2" t="s">
        <v>38</v>
      </c>
      <c r="G1001">
        <v>10</v>
      </c>
      <c r="H1001" s="4">
        <v>44988</v>
      </c>
      <c r="I1001" s="2" t="s">
        <v>29</v>
      </c>
      <c r="J1001" s="2" t="s">
        <v>27</v>
      </c>
      <c r="M1001" t="str">
        <f t="shared" si="60"/>
        <v>Female</v>
      </c>
      <c r="N1001" t="str">
        <f t="shared" si="61"/>
        <v>Delhi</v>
      </c>
      <c r="O1001" t="str">
        <f t="shared" si="62"/>
        <v>English</v>
      </c>
      <c r="P1001" t="str">
        <f t="shared" si="63"/>
        <v>Standard</v>
      </c>
    </row>
  </sheetData>
  <conditionalFormatting sqref="A1:J1001">
    <cfRule type="cellIs" dxfId="0" priority="1" operator="equal">
      <formula>"Female"</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9C22B-D391-4178-A7EE-F3D572E576C9}">
  <dimension ref="A1:ALX1001"/>
  <sheetViews>
    <sheetView topLeftCell="A10" zoomScale="83" workbookViewId="0">
      <selection activeCell="G3" sqref="G3"/>
    </sheetView>
  </sheetViews>
  <sheetFormatPr defaultRowHeight="14.4" x14ac:dyDescent="0.3"/>
  <cols>
    <col min="1" max="1" width="10.88671875" bestFit="1" customWidth="1"/>
    <col min="2" max="2" width="13.109375" bestFit="1" customWidth="1"/>
    <col min="3" max="3" width="9" bestFit="1" customWidth="1"/>
    <col min="6" max="6" width="11" bestFit="1" customWidth="1"/>
    <col min="7" max="7" width="18.21875" bestFit="1" customWidth="1"/>
    <col min="8" max="8" width="10.44140625" bestFit="1" customWidth="1"/>
    <col min="9" max="9" width="17.21875" bestFit="1" customWidth="1"/>
    <col min="10" max="10" width="14.88671875" bestFit="1" customWidth="1"/>
    <col min="11" max="11" width="10.33203125" bestFit="1" customWidth="1"/>
    <col min="12" max="12" width="18.33203125" bestFit="1" customWidth="1"/>
    <col min="13" max="13" width="13.109375" bestFit="1" customWidth="1"/>
    <col min="14" max="14" width="15" bestFit="1" customWidth="1"/>
    <col min="15" max="19" width="10.33203125" bestFit="1" customWidth="1"/>
    <col min="20" max="20" width="16.5546875" bestFit="1" customWidth="1"/>
    <col min="21" max="21" width="14.88671875" bestFit="1" customWidth="1"/>
  </cols>
  <sheetData>
    <row r="1" spans="1:1012" x14ac:dyDescent="0.3">
      <c r="A1" s="10" t="s">
        <v>0</v>
      </c>
      <c r="B1" s="10" t="s">
        <v>1</v>
      </c>
      <c r="C1" s="11" t="s">
        <v>2</v>
      </c>
      <c r="D1" s="12" t="s">
        <v>3</v>
      </c>
      <c r="E1" s="10" t="s">
        <v>4</v>
      </c>
      <c r="F1" s="10" t="s">
        <v>5</v>
      </c>
      <c r="G1" s="12" t="s">
        <v>6</v>
      </c>
      <c r="H1" s="13" t="s">
        <v>7</v>
      </c>
      <c r="I1" s="10" t="s">
        <v>8</v>
      </c>
      <c r="J1" s="10" t="s">
        <v>9</v>
      </c>
      <c r="L1" s="9" t="s">
        <v>1046</v>
      </c>
    </row>
    <row r="2" spans="1:1012" x14ac:dyDescent="0.3">
      <c r="A2" s="6" t="s">
        <v>10</v>
      </c>
      <c r="B2" s="6" t="s">
        <v>11</v>
      </c>
      <c r="C2" s="7">
        <v>36</v>
      </c>
      <c r="D2" s="5" t="s">
        <v>12</v>
      </c>
      <c r="E2" s="6" t="s">
        <v>13</v>
      </c>
      <c r="F2" s="6" t="s">
        <v>14</v>
      </c>
      <c r="G2" s="5">
        <v>17</v>
      </c>
      <c r="H2" s="8">
        <v>44761</v>
      </c>
      <c r="I2" s="6" t="s">
        <v>15</v>
      </c>
      <c r="J2" s="6" t="s">
        <v>16</v>
      </c>
      <c r="L2" s="10" t="s">
        <v>0</v>
      </c>
      <c r="M2" s="10" t="s">
        <v>1</v>
      </c>
      <c r="N2" s="11" t="s">
        <v>2</v>
      </c>
      <c r="O2" s="12" t="s">
        <v>3</v>
      </c>
      <c r="P2" s="10" t="s">
        <v>4</v>
      </c>
      <c r="Q2" s="10" t="s">
        <v>5</v>
      </c>
      <c r="R2" s="12" t="s">
        <v>6</v>
      </c>
      <c r="S2" s="13" t="s">
        <v>7</v>
      </c>
      <c r="T2" s="10" t="s">
        <v>8</v>
      </c>
      <c r="U2" s="10" t="s">
        <v>9</v>
      </c>
    </row>
    <row r="3" spans="1:1012" x14ac:dyDescent="0.3">
      <c r="A3" s="6" t="s">
        <v>17</v>
      </c>
      <c r="B3" s="6" t="s">
        <v>11</v>
      </c>
      <c r="C3" s="7">
        <v>26</v>
      </c>
      <c r="D3" s="5" t="s">
        <v>18</v>
      </c>
      <c r="E3" s="6" t="s">
        <v>19</v>
      </c>
      <c r="F3" s="6" t="s">
        <v>20</v>
      </c>
      <c r="G3" s="5">
        <v>31</v>
      </c>
      <c r="H3" s="8">
        <v>44343</v>
      </c>
      <c r="I3" s="6" t="s">
        <v>21</v>
      </c>
      <c r="J3" s="6" t="s">
        <v>22</v>
      </c>
      <c r="L3" s="6" t="s">
        <v>40</v>
      </c>
      <c r="M3" s="5" t="str" cm="1">
        <f t="array" ref="M3:U3">_xlfn.XLOOKUP(L3,A1:A1001,B1:J1001,"NOT FOUND",FALSE)</f>
        <v>JioHotstar</v>
      </c>
      <c r="N3" s="5">
        <v>18</v>
      </c>
      <c r="O3" s="5" t="str">
        <v>18-24</v>
      </c>
      <c r="P3" s="5" t="str">
        <v>Female</v>
      </c>
      <c r="Q3" s="5" t="str">
        <v>Kolkata</v>
      </c>
      <c r="R3" s="5">
        <v>53</v>
      </c>
      <c r="S3" s="5">
        <v>43688</v>
      </c>
      <c r="T3" s="5" t="str">
        <v>Marathi</v>
      </c>
      <c r="U3" s="5" t="str">
        <v>Basic</v>
      </c>
    </row>
    <row r="4" spans="1:1012" x14ac:dyDescent="0.3">
      <c r="A4" s="6" t="s">
        <v>23</v>
      </c>
      <c r="B4" s="6" t="s">
        <v>24</v>
      </c>
      <c r="C4" s="7">
        <v>27</v>
      </c>
      <c r="D4" s="5" t="s">
        <v>18</v>
      </c>
      <c r="E4" s="6" t="s">
        <v>13</v>
      </c>
      <c r="F4" s="6" t="s">
        <v>25</v>
      </c>
      <c r="G4" s="5">
        <v>50</v>
      </c>
      <c r="H4" s="8">
        <v>43768</v>
      </c>
      <c r="I4" s="6" t="s">
        <v>26</v>
      </c>
      <c r="J4" s="6" t="s">
        <v>27</v>
      </c>
    </row>
    <row r="5" spans="1:1012" x14ac:dyDescent="0.3">
      <c r="A5" s="6" t="s">
        <v>28</v>
      </c>
      <c r="B5" s="6" t="s">
        <v>24</v>
      </c>
      <c r="C5" s="7">
        <v>26</v>
      </c>
      <c r="D5" s="5" t="s">
        <v>18</v>
      </c>
      <c r="E5" s="6" t="s">
        <v>13</v>
      </c>
      <c r="F5" s="6" t="s">
        <v>20</v>
      </c>
      <c r="G5" s="5">
        <v>60</v>
      </c>
      <c r="H5" s="8">
        <v>43488</v>
      </c>
      <c r="I5" s="6" t="s">
        <v>29</v>
      </c>
      <c r="J5" s="6" t="s">
        <v>27</v>
      </c>
      <c r="L5" s="9" t="s">
        <v>1047</v>
      </c>
    </row>
    <row r="6" spans="1:1012" x14ac:dyDescent="0.3">
      <c r="A6" s="6" t="s">
        <v>30</v>
      </c>
      <c r="B6" s="6" t="s">
        <v>31</v>
      </c>
      <c r="C6" s="7">
        <v>20</v>
      </c>
      <c r="D6" s="5" t="s">
        <v>32</v>
      </c>
      <c r="E6" s="6" t="s">
        <v>13</v>
      </c>
      <c r="F6" s="6" t="s">
        <v>33</v>
      </c>
      <c r="G6" s="5">
        <v>15</v>
      </c>
      <c r="H6" s="8">
        <v>44813</v>
      </c>
      <c r="I6" s="6" t="s">
        <v>34</v>
      </c>
      <c r="J6" s="6" t="s">
        <v>22</v>
      </c>
      <c r="L6" s="10" t="s">
        <v>0</v>
      </c>
      <c r="M6" s="10" t="s">
        <v>1</v>
      </c>
      <c r="N6" s="11" t="s">
        <v>9</v>
      </c>
    </row>
    <row r="7" spans="1:1012" x14ac:dyDescent="0.3">
      <c r="A7" s="6" t="s">
        <v>35</v>
      </c>
      <c r="B7" s="6" t="s">
        <v>31</v>
      </c>
      <c r="C7" s="7">
        <v>28</v>
      </c>
      <c r="D7" s="5" t="s">
        <v>18</v>
      </c>
      <c r="E7" s="6" t="s">
        <v>13</v>
      </c>
      <c r="F7" s="6" t="s">
        <v>36</v>
      </c>
      <c r="G7" s="5">
        <v>10</v>
      </c>
      <c r="H7" s="8">
        <v>44970</v>
      </c>
      <c r="I7" s="6" t="s">
        <v>21</v>
      </c>
      <c r="J7" s="6" t="s">
        <v>16</v>
      </c>
      <c r="L7" s="6" t="s">
        <v>41</v>
      </c>
      <c r="M7" s="5" t="str">
        <f>VLOOKUP(L7,A1:J1001,2,FALSE)</f>
        <v>SonyLiv</v>
      </c>
      <c r="N7" s="5" t="str">
        <f>VLOOKUP(L7,A1:J1001,10,FALSE)</f>
        <v>Premium</v>
      </c>
    </row>
    <row r="8" spans="1:1012" x14ac:dyDescent="0.3">
      <c r="A8" s="6" t="s">
        <v>37</v>
      </c>
      <c r="B8" s="6" t="s">
        <v>31</v>
      </c>
      <c r="C8" s="7">
        <v>32</v>
      </c>
      <c r="D8" s="5" t="s">
        <v>18</v>
      </c>
      <c r="E8" s="6" t="s">
        <v>13</v>
      </c>
      <c r="F8" s="6" t="s">
        <v>38</v>
      </c>
      <c r="G8" s="5">
        <v>11</v>
      </c>
      <c r="H8" s="8">
        <v>44949</v>
      </c>
      <c r="I8" s="6" t="s">
        <v>39</v>
      </c>
      <c r="J8" s="6" t="s">
        <v>22</v>
      </c>
    </row>
    <row r="9" spans="1:1012" x14ac:dyDescent="0.3">
      <c r="A9" s="6" t="s">
        <v>40</v>
      </c>
      <c r="B9" s="6" t="s">
        <v>11</v>
      </c>
      <c r="C9" s="7">
        <v>18</v>
      </c>
      <c r="D9" s="5" t="s">
        <v>32</v>
      </c>
      <c r="E9" s="6" t="s">
        <v>19</v>
      </c>
      <c r="F9" s="6" t="s">
        <v>14</v>
      </c>
      <c r="G9" s="5">
        <v>53</v>
      </c>
      <c r="H9" s="8">
        <v>43688</v>
      </c>
      <c r="I9" s="6" t="s">
        <v>34</v>
      </c>
      <c r="J9" s="6" t="s">
        <v>16</v>
      </c>
      <c r="L9" s="9" t="s">
        <v>1048</v>
      </c>
    </row>
    <row r="10" spans="1:1012" x14ac:dyDescent="0.3">
      <c r="A10" s="6" t="s">
        <v>41</v>
      </c>
      <c r="B10" s="6" t="s">
        <v>42</v>
      </c>
      <c r="C10" s="7">
        <v>27</v>
      </c>
      <c r="D10" s="5" t="s">
        <v>18</v>
      </c>
      <c r="E10" s="6" t="s">
        <v>19</v>
      </c>
      <c r="F10" s="6" t="s">
        <v>20</v>
      </c>
      <c r="G10" s="5">
        <v>11</v>
      </c>
      <c r="H10" s="8">
        <v>44949</v>
      </c>
      <c r="I10" s="6" t="s">
        <v>34</v>
      </c>
      <c r="J10" s="6" t="s">
        <v>22</v>
      </c>
      <c r="L10" s="14" t="s">
        <v>0</v>
      </c>
      <c r="M10" s="6" t="s">
        <v>10</v>
      </c>
      <c r="N10" s="6" t="s">
        <v>17</v>
      </c>
      <c r="O10" s="6" t="s">
        <v>23</v>
      </c>
      <c r="P10" s="6" t="s">
        <v>28</v>
      </c>
      <c r="Q10" s="6" t="s">
        <v>30</v>
      </c>
      <c r="R10" s="6" t="s">
        <v>35</v>
      </c>
      <c r="S10" s="6" t="s">
        <v>37</v>
      </c>
      <c r="T10" s="6" t="s">
        <v>40</v>
      </c>
      <c r="U10" s="6" t="s">
        <v>41</v>
      </c>
      <c r="V10" s="6" t="s">
        <v>43</v>
      </c>
      <c r="W10" s="6" t="s">
        <v>44</v>
      </c>
      <c r="X10" s="6" t="s">
        <v>45</v>
      </c>
      <c r="Y10" s="6" t="s">
        <v>48</v>
      </c>
      <c r="Z10" s="6" t="s">
        <v>50</v>
      </c>
      <c r="AA10" s="6" t="s">
        <v>51</v>
      </c>
      <c r="AB10" s="6" t="s">
        <v>52</v>
      </c>
      <c r="AC10" s="6" t="s">
        <v>53</v>
      </c>
      <c r="AD10" s="6" t="s">
        <v>55</v>
      </c>
      <c r="AE10" s="6" t="s">
        <v>57</v>
      </c>
      <c r="AF10" s="6" t="s">
        <v>58</v>
      </c>
      <c r="AG10" s="6" t="s">
        <v>59</v>
      </c>
      <c r="AH10" s="6" t="s">
        <v>60</v>
      </c>
      <c r="AI10" s="6" t="s">
        <v>63</v>
      </c>
      <c r="AJ10" s="6" t="s">
        <v>66</v>
      </c>
      <c r="AK10" s="6" t="s">
        <v>67</v>
      </c>
      <c r="AL10" s="6" t="s">
        <v>68</v>
      </c>
      <c r="AM10" s="6" t="s">
        <v>69</v>
      </c>
      <c r="AN10" s="6" t="s">
        <v>70</v>
      </c>
      <c r="AO10" s="6" t="s">
        <v>71</v>
      </c>
      <c r="AP10" s="6" t="s">
        <v>72</v>
      </c>
      <c r="AQ10" s="6" t="s">
        <v>73</v>
      </c>
      <c r="AR10" s="6" t="s">
        <v>74</v>
      </c>
      <c r="AS10" s="6" t="s">
        <v>75</v>
      </c>
      <c r="AT10" s="6" t="s">
        <v>76</v>
      </c>
      <c r="AU10" s="6" t="s">
        <v>77</v>
      </c>
      <c r="AV10" s="6" t="s">
        <v>78</v>
      </c>
      <c r="AW10" s="6" t="s">
        <v>79</v>
      </c>
      <c r="AX10" s="6" t="s">
        <v>80</v>
      </c>
      <c r="AY10" s="6" t="s">
        <v>81</v>
      </c>
      <c r="AZ10" s="6" t="s">
        <v>82</v>
      </c>
      <c r="BA10" s="6" t="s">
        <v>83</v>
      </c>
      <c r="BB10" s="6" t="s">
        <v>84</v>
      </c>
      <c r="BC10" s="6" t="s">
        <v>85</v>
      </c>
      <c r="BD10" s="6" t="s">
        <v>86</v>
      </c>
      <c r="BE10" s="6" t="s">
        <v>87</v>
      </c>
      <c r="BF10" s="6" t="s">
        <v>89</v>
      </c>
      <c r="BG10" s="6" t="s">
        <v>90</v>
      </c>
      <c r="BH10" s="6" t="s">
        <v>91</v>
      </c>
      <c r="BI10" s="6" t="s">
        <v>92</v>
      </c>
      <c r="BJ10" s="6" t="s">
        <v>93</v>
      </c>
      <c r="BK10" s="6" t="s">
        <v>94</v>
      </c>
      <c r="BL10" s="6" t="s">
        <v>95</v>
      </c>
      <c r="BM10" s="6" t="s">
        <v>96</v>
      </c>
      <c r="BN10" s="6" t="s">
        <v>97</v>
      </c>
      <c r="BO10" s="6" t="s">
        <v>98</v>
      </c>
      <c r="BP10" s="6" t="s">
        <v>99</v>
      </c>
      <c r="BQ10" s="6" t="s">
        <v>100</v>
      </c>
      <c r="BR10" s="6" t="s">
        <v>101</v>
      </c>
      <c r="BS10" s="6" t="s">
        <v>102</v>
      </c>
      <c r="BT10" s="6" t="s">
        <v>103</v>
      </c>
      <c r="BU10" s="6" t="s">
        <v>104</v>
      </c>
      <c r="BV10" s="6" t="s">
        <v>106</v>
      </c>
      <c r="BW10" s="6" t="s">
        <v>107</v>
      </c>
      <c r="BX10" s="6" t="s">
        <v>108</v>
      </c>
      <c r="BY10" s="6" t="s">
        <v>109</v>
      </c>
      <c r="BZ10" s="6" t="s">
        <v>110</v>
      </c>
      <c r="CA10" s="6" t="s">
        <v>111</v>
      </c>
      <c r="CB10" s="6" t="s">
        <v>112</v>
      </c>
      <c r="CC10" s="6" t="s">
        <v>113</v>
      </c>
      <c r="CD10" s="6" t="s">
        <v>114</v>
      </c>
      <c r="CE10" s="6" t="s">
        <v>115</v>
      </c>
      <c r="CF10" s="6" t="s">
        <v>116</v>
      </c>
      <c r="CG10" s="6" t="s">
        <v>117</v>
      </c>
      <c r="CH10" s="6" t="s">
        <v>118</v>
      </c>
      <c r="CI10" s="6" t="s">
        <v>119</v>
      </c>
      <c r="CJ10" s="6" t="s">
        <v>120</v>
      </c>
      <c r="CK10" s="6" t="s">
        <v>121</v>
      </c>
      <c r="CL10" s="6" t="s">
        <v>122</v>
      </c>
      <c r="CM10" s="6" t="s">
        <v>123</v>
      </c>
      <c r="CN10" s="6" t="s">
        <v>124</v>
      </c>
      <c r="CO10" s="6" t="s">
        <v>125</v>
      </c>
      <c r="CP10" s="6" t="s">
        <v>126</v>
      </c>
      <c r="CQ10" s="6" t="s">
        <v>127</v>
      </c>
      <c r="CR10" s="6" t="s">
        <v>128</v>
      </c>
      <c r="CS10" s="6" t="s">
        <v>129</v>
      </c>
      <c r="CT10" s="6" t="s">
        <v>130</v>
      </c>
      <c r="CU10" s="6" t="s">
        <v>131</v>
      </c>
      <c r="CV10" s="6" t="s">
        <v>132</v>
      </c>
      <c r="CW10" s="6" t="s">
        <v>133</v>
      </c>
      <c r="CX10" s="6" t="s">
        <v>134</v>
      </c>
      <c r="CY10" s="6" t="s">
        <v>135</v>
      </c>
      <c r="CZ10" s="6" t="s">
        <v>136</v>
      </c>
      <c r="DA10" s="6" t="s">
        <v>137</v>
      </c>
      <c r="DB10" s="6" t="s">
        <v>138</v>
      </c>
      <c r="DC10" s="6" t="s">
        <v>139</v>
      </c>
      <c r="DD10" s="6" t="s">
        <v>140</v>
      </c>
      <c r="DE10" s="6" t="s">
        <v>141</v>
      </c>
      <c r="DF10" s="6" t="s">
        <v>142</v>
      </c>
      <c r="DG10" s="6" t="s">
        <v>143</v>
      </c>
      <c r="DH10" s="6" t="s">
        <v>144</v>
      </c>
      <c r="DI10" s="6" t="s">
        <v>145</v>
      </c>
      <c r="DJ10" s="6" t="s">
        <v>146</v>
      </c>
      <c r="DK10" s="6" t="s">
        <v>147</v>
      </c>
      <c r="DL10" s="6" t="s">
        <v>148</v>
      </c>
      <c r="DM10" s="6" t="s">
        <v>149</v>
      </c>
      <c r="DN10" s="6" t="s">
        <v>150</v>
      </c>
      <c r="DO10" s="6" t="s">
        <v>151</v>
      </c>
      <c r="DP10" s="6" t="s">
        <v>152</v>
      </c>
      <c r="DQ10" s="6" t="s">
        <v>153</v>
      </c>
      <c r="DR10" s="6" t="s">
        <v>154</v>
      </c>
      <c r="DS10" s="6" t="s">
        <v>155</v>
      </c>
      <c r="DT10" s="6" t="s">
        <v>156</v>
      </c>
      <c r="DU10" s="6" t="s">
        <v>157</v>
      </c>
      <c r="DV10" s="6" t="s">
        <v>158</v>
      </c>
      <c r="DW10" s="6" t="s">
        <v>159</v>
      </c>
      <c r="DX10" s="6" t="s">
        <v>160</v>
      </c>
      <c r="DY10" s="6" t="s">
        <v>161</v>
      </c>
      <c r="DZ10" s="6" t="s">
        <v>162</v>
      </c>
      <c r="EA10" s="6" t="s">
        <v>163</v>
      </c>
      <c r="EB10" s="6" t="s">
        <v>164</v>
      </c>
      <c r="EC10" s="6" t="s">
        <v>165</v>
      </c>
      <c r="ED10" s="6" t="s">
        <v>166</v>
      </c>
      <c r="EE10" s="6" t="s">
        <v>167</v>
      </c>
      <c r="EF10" s="6" t="s">
        <v>168</v>
      </c>
      <c r="EG10" s="6" t="s">
        <v>169</v>
      </c>
      <c r="EH10" s="6" t="s">
        <v>170</v>
      </c>
      <c r="EI10" s="6" t="s">
        <v>171</v>
      </c>
      <c r="EJ10" s="6" t="s">
        <v>172</v>
      </c>
      <c r="EK10" s="6" t="s">
        <v>173</v>
      </c>
      <c r="EL10" s="6" t="s">
        <v>174</v>
      </c>
      <c r="EM10" s="6" t="s">
        <v>175</v>
      </c>
      <c r="EN10" s="6" t="s">
        <v>176</v>
      </c>
      <c r="EO10" s="6" t="s">
        <v>177</v>
      </c>
      <c r="EP10" s="6" t="s">
        <v>178</v>
      </c>
      <c r="EQ10" s="6" t="s">
        <v>179</v>
      </c>
      <c r="ER10" s="6" t="s">
        <v>180</v>
      </c>
      <c r="ES10" s="6" t="s">
        <v>181</v>
      </c>
      <c r="ET10" s="6" t="s">
        <v>182</v>
      </c>
      <c r="EU10" s="6" t="s">
        <v>183</v>
      </c>
      <c r="EV10" s="6" t="s">
        <v>184</v>
      </c>
      <c r="EW10" s="6" t="s">
        <v>185</v>
      </c>
      <c r="EX10" s="6" t="s">
        <v>186</v>
      </c>
      <c r="EY10" s="6" t="s">
        <v>187</v>
      </c>
      <c r="EZ10" s="6" t="s">
        <v>188</v>
      </c>
      <c r="FA10" s="6" t="s">
        <v>189</v>
      </c>
      <c r="FB10" s="6" t="s">
        <v>190</v>
      </c>
      <c r="FC10" s="6" t="s">
        <v>191</v>
      </c>
      <c r="FD10" s="6" t="s">
        <v>192</v>
      </c>
      <c r="FE10" s="6" t="s">
        <v>193</v>
      </c>
      <c r="FF10" s="6" t="s">
        <v>194</v>
      </c>
      <c r="FG10" s="6" t="s">
        <v>195</v>
      </c>
      <c r="FH10" s="6" t="s">
        <v>196</v>
      </c>
      <c r="FI10" s="6" t="s">
        <v>197</v>
      </c>
      <c r="FJ10" s="6" t="s">
        <v>198</v>
      </c>
      <c r="FK10" s="6" t="s">
        <v>199</v>
      </c>
      <c r="FL10" s="6" t="s">
        <v>200</v>
      </c>
      <c r="FM10" s="6" t="s">
        <v>202</v>
      </c>
      <c r="FN10" s="6" t="s">
        <v>203</v>
      </c>
      <c r="FO10" s="6" t="s">
        <v>204</v>
      </c>
      <c r="FP10" s="6" t="s">
        <v>205</v>
      </c>
      <c r="FQ10" s="6" t="s">
        <v>206</v>
      </c>
      <c r="FR10" s="6" t="s">
        <v>207</v>
      </c>
      <c r="FS10" s="6" t="s">
        <v>208</v>
      </c>
      <c r="FT10" s="6" t="s">
        <v>209</v>
      </c>
      <c r="FU10" s="6" t="s">
        <v>210</v>
      </c>
      <c r="FV10" s="6" t="s">
        <v>211</v>
      </c>
      <c r="FW10" s="6" t="s">
        <v>212</v>
      </c>
      <c r="FX10" s="6" t="s">
        <v>213</v>
      </c>
      <c r="FY10" s="6" t="s">
        <v>214</v>
      </c>
      <c r="FZ10" s="6" t="s">
        <v>215</v>
      </c>
      <c r="GA10" s="6" t="s">
        <v>216</v>
      </c>
      <c r="GB10" s="6" t="s">
        <v>217</v>
      </c>
      <c r="GC10" s="6" t="s">
        <v>218</v>
      </c>
      <c r="GD10" s="6" t="s">
        <v>219</v>
      </c>
      <c r="GE10" s="6" t="s">
        <v>220</v>
      </c>
      <c r="GF10" s="6" t="s">
        <v>221</v>
      </c>
      <c r="GG10" s="6" t="s">
        <v>222</v>
      </c>
      <c r="GH10" s="6" t="s">
        <v>223</v>
      </c>
      <c r="GI10" s="6" t="s">
        <v>224</v>
      </c>
      <c r="GJ10" s="6" t="s">
        <v>225</v>
      </c>
      <c r="GK10" s="6" t="s">
        <v>226</v>
      </c>
      <c r="GL10" s="6" t="s">
        <v>227</v>
      </c>
      <c r="GM10" s="6" t="s">
        <v>228</v>
      </c>
      <c r="GN10" s="6" t="s">
        <v>229</v>
      </c>
      <c r="GO10" s="6" t="s">
        <v>230</v>
      </c>
      <c r="GP10" s="6" t="s">
        <v>231</v>
      </c>
      <c r="GQ10" s="6" t="s">
        <v>232</v>
      </c>
      <c r="GR10" s="6" t="s">
        <v>233</v>
      </c>
      <c r="GS10" s="6" t="s">
        <v>234</v>
      </c>
      <c r="GT10" s="6" t="s">
        <v>235</v>
      </c>
      <c r="GU10" s="6" t="s">
        <v>236</v>
      </c>
      <c r="GV10" s="6" t="s">
        <v>237</v>
      </c>
      <c r="GW10" s="6" t="s">
        <v>238</v>
      </c>
      <c r="GX10" s="6" t="s">
        <v>239</v>
      </c>
      <c r="GY10" s="6" t="s">
        <v>240</v>
      </c>
      <c r="GZ10" s="6" t="s">
        <v>241</v>
      </c>
      <c r="HA10" s="6" t="s">
        <v>242</v>
      </c>
      <c r="HB10" s="6" t="s">
        <v>243</v>
      </c>
      <c r="HC10" s="6" t="s">
        <v>244</v>
      </c>
      <c r="HD10" s="6" t="s">
        <v>245</v>
      </c>
      <c r="HE10" s="6" t="s">
        <v>246</v>
      </c>
      <c r="HF10" s="6" t="s">
        <v>247</v>
      </c>
      <c r="HG10" s="6" t="s">
        <v>248</v>
      </c>
      <c r="HH10" s="6" t="s">
        <v>249</v>
      </c>
      <c r="HI10" s="6" t="s">
        <v>250</v>
      </c>
      <c r="HJ10" s="6" t="s">
        <v>251</v>
      </c>
      <c r="HK10" s="6" t="s">
        <v>252</v>
      </c>
      <c r="HL10" s="6" t="s">
        <v>253</v>
      </c>
      <c r="HM10" s="6" t="s">
        <v>254</v>
      </c>
      <c r="HN10" s="6" t="s">
        <v>255</v>
      </c>
      <c r="HO10" s="6" t="s">
        <v>256</v>
      </c>
      <c r="HP10" s="6" t="s">
        <v>257</v>
      </c>
      <c r="HQ10" s="6" t="s">
        <v>258</v>
      </c>
      <c r="HR10" s="6" t="s">
        <v>259</v>
      </c>
      <c r="HS10" s="6" t="s">
        <v>260</v>
      </c>
      <c r="HT10" s="6" t="s">
        <v>261</v>
      </c>
      <c r="HU10" s="6" t="s">
        <v>262</v>
      </c>
      <c r="HV10" s="6" t="s">
        <v>263</v>
      </c>
      <c r="HW10" s="6" t="s">
        <v>264</v>
      </c>
      <c r="HX10" s="6" t="s">
        <v>265</v>
      </c>
      <c r="HY10" s="6" t="s">
        <v>266</v>
      </c>
      <c r="HZ10" s="6" t="s">
        <v>267</v>
      </c>
      <c r="IA10" s="6" t="s">
        <v>268</v>
      </c>
      <c r="IB10" s="6" t="s">
        <v>269</v>
      </c>
      <c r="IC10" s="6" t="s">
        <v>270</v>
      </c>
      <c r="ID10" s="6" t="s">
        <v>271</v>
      </c>
      <c r="IE10" s="6" t="s">
        <v>272</v>
      </c>
      <c r="IF10" s="6" t="s">
        <v>273</v>
      </c>
      <c r="IG10" s="6" t="s">
        <v>274</v>
      </c>
      <c r="IH10" s="6" t="s">
        <v>275</v>
      </c>
      <c r="II10" s="6" t="s">
        <v>276</v>
      </c>
      <c r="IJ10" s="6" t="s">
        <v>277</v>
      </c>
      <c r="IK10" s="6" t="s">
        <v>278</v>
      </c>
      <c r="IL10" s="6" t="s">
        <v>279</v>
      </c>
      <c r="IM10" s="6" t="s">
        <v>280</v>
      </c>
      <c r="IN10" s="6" t="s">
        <v>281</v>
      </c>
      <c r="IO10" s="6" t="s">
        <v>282</v>
      </c>
      <c r="IP10" s="6" t="s">
        <v>283</v>
      </c>
      <c r="IQ10" s="6" t="s">
        <v>284</v>
      </c>
      <c r="IR10" s="6" t="s">
        <v>285</v>
      </c>
      <c r="IS10" s="6" t="s">
        <v>286</v>
      </c>
      <c r="IT10" s="6" t="s">
        <v>287</v>
      </c>
      <c r="IU10" s="6" t="s">
        <v>288</v>
      </c>
      <c r="IV10" s="6" t="s">
        <v>289</v>
      </c>
      <c r="IW10" s="6" t="s">
        <v>290</v>
      </c>
      <c r="IX10" s="6" t="s">
        <v>291</v>
      </c>
      <c r="IY10" s="6" t="s">
        <v>292</v>
      </c>
      <c r="IZ10" s="6" t="s">
        <v>293</v>
      </c>
      <c r="JA10" s="6" t="s">
        <v>294</v>
      </c>
      <c r="JB10" s="6" t="s">
        <v>295</v>
      </c>
      <c r="JC10" s="6" t="s">
        <v>296</v>
      </c>
      <c r="JD10" s="6" t="s">
        <v>297</v>
      </c>
      <c r="JE10" s="6" t="s">
        <v>298</v>
      </c>
      <c r="JF10" s="6" t="s">
        <v>299</v>
      </c>
      <c r="JG10" s="6" t="s">
        <v>300</v>
      </c>
      <c r="JH10" s="6" t="s">
        <v>301</v>
      </c>
      <c r="JI10" s="6" t="s">
        <v>302</v>
      </c>
      <c r="JJ10" s="6" t="s">
        <v>303</v>
      </c>
      <c r="JK10" s="6" t="s">
        <v>304</v>
      </c>
      <c r="JL10" s="6" t="s">
        <v>305</v>
      </c>
      <c r="JM10" s="6" t="s">
        <v>306</v>
      </c>
      <c r="JN10" s="6" t="s">
        <v>307</v>
      </c>
      <c r="JO10" s="6" t="s">
        <v>308</v>
      </c>
      <c r="JP10" s="6" t="s">
        <v>309</v>
      </c>
      <c r="JQ10" s="6" t="s">
        <v>310</v>
      </c>
      <c r="JR10" s="6" t="s">
        <v>311</v>
      </c>
      <c r="JS10" s="6" t="s">
        <v>312</v>
      </c>
      <c r="JT10" s="6" t="s">
        <v>313</v>
      </c>
      <c r="JU10" s="6" t="s">
        <v>314</v>
      </c>
      <c r="JV10" s="6" t="s">
        <v>315</v>
      </c>
      <c r="JW10" s="6" t="s">
        <v>316</v>
      </c>
      <c r="JX10" s="6" t="s">
        <v>317</v>
      </c>
      <c r="JY10" s="6" t="s">
        <v>318</v>
      </c>
      <c r="JZ10" s="6" t="s">
        <v>319</v>
      </c>
      <c r="KA10" s="6" t="s">
        <v>320</v>
      </c>
      <c r="KB10" s="6" t="s">
        <v>321</v>
      </c>
      <c r="KC10" s="6" t="s">
        <v>322</v>
      </c>
      <c r="KD10" s="6" t="s">
        <v>323</v>
      </c>
      <c r="KE10" s="6" t="s">
        <v>324</v>
      </c>
      <c r="KF10" s="6" t="s">
        <v>325</v>
      </c>
      <c r="KG10" s="6" t="s">
        <v>326</v>
      </c>
      <c r="KH10" s="6" t="s">
        <v>327</v>
      </c>
      <c r="KI10" s="6" t="s">
        <v>328</v>
      </c>
      <c r="KJ10" s="6" t="s">
        <v>329</v>
      </c>
      <c r="KK10" s="6" t="s">
        <v>330</v>
      </c>
      <c r="KL10" s="6" t="s">
        <v>331</v>
      </c>
      <c r="KM10" s="6" t="s">
        <v>332</v>
      </c>
      <c r="KN10" s="6" t="s">
        <v>333</v>
      </c>
      <c r="KO10" s="6" t="s">
        <v>334</v>
      </c>
      <c r="KP10" s="6" t="s">
        <v>335</v>
      </c>
      <c r="KQ10" s="6" t="s">
        <v>336</v>
      </c>
      <c r="KR10" s="6" t="s">
        <v>337</v>
      </c>
      <c r="KS10" s="6" t="s">
        <v>338</v>
      </c>
      <c r="KT10" s="6" t="s">
        <v>339</v>
      </c>
      <c r="KU10" s="6" t="s">
        <v>340</v>
      </c>
      <c r="KV10" s="6" t="s">
        <v>341</v>
      </c>
      <c r="KW10" s="6" t="s">
        <v>342</v>
      </c>
      <c r="KX10" s="6" t="s">
        <v>343</v>
      </c>
      <c r="KY10" s="6" t="s">
        <v>344</v>
      </c>
      <c r="KZ10" s="6" t="s">
        <v>345</v>
      </c>
      <c r="LA10" s="6" t="s">
        <v>346</v>
      </c>
      <c r="LB10" s="6" t="s">
        <v>347</v>
      </c>
      <c r="LC10" s="6" t="s">
        <v>348</v>
      </c>
      <c r="LD10" s="6" t="s">
        <v>349</v>
      </c>
      <c r="LE10" s="6" t="s">
        <v>350</v>
      </c>
      <c r="LF10" s="6" t="s">
        <v>351</v>
      </c>
      <c r="LG10" s="6" t="s">
        <v>352</v>
      </c>
      <c r="LH10" s="6" t="s">
        <v>353</v>
      </c>
      <c r="LI10" s="6" t="s">
        <v>354</v>
      </c>
      <c r="LJ10" s="6" t="s">
        <v>355</v>
      </c>
      <c r="LK10" s="6" t="s">
        <v>356</v>
      </c>
      <c r="LL10" s="6" t="s">
        <v>357</v>
      </c>
      <c r="LM10" s="6" t="s">
        <v>358</v>
      </c>
      <c r="LN10" s="6" t="s">
        <v>359</v>
      </c>
      <c r="LO10" s="6" t="s">
        <v>360</v>
      </c>
      <c r="LP10" s="6" t="s">
        <v>361</v>
      </c>
      <c r="LQ10" s="6" t="s">
        <v>362</v>
      </c>
      <c r="LR10" s="6" t="s">
        <v>363</v>
      </c>
      <c r="LS10" s="6" t="s">
        <v>364</v>
      </c>
      <c r="LT10" s="6" t="s">
        <v>365</v>
      </c>
      <c r="LU10" s="6" t="s">
        <v>366</v>
      </c>
      <c r="LV10" s="6" t="s">
        <v>367</v>
      </c>
      <c r="LW10" s="6" t="s">
        <v>368</v>
      </c>
      <c r="LX10" s="6" t="s">
        <v>369</v>
      </c>
      <c r="LY10" s="6" t="s">
        <v>370</v>
      </c>
      <c r="LZ10" s="6" t="s">
        <v>371</v>
      </c>
      <c r="MA10" s="6" t="s">
        <v>372</v>
      </c>
      <c r="MB10" s="6" t="s">
        <v>373</v>
      </c>
      <c r="MC10" s="6" t="s">
        <v>374</v>
      </c>
      <c r="MD10" s="6" t="s">
        <v>375</v>
      </c>
      <c r="ME10" s="6" t="s">
        <v>376</v>
      </c>
      <c r="MF10" s="6" t="s">
        <v>377</v>
      </c>
      <c r="MG10" s="6" t="s">
        <v>378</v>
      </c>
      <c r="MH10" s="6" t="s">
        <v>379</v>
      </c>
      <c r="MI10" s="6" t="s">
        <v>380</v>
      </c>
      <c r="MJ10" s="6" t="s">
        <v>381</v>
      </c>
      <c r="MK10" s="6" t="s">
        <v>382</v>
      </c>
      <c r="ML10" s="6" t="s">
        <v>383</v>
      </c>
      <c r="MM10" s="6" t="s">
        <v>384</v>
      </c>
      <c r="MN10" s="6" t="s">
        <v>385</v>
      </c>
      <c r="MO10" s="6" t="s">
        <v>386</v>
      </c>
      <c r="MP10" s="6" t="s">
        <v>387</v>
      </c>
      <c r="MQ10" s="6" t="s">
        <v>388</v>
      </c>
      <c r="MR10" s="6" t="s">
        <v>389</v>
      </c>
      <c r="MS10" s="6" t="s">
        <v>390</v>
      </c>
      <c r="MT10" s="6" t="s">
        <v>391</v>
      </c>
      <c r="MU10" s="6" t="s">
        <v>392</v>
      </c>
      <c r="MV10" s="6" t="s">
        <v>393</v>
      </c>
      <c r="MW10" s="6" t="s">
        <v>394</v>
      </c>
      <c r="MX10" s="6" t="s">
        <v>395</v>
      </c>
      <c r="MY10" s="6" t="s">
        <v>396</v>
      </c>
      <c r="MZ10" s="6" t="s">
        <v>397</v>
      </c>
      <c r="NA10" s="6" t="s">
        <v>398</v>
      </c>
      <c r="NB10" s="6" t="s">
        <v>399</v>
      </c>
      <c r="NC10" s="6" t="s">
        <v>400</v>
      </c>
      <c r="ND10" s="6" t="s">
        <v>401</v>
      </c>
      <c r="NE10" s="6" t="s">
        <v>402</v>
      </c>
      <c r="NF10" s="6" t="s">
        <v>403</v>
      </c>
      <c r="NG10" s="6" t="s">
        <v>404</v>
      </c>
      <c r="NH10" s="6" t="s">
        <v>405</v>
      </c>
      <c r="NI10" s="6" t="s">
        <v>406</v>
      </c>
      <c r="NJ10" s="6" t="s">
        <v>407</v>
      </c>
      <c r="NK10" s="6" t="s">
        <v>408</v>
      </c>
      <c r="NL10" s="6" t="s">
        <v>409</v>
      </c>
      <c r="NM10" s="6" t="s">
        <v>410</v>
      </c>
      <c r="NN10" s="6" t="s">
        <v>411</v>
      </c>
      <c r="NO10" s="6" t="s">
        <v>412</v>
      </c>
      <c r="NP10" s="6" t="s">
        <v>413</v>
      </c>
      <c r="NQ10" s="6" t="s">
        <v>414</v>
      </c>
      <c r="NR10" s="6" t="s">
        <v>415</v>
      </c>
      <c r="NS10" s="6" t="s">
        <v>416</v>
      </c>
      <c r="NT10" s="6" t="s">
        <v>417</v>
      </c>
      <c r="NU10" s="6" t="s">
        <v>418</v>
      </c>
      <c r="NV10" s="6" t="s">
        <v>419</v>
      </c>
      <c r="NW10" s="6" t="s">
        <v>420</v>
      </c>
      <c r="NX10" s="6" t="s">
        <v>421</v>
      </c>
      <c r="NY10" s="6" t="s">
        <v>422</v>
      </c>
      <c r="NZ10" s="6" t="s">
        <v>423</v>
      </c>
      <c r="OA10" s="6" t="s">
        <v>424</v>
      </c>
      <c r="OB10" s="6" t="s">
        <v>425</v>
      </c>
      <c r="OC10" s="6" t="s">
        <v>426</v>
      </c>
      <c r="OD10" s="6" t="s">
        <v>427</v>
      </c>
      <c r="OE10" s="6" t="s">
        <v>428</v>
      </c>
      <c r="OF10" s="6" t="s">
        <v>429</v>
      </c>
      <c r="OG10" s="6" t="s">
        <v>430</v>
      </c>
      <c r="OH10" s="6" t="s">
        <v>431</v>
      </c>
      <c r="OI10" s="6" t="s">
        <v>432</v>
      </c>
      <c r="OJ10" s="6" t="s">
        <v>433</v>
      </c>
      <c r="OK10" s="6" t="s">
        <v>434</v>
      </c>
      <c r="OL10" s="6" t="s">
        <v>435</v>
      </c>
      <c r="OM10" s="6" t="s">
        <v>436</v>
      </c>
      <c r="ON10" s="6" t="s">
        <v>437</v>
      </c>
      <c r="OO10" s="6" t="s">
        <v>438</v>
      </c>
      <c r="OP10" s="6" t="s">
        <v>439</v>
      </c>
      <c r="OQ10" s="6" t="s">
        <v>440</v>
      </c>
      <c r="OR10" s="6" t="s">
        <v>441</v>
      </c>
      <c r="OS10" s="6" t="s">
        <v>442</v>
      </c>
      <c r="OT10" s="6" t="s">
        <v>443</v>
      </c>
      <c r="OU10" s="6" t="s">
        <v>444</v>
      </c>
      <c r="OV10" s="6" t="s">
        <v>445</v>
      </c>
      <c r="OW10" s="6" t="s">
        <v>446</v>
      </c>
      <c r="OX10" s="6" t="s">
        <v>447</v>
      </c>
      <c r="OY10" s="6" t="s">
        <v>448</v>
      </c>
      <c r="OZ10" s="6" t="s">
        <v>449</v>
      </c>
      <c r="PA10" s="6" t="s">
        <v>450</v>
      </c>
      <c r="PB10" s="6" t="s">
        <v>451</v>
      </c>
      <c r="PC10" s="6" t="s">
        <v>452</v>
      </c>
      <c r="PD10" s="6" t="s">
        <v>453</v>
      </c>
      <c r="PE10" s="6" t="s">
        <v>454</v>
      </c>
      <c r="PF10" s="6" t="s">
        <v>455</v>
      </c>
      <c r="PG10" s="6" t="s">
        <v>456</v>
      </c>
      <c r="PH10" s="6" t="s">
        <v>457</v>
      </c>
      <c r="PI10" s="6" t="s">
        <v>458</v>
      </c>
      <c r="PJ10" s="6" t="s">
        <v>459</v>
      </c>
      <c r="PK10" s="6" t="s">
        <v>460</v>
      </c>
      <c r="PL10" s="6" t="s">
        <v>461</v>
      </c>
      <c r="PM10" s="6" t="s">
        <v>462</v>
      </c>
      <c r="PN10" s="6" t="s">
        <v>463</v>
      </c>
      <c r="PO10" s="6" t="s">
        <v>464</v>
      </c>
      <c r="PP10" s="6" t="s">
        <v>465</v>
      </c>
      <c r="PQ10" s="6" t="s">
        <v>466</v>
      </c>
      <c r="PR10" s="6" t="s">
        <v>467</v>
      </c>
      <c r="PS10" s="6" t="s">
        <v>468</v>
      </c>
      <c r="PT10" s="6" t="s">
        <v>469</v>
      </c>
      <c r="PU10" s="6" t="s">
        <v>470</v>
      </c>
      <c r="PV10" s="6" t="s">
        <v>471</v>
      </c>
      <c r="PW10" s="6" t="s">
        <v>472</v>
      </c>
      <c r="PX10" s="6" t="s">
        <v>473</v>
      </c>
      <c r="PY10" s="6" t="s">
        <v>474</v>
      </c>
      <c r="PZ10" s="6" t="s">
        <v>475</v>
      </c>
      <c r="QA10" s="6" t="s">
        <v>476</v>
      </c>
      <c r="QB10" s="6" t="s">
        <v>477</v>
      </c>
      <c r="QC10" s="6" t="s">
        <v>478</v>
      </c>
      <c r="QD10" s="6" t="s">
        <v>479</v>
      </c>
      <c r="QE10" s="6" t="s">
        <v>480</v>
      </c>
      <c r="QF10" s="6" t="s">
        <v>481</v>
      </c>
      <c r="QG10" s="6" t="s">
        <v>482</v>
      </c>
      <c r="QH10" s="6" t="s">
        <v>483</v>
      </c>
      <c r="QI10" s="6" t="s">
        <v>484</v>
      </c>
      <c r="QJ10" s="6" t="s">
        <v>485</v>
      </c>
      <c r="QK10" s="6" t="s">
        <v>486</v>
      </c>
      <c r="QL10" s="6" t="s">
        <v>487</v>
      </c>
      <c r="QM10" s="6" t="s">
        <v>488</v>
      </c>
      <c r="QN10" s="6" t="s">
        <v>489</v>
      </c>
      <c r="QO10" s="6" t="s">
        <v>490</v>
      </c>
      <c r="QP10" s="6" t="s">
        <v>491</v>
      </c>
      <c r="QQ10" s="6" t="s">
        <v>492</v>
      </c>
      <c r="QR10" s="6" t="s">
        <v>493</v>
      </c>
      <c r="QS10" s="6" t="s">
        <v>494</v>
      </c>
      <c r="QT10" s="6" t="s">
        <v>495</v>
      </c>
      <c r="QU10" s="6" t="s">
        <v>496</v>
      </c>
      <c r="QV10" s="6" t="s">
        <v>497</v>
      </c>
      <c r="QW10" s="6" t="s">
        <v>498</v>
      </c>
      <c r="QX10" s="6" t="s">
        <v>499</v>
      </c>
      <c r="QY10" s="6" t="s">
        <v>500</v>
      </c>
      <c r="QZ10" s="6" t="s">
        <v>501</v>
      </c>
      <c r="RA10" s="6" t="s">
        <v>502</v>
      </c>
      <c r="RB10" s="6" t="s">
        <v>503</v>
      </c>
      <c r="RC10" s="6" t="s">
        <v>504</v>
      </c>
      <c r="RD10" s="6" t="s">
        <v>505</v>
      </c>
      <c r="RE10" s="6" t="s">
        <v>506</v>
      </c>
      <c r="RF10" s="6" t="s">
        <v>507</v>
      </c>
      <c r="RG10" s="6" t="s">
        <v>508</v>
      </c>
      <c r="RH10" s="6" t="s">
        <v>509</v>
      </c>
      <c r="RI10" s="6" t="s">
        <v>510</v>
      </c>
      <c r="RJ10" s="6" t="s">
        <v>511</v>
      </c>
      <c r="RK10" s="6" t="s">
        <v>512</v>
      </c>
      <c r="RL10" s="6" t="s">
        <v>513</v>
      </c>
      <c r="RM10" s="6" t="s">
        <v>514</v>
      </c>
      <c r="RN10" s="6" t="s">
        <v>515</v>
      </c>
      <c r="RO10" s="6" t="s">
        <v>516</v>
      </c>
      <c r="RP10" s="6" t="s">
        <v>517</v>
      </c>
      <c r="RQ10" s="6" t="s">
        <v>518</v>
      </c>
      <c r="RR10" s="6" t="s">
        <v>519</v>
      </c>
      <c r="RS10" s="6" t="s">
        <v>520</v>
      </c>
      <c r="RT10" s="6" t="s">
        <v>521</v>
      </c>
      <c r="RU10" s="6" t="s">
        <v>522</v>
      </c>
      <c r="RV10" s="6" t="s">
        <v>523</v>
      </c>
      <c r="RW10" s="6" t="s">
        <v>524</v>
      </c>
      <c r="RX10" s="6" t="s">
        <v>525</v>
      </c>
      <c r="RY10" s="6" t="s">
        <v>526</v>
      </c>
      <c r="RZ10" s="6" t="s">
        <v>527</v>
      </c>
      <c r="SA10" s="6" t="s">
        <v>528</v>
      </c>
      <c r="SB10" s="6" t="s">
        <v>529</v>
      </c>
      <c r="SC10" s="6" t="s">
        <v>530</v>
      </c>
      <c r="SD10" s="6" t="s">
        <v>531</v>
      </c>
      <c r="SE10" s="6" t="s">
        <v>532</v>
      </c>
      <c r="SF10" s="6" t="s">
        <v>533</v>
      </c>
      <c r="SG10" s="6" t="s">
        <v>534</v>
      </c>
      <c r="SH10" s="6" t="s">
        <v>535</v>
      </c>
      <c r="SI10" s="6" t="s">
        <v>536</v>
      </c>
      <c r="SJ10" s="6" t="s">
        <v>537</v>
      </c>
      <c r="SK10" s="6" t="s">
        <v>538</v>
      </c>
      <c r="SL10" s="6" t="s">
        <v>539</v>
      </c>
      <c r="SM10" s="6" t="s">
        <v>540</v>
      </c>
      <c r="SN10" s="6" t="s">
        <v>541</v>
      </c>
      <c r="SO10" s="6" t="s">
        <v>542</v>
      </c>
      <c r="SP10" s="6" t="s">
        <v>543</v>
      </c>
      <c r="SQ10" s="6" t="s">
        <v>544</v>
      </c>
      <c r="SR10" s="6" t="s">
        <v>545</v>
      </c>
      <c r="SS10" s="6" t="s">
        <v>546</v>
      </c>
      <c r="ST10" s="6" t="s">
        <v>547</v>
      </c>
      <c r="SU10" s="6" t="s">
        <v>548</v>
      </c>
      <c r="SV10" s="6" t="s">
        <v>549</v>
      </c>
      <c r="SW10" s="6" t="s">
        <v>550</v>
      </c>
      <c r="SX10" s="6" t="s">
        <v>551</v>
      </c>
      <c r="SY10" s="6" t="s">
        <v>552</v>
      </c>
      <c r="SZ10" s="6" t="s">
        <v>553</v>
      </c>
      <c r="TA10" s="6" t="s">
        <v>554</v>
      </c>
      <c r="TB10" s="6" t="s">
        <v>555</v>
      </c>
      <c r="TC10" s="6" t="s">
        <v>556</v>
      </c>
      <c r="TD10" s="6" t="s">
        <v>557</v>
      </c>
      <c r="TE10" s="6" t="s">
        <v>558</v>
      </c>
      <c r="TF10" s="6" t="s">
        <v>559</v>
      </c>
      <c r="TG10" s="6" t="s">
        <v>560</v>
      </c>
      <c r="TH10" s="6" t="s">
        <v>561</v>
      </c>
      <c r="TI10" s="6" t="s">
        <v>562</v>
      </c>
      <c r="TJ10" s="6" t="s">
        <v>563</v>
      </c>
      <c r="TK10" s="6" t="s">
        <v>564</v>
      </c>
      <c r="TL10" s="6" t="s">
        <v>565</v>
      </c>
      <c r="TM10" s="6" t="s">
        <v>566</v>
      </c>
      <c r="TN10" s="6" t="s">
        <v>567</v>
      </c>
      <c r="TO10" s="6" t="s">
        <v>568</v>
      </c>
      <c r="TP10" s="6" t="s">
        <v>569</v>
      </c>
      <c r="TQ10" s="6" t="s">
        <v>570</v>
      </c>
      <c r="TR10" s="6" t="s">
        <v>571</v>
      </c>
      <c r="TS10" s="6" t="s">
        <v>572</v>
      </c>
      <c r="TT10" s="6" t="s">
        <v>573</v>
      </c>
      <c r="TU10" s="6" t="s">
        <v>574</v>
      </c>
      <c r="TV10" s="6" t="s">
        <v>575</v>
      </c>
      <c r="TW10" s="6" t="s">
        <v>576</v>
      </c>
      <c r="TX10" s="6" t="s">
        <v>577</v>
      </c>
      <c r="TY10" s="6" t="s">
        <v>578</v>
      </c>
      <c r="TZ10" s="6" t="s">
        <v>579</v>
      </c>
      <c r="UA10" s="6" t="s">
        <v>580</v>
      </c>
      <c r="UB10" s="6" t="s">
        <v>581</v>
      </c>
      <c r="UC10" s="6" t="s">
        <v>582</v>
      </c>
      <c r="UD10" s="6" t="s">
        <v>583</v>
      </c>
      <c r="UE10" s="6" t="s">
        <v>584</v>
      </c>
      <c r="UF10" s="6" t="s">
        <v>585</v>
      </c>
      <c r="UG10" s="6" t="s">
        <v>586</v>
      </c>
      <c r="UH10" s="6" t="s">
        <v>587</v>
      </c>
      <c r="UI10" s="6" t="s">
        <v>588</v>
      </c>
      <c r="UJ10" s="6" t="s">
        <v>589</v>
      </c>
      <c r="UK10" s="6" t="s">
        <v>590</v>
      </c>
      <c r="UL10" s="6" t="s">
        <v>591</v>
      </c>
      <c r="UM10" s="6" t="s">
        <v>592</v>
      </c>
      <c r="UN10" s="6" t="s">
        <v>593</v>
      </c>
      <c r="UO10" s="6" t="s">
        <v>594</v>
      </c>
      <c r="UP10" s="6" t="s">
        <v>595</v>
      </c>
      <c r="UQ10" s="6" t="s">
        <v>596</v>
      </c>
      <c r="UR10" s="6" t="s">
        <v>597</v>
      </c>
      <c r="US10" s="6" t="s">
        <v>598</v>
      </c>
      <c r="UT10" s="6" t="s">
        <v>599</v>
      </c>
      <c r="UU10" s="6" t="s">
        <v>600</v>
      </c>
      <c r="UV10" s="6" t="s">
        <v>601</v>
      </c>
      <c r="UW10" s="6" t="s">
        <v>602</v>
      </c>
      <c r="UX10" s="6" t="s">
        <v>603</v>
      </c>
      <c r="UY10" s="6" t="s">
        <v>604</v>
      </c>
      <c r="UZ10" s="6" t="s">
        <v>605</v>
      </c>
      <c r="VA10" s="6" t="s">
        <v>606</v>
      </c>
      <c r="VB10" s="6" t="s">
        <v>607</v>
      </c>
      <c r="VC10" s="6" t="s">
        <v>608</v>
      </c>
      <c r="VD10" s="6" t="s">
        <v>609</v>
      </c>
      <c r="VE10" s="6" t="s">
        <v>610</v>
      </c>
      <c r="VF10" s="6" t="s">
        <v>611</v>
      </c>
      <c r="VG10" s="6" t="s">
        <v>612</v>
      </c>
      <c r="VH10" s="6" t="s">
        <v>613</v>
      </c>
      <c r="VI10" s="6" t="s">
        <v>614</v>
      </c>
      <c r="VJ10" s="6" t="s">
        <v>615</v>
      </c>
      <c r="VK10" s="6" t="s">
        <v>616</v>
      </c>
      <c r="VL10" s="6" t="s">
        <v>617</v>
      </c>
      <c r="VM10" s="6" t="s">
        <v>618</v>
      </c>
      <c r="VN10" s="6" t="s">
        <v>619</v>
      </c>
      <c r="VO10" s="6" t="s">
        <v>620</v>
      </c>
      <c r="VP10" s="6" t="s">
        <v>621</v>
      </c>
      <c r="VQ10" s="6" t="s">
        <v>622</v>
      </c>
      <c r="VR10" s="6" t="s">
        <v>623</v>
      </c>
      <c r="VS10" s="6" t="s">
        <v>624</v>
      </c>
      <c r="VT10" s="6" t="s">
        <v>625</v>
      </c>
      <c r="VU10" s="6" t="s">
        <v>626</v>
      </c>
      <c r="VV10" s="6" t="s">
        <v>627</v>
      </c>
      <c r="VW10" s="6" t="s">
        <v>628</v>
      </c>
      <c r="VX10" s="6" t="s">
        <v>629</v>
      </c>
      <c r="VY10" s="6" t="s">
        <v>630</v>
      </c>
      <c r="VZ10" s="6" t="s">
        <v>631</v>
      </c>
      <c r="WA10" s="6" t="s">
        <v>632</v>
      </c>
      <c r="WB10" s="6" t="s">
        <v>633</v>
      </c>
      <c r="WC10" s="6" t="s">
        <v>634</v>
      </c>
      <c r="WD10" s="6" t="s">
        <v>635</v>
      </c>
      <c r="WE10" s="6" t="s">
        <v>636</v>
      </c>
      <c r="WF10" s="6" t="s">
        <v>637</v>
      </c>
      <c r="WG10" s="6" t="s">
        <v>638</v>
      </c>
      <c r="WH10" s="6" t="s">
        <v>639</v>
      </c>
      <c r="WI10" s="6" t="s">
        <v>640</v>
      </c>
      <c r="WJ10" s="6" t="s">
        <v>641</v>
      </c>
      <c r="WK10" s="6" t="s">
        <v>642</v>
      </c>
      <c r="WL10" s="6" t="s">
        <v>643</v>
      </c>
      <c r="WM10" s="6" t="s">
        <v>644</v>
      </c>
      <c r="WN10" s="6" t="s">
        <v>645</v>
      </c>
      <c r="WO10" s="6" t="s">
        <v>646</v>
      </c>
      <c r="WP10" s="6" t="s">
        <v>647</v>
      </c>
      <c r="WQ10" s="6" t="s">
        <v>648</v>
      </c>
      <c r="WR10" s="6" t="s">
        <v>649</v>
      </c>
      <c r="WS10" s="6" t="s">
        <v>650</v>
      </c>
      <c r="WT10" s="6" t="s">
        <v>651</v>
      </c>
      <c r="WU10" s="6" t="s">
        <v>652</v>
      </c>
      <c r="WV10" s="6" t="s">
        <v>653</v>
      </c>
      <c r="WW10" s="6" t="s">
        <v>654</v>
      </c>
      <c r="WX10" s="6" t="s">
        <v>655</v>
      </c>
      <c r="WY10" s="6" t="s">
        <v>656</v>
      </c>
      <c r="WZ10" s="6" t="s">
        <v>657</v>
      </c>
      <c r="XA10" s="6" t="s">
        <v>658</v>
      </c>
      <c r="XB10" s="6" t="s">
        <v>659</v>
      </c>
      <c r="XC10" s="6" t="s">
        <v>660</v>
      </c>
      <c r="XD10" s="6" t="s">
        <v>661</v>
      </c>
      <c r="XE10" s="6" t="s">
        <v>662</v>
      </c>
      <c r="XF10" s="6" t="s">
        <v>663</v>
      </c>
      <c r="XG10" s="6" t="s">
        <v>664</v>
      </c>
      <c r="XH10" s="6" t="s">
        <v>665</v>
      </c>
      <c r="XI10" s="6" t="s">
        <v>666</v>
      </c>
      <c r="XJ10" s="6" t="s">
        <v>667</v>
      </c>
      <c r="XK10" s="6" t="s">
        <v>668</v>
      </c>
      <c r="XL10" s="6" t="s">
        <v>669</v>
      </c>
      <c r="XM10" s="6" t="s">
        <v>670</v>
      </c>
      <c r="XN10" s="6" t="s">
        <v>671</v>
      </c>
      <c r="XO10" s="6" t="s">
        <v>672</v>
      </c>
      <c r="XP10" s="6" t="s">
        <v>673</v>
      </c>
      <c r="XQ10" s="6" t="s">
        <v>674</v>
      </c>
      <c r="XR10" s="6" t="s">
        <v>675</v>
      </c>
      <c r="XS10" s="6" t="s">
        <v>676</v>
      </c>
      <c r="XT10" s="6" t="s">
        <v>677</v>
      </c>
      <c r="XU10" s="6" t="s">
        <v>678</v>
      </c>
      <c r="XV10" s="6" t="s">
        <v>679</v>
      </c>
      <c r="XW10" s="6" t="s">
        <v>680</v>
      </c>
      <c r="XX10" s="6" t="s">
        <v>681</v>
      </c>
      <c r="XY10" s="6" t="s">
        <v>682</v>
      </c>
      <c r="XZ10" s="6" t="s">
        <v>683</v>
      </c>
      <c r="YA10" s="6" t="s">
        <v>684</v>
      </c>
      <c r="YB10" s="6" t="s">
        <v>685</v>
      </c>
      <c r="YC10" s="6" t="s">
        <v>686</v>
      </c>
      <c r="YD10" s="6" t="s">
        <v>687</v>
      </c>
      <c r="YE10" s="6" t="s">
        <v>688</v>
      </c>
      <c r="YF10" s="6" t="s">
        <v>689</v>
      </c>
      <c r="YG10" s="6" t="s">
        <v>690</v>
      </c>
      <c r="YH10" s="6" t="s">
        <v>691</v>
      </c>
      <c r="YI10" s="6" t="s">
        <v>692</v>
      </c>
      <c r="YJ10" s="6" t="s">
        <v>693</v>
      </c>
      <c r="YK10" s="6" t="s">
        <v>694</v>
      </c>
      <c r="YL10" s="6" t="s">
        <v>695</v>
      </c>
      <c r="YM10" s="6" t="s">
        <v>696</v>
      </c>
      <c r="YN10" s="6" t="s">
        <v>697</v>
      </c>
      <c r="YO10" s="6" t="s">
        <v>698</v>
      </c>
      <c r="YP10" s="6" t="s">
        <v>699</v>
      </c>
      <c r="YQ10" s="6" t="s">
        <v>700</v>
      </c>
      <c r="YR10" s="6" t="s">
        <v>701</v>
      </c>
      <c r="YS10" s="6" t="s">
        <v>702</v>
      </c>
      <c r="YT10" s="6" t="s">
        <v>703</v>
      </c>
      <c r="YU10" s="6" t="s">
        <v>704</v>
      </c>
      <c r="YV10" s="6" t="s">
        <v>705</v>
      </c>
      <c r="YW10" s="6" t="s">
        <v>706</v>
      </c>
      <c r="YX10" s="6" t="s">
        <v>707</v>
      </c>
      <c r="YY10" s="6" t="s">
        <v>708</v>
      </c>
      <c r="YZ10" s="6" t="s">
        <v>709</v>
      </c>
      <c r="ZA10" s="6" t="s">
        <v>710</v>
      </c>
      <c r="ZB10" s="6" t="s">
        <v>711</v>
      </c>
      <c r="ZC10" s="6" t="s">
        <v>712</v>
      </c>
      <c r="ZD10" s="6" t="s">
        <v>713</v>
      </c>
      <c r="ZE10" s="6" t="s">
        <v>714</v>
      </c>
      <c r="ZF10" s="6" t="s">
        <v>715</v>
      </c>
      <c r="ZG10" s="6" t="s">
        <v>716</v>
      </c>
      <c r="ZH10" s="6" t="s">
        <v>717</v>
      </c>
      <c r="ZI10" s="6" t="s">
        <v>718</v>
      </c>
      <c r="ZJ10" s="6" t="s">
        <v>719</v>
      </c>
      <c r="ZK10" s="6" t="s">
        <v>720</v>
      </c>
      <c r="ZL10" s="6" t="s">
        <v>721</v>
      </c>
      <c r="ZM10" s="6" t="s">
        <v>722</v>
      </c>
      <c r="ZN10" s="6" t="s">
        <v>723</v>
      </c>
      <c r="ZO10" s="6" t="s">
        <v>724</v>
      </c>
      <c r="ZP10" s="6" t="s">
        <v>725</v>
      </c>
      <c r="ZQ10" s="6" t="s">
        <v>726</v>
      </c>
      <c r="ZR10" s="6" t="s">
        <v>727</v>
      </c>
      <c r="ZS10" s="6" t="s">
        <v>728</v>
      </c>
      <c r="ZT10" s="6" t="s">
        <v>729</v>
      </c>
      <c r="ZU10" s="6" t="s">
        <v>730</v>
      </c>
      <c r="ZV10" s="6" t="s">
        <v>731</v>
      </c>
      <c r="ZW10" s="6" t="s">
        <v>732</v>
      </c>
      <c r="ZX10" s="6" t="s">
        <v>733</v>
      </c>
      <c r="ZY10" s="6" t="s">
        <v>734</v>
      </c>
      <c r="ZZ10" s="6" t="s">
        <v>735</v>
      </c>
      <c r="AAA10" s="6" t="s">
        <v>736</v>
      </c>
      <c r="AAB10" s="6" t="s">
        <v>737</v>
      </c>
      <c r="AAC10" s="6" t="s">
        <v>738</v>
      </c>
      <c r="AAD10" s="6" t="s">
        <v>739</v>
      </c>
      <c r="AAE10" s="6" t="s">
        <v>740</v>
      </c>
      <c r="AAF10" s="6" t="s">
        <v>741</v>
      </c>
      <c r="AAG10" s="6" t="s">
        <v>742</v>
      </c>
      <c r="AAH10" s="6" t="s">
        <v>743</v>
      </c>
      <c r="AAI10" s="6" t="s">
        <v>744</v>
      </c>
      <c r="AAJ10" s="6" t="s">
        <v>745</v>
      </c>
      <c r="AAK10" s="6" t="s">
        <v>746</v>
      </c>
      <c r="AAL10" s="6" t="s">
        <v>747</v>
      </c>
      <c r="AAM10" s="6" t="s">
        <v>748</v>
      </c>
      <c r="AAN10" s="6" t="s">
        <v>749</v>
      </c>
      <c r="AAO10" s="6" t="s">
        <v>750</v>
      </c>
      <c r="AAP10" s="6" t="s">
        <v>751</v>
      </c>
      <c r="AAQ10" s="6" t="s">
        <v>752</v>
      </c>
      <c r="AAR10" s="6" t="s">
        <v>753</v>
      </c>
      <c r="AAS10" s="6" t="s">
        <v>754</v>
      </c>
      <c r="AAT10" s="6" t="s">
        <v>755</v>
      </c>
      <c r="AAU10" s="6" t="s">
        <v>756</v>
      </c>
      <c r="AAV10" s="6" t="s">
        <v>757</v>
      </c>
      <c r="AAW10" s="6" t="s">
        <v>758</v>
      </c>
      <c r="AAX10" s="6" t="s">
        <v>759</v>
      </c>
      <c r="AAY10" s="6" t="s">
        <v>760</v>
      </c>
      <c r="AAZ10" s="6" t="s">
        <v>761</v>
      </c>
      <c r="ABA10" s="6" t="s">
        <v>762</v>
      </c>
      <c r="ABB10" s="6" t="s">
        <v>763</v>
      </c>
      <c r="ABC10" s="6" t="s">
        <v>764</v>
      </c>
      <c r="ABD10" s="6" t="s">
        <v>765</v>
      </c>
      <c r="ABE10" s="6" t="s">
        <v>766</v>
      </c>
      <c r="ABF10" s="6" t="s">
        <v>767</v>
      </c>
      <c r="ABG10" s="6" t="s">
        <v>768</v>
      </c>
      <c r="ABH10" s="6" t="s">
        <v>769</v>
      </c>
      <c r="ABI10" s="6" t="s">
        <v>770</v>
      </c>
      <c r="ABJ10" s="6" t="s">
        <v>771</v>
      </c>
      <c r="ABK10" s="6" t="s">
        <v>772</v>
      </c>
      <c r="ABL10" s="6" t="s">
        <v>773</v>
      </c>
      <c r="ABM10" s="6" t="s">
        <v>774</v>
      </c>
      <c r="ABN10" s="6" t="s">
        <v>775</v>
      </c>
      <c r="ABO10" s="6" t="s">
        <v>776</v>
      </c>
      <c r="ABP10" s="6" t="s">
        <v>777</v>
      </c>
      <c r="ABQ10" s="6" t="s">
        <v>778</v>
      </c>
      <c r="ABR10" s="6" t="s">
        <v>779</v>
      </c>
      <c r="ABS10" s="6" t="s">
        <v>780</v>
      </c>
      <c r="ABT10" s="6" t="s">
        <v>781</v>
      </c>
      <c r="ABU10" s="6" t="s">
        <v>782</v>
      </c>
      <c r="ABV10" s="6" t="s">
        <v>783</v>
      </c>
      <c r="ABW10" s="6" t="s">
        <v>784</v>
      </c>
      <c r="ABX10" s="6" t="s">
        <v>785</v>
      </c>
      <c r="ABY10" s="6" t="s">
        <v>786</v>
      </c>
      <c r="ABZ10" s="6" t="s">
        <v>787</v>
      </c>
      <c r="ACA10" s="6" t="s">
        <v>788</v>
      </c>
      <c r="ACB10" s="6" t="s">
        <v>789</v>
      </c>
      <c r="ACC10" s="6" t="s">
        <v>790</v>
      </c>
      <c r="ACD10" s="6" t="s">
        <v>791</v>
      </c>
      <c r="ACE10" s="6" t="s">
        <v>792</v>
      </c>
      <c r="ACF10" s="6" t="s">
        <v>793</v>
      </c>
      <c r="ACG10" s="6" t="s">
        <v>794</v>
      </c>
      <c r="ACH10" s="6" t="s">
        <v>795</v>
      </c>
      <c r="ACI10" s="6" t="s">
        <v>796</v>
      </c>
      <c r="ACJ10" s="6" t="s">
        <v>797</v>
      </c>
      <c r="ACK10" s="6" t="s">
        <v>798</v>
      </c>
      <c r="ACL10" s="6" t="s">
        <v>799</v>
      </c>
      <c r="ACM10" s="6" t="s">
        <v>800</v>
      </c>
      <c r="ACN10" s="6" t="s">
        <v>801</v>
      </c>
      <c r="ACO10" s="6" t="s">
        <v>802</v>
      </c>
      <c r="ACP10" s="6" t="s">
        <v>803</v>
      </c>
      <c r="ACQ10" s="6" t="s">
        <v>804</v>
      </c>
      <c r="ACR10" s="6" t="s">
        <v>805</v>
      </c>
      <c r="ACS10" s="6" t="s">
        <v>806</v>
      </c>
      <c r="ACT10" s="6" t="s">
        <v>807</v>
      </c>
      <c r="ACU10" s="6" t="s">
        <v>808</v>
      </c>
      <c r="ACV10" s="6" t="s">
        <v>809</v>
      </c>
      <c r="ACW10" s="6" t="s">
        <v>810</v>
      </c>
      <c r="ACX10" s="6" t="s">
        <v>811</v>
      </c>
      <c r="ACY10" s="6" t="s">
        <v>812</v>
      </c>
      <c r="ACZ10" s="6" t="s">
        <v>813</v>
      </c>
      <c r="ADA10" s="6" t="s">
        <v>814</v>
      </c>
      <c r="ADB10" s="6" t="s">
        <v>815</v>
      </c>
      <c r="ADC10" s="6" t="s">
        <v>816</v>
      </c>
      <c r="ADD10" s="6" t="s">
        <v>817</v>
      </c>
      <c r="ADE10" s="6" t="s">
        <v>818</v>
      </c>
      <c r="ADF10" s="6" t="s">
        <v>819</v>
      </c>
      <c r="ADG10" s="6" t="s">
        <v>820</v>
      </c>
      <c r="ADH10" s="6" t="s">
        <v>821</v>
      </c>
      <c r="ADI10" s="6" t="s">
        <v>822</v>
      </c>
      <c r="ADJ10" s="6" t="s">
        <v>823</v>
      </c>
      <c r="ADK10" s="6" t="s">
        <v>824</v>
      </c>
      <c r="ADL10" s="6" t="s">
        <v>825</v>
      </c>
      <c r="ADM10" s="6" t="s">
        <v>826</v>
      </c>
      <c r="ADN10" s="6" t="s">
        <v>827</v>
      </c>
      <c r="ADO10" s="6" t="s">
        <v>828</v>
      </c>
      <c r="ADP10" s="6" t="s">
        <v>829</v>
      </c>
      <c r="ADQ10" s="6" t="s">
        <v>830</v>
      </c>
      <c r="ADR10" s="6" t="s">
        <v>831</v>
      </c>
      <c r="ADS10" s="6" t="s">
        <v>832</v>
      </c>
      <c r="ADT10" s="6" t="s">
        <v>833</v>
      </c>
      <c r="ADU10" s="6" t="s">
        <v>834</v>
      </c>
      <c r="ADV10" s="6" t="s">
        <v>835</v>
      </c>
      <c r="ADW10" s="6" t="s">
        <v>836</v>
      </c>
      <c r="ADX10" s="6" t="s">
        <v>837</v>
      </c>
      <c r="ADY10" s="6" t="s">
        <v>838</v>
      </c>
      <c r="ADZ10" s="6" t="s">
        <v>839</v>
      </c>
      <c r="AEA10" s="6" t="s">
        <v>840</v>
      </c>
      <c r="AEB10" s="6" t="s">
        <v>841</v>
      </c>
      <c r="AEC10" s="6" t="s">
        <v>842</v>
      </c>
      <c r="AED10" s="6" t="s">
        <v>843</v>
      </c>
      <c r="AEE10" s="6" t="s">
        <v>844</v>
      </c>
      <c r="AEF10" s="6" t="s">
        <v>845</v>
      </c>
      <c r="AEG10" s="6" t="s">
        <v>846</v>
      </c>
      <c r="AEH10" s="6" t="s">
        <v>847</v>
      </c>
      <c r="AEI10" s="6" t="s">
        <v>848</v>
      </c>
      <c r="AEJ10" s="6" t="s">
        <v>849</v>
      </c>
      <c r="AEK10" s="6" t="s">
        <v>850</v>
      </c>
      <c r="AEL10" s="6" t="s">
        <v>851</v>
      </c>
      <c r="AEM10" s="6" t="s">
        <v>852</v>
      </c>
      <c r="AEN10" s="6" t="s">
        <v>853</v>
      </c>
      <c r="AEO10" s="6" t="s">
        <v>854</v>
      </c>
      <c r="AEP10" s="6" t="s">
        <v>855</v>
      </c>
      <c r="AEQ10" s="6" t="s">
        <v>856</v>
      </c>
      <c r="AER10" s="6" t="s">
        <v>857</v>
      </c>
      <c r="AES10" s="6" t="s">
        <v>858</v>
      </c>
      <c r="AET10" s="6" t="s">
        <v>859</v>
      </c>
      <c r="AEU10" s="6" t="s">
        <v>860</v>
      </c>
      <c r="AEV10" s="6" t="s">
        <v>861</v>
      </c>
      <c r="AEW10" s="6" t="s">
        <v>862</v>
      </c>
      <c r="AEX10" s="6" t="s">
        <v>863</v>
      </c>
      <c r="AEY10" s="6" t="s">
        <v>864</v>
      </c>
      <c r="AEZ10" s="6" t="s">
        <v>865</v>
      </c>
      <c r="AFA10" s="6" t="s">
        <v>866</v>
      </c>
      <c r="AFB10" s="6" t="s">
        <v>867</v>
      </c>
      <c r="AFC10" s="6" t="s">
        <v>868</v>
      </c>
      <c r="AFD10" s="6" t="s">
        <v>869</v>
      </c>
      <c r="AFE10" s="6" t="s">
        <v>870</v>
      </c>
      <c r="AFF10" s="6" t="s">
        <v>871</v>
      </c>
      <c r="AFG10" s="6" t="s">
        <v>872</v>
      </c>
      <c r="AFH10" s="6" t="s">
        <v>873</v>
      </c>
      <c r="AFI10" s="6" t="s">
        <v>874</v>
      </c>
      <c r="AFJ10" s="6" t="s">
        <v>875</v>
      </c>
      <c r="AFK10" s="6" t="s">
        <v>876</v>
      </c>
      <c r="AFL10" s="6" t="s">
        <v>877</v>
      </c>
      <c r="AFM10" s="6" t="s">
        <v>878</v>
      </c>
      <c r="AFN10" s="6" t="s">
        <v>879</v>
      </c>
      <c r="AFO10" s="6" t="s">
        <v>880</v>
      </c>
      <c r="AFP10" s="6" t="s">
        <v>881</v>
      </c>
      <c r="AFQ10" s="6" t="s">
        <v>882</v>
      </c>
      <c r="AFR10" s="6" t="s">
        <v>883</v>
      </c>
      <c r="AFS10" s="6" t="s">
        <v>884</v>
      </c>
      <c r="AFT10" s="6" t="s">
        <v>885</v>
      </c>
      <c r="AFU10" s="6" t="s">
        <v>886</v>
      </c>
      <c r="AFV10" s="6" t="s">
        <v>887</v>
      </c>
      <c r="AFW10" s="6" t="s">
        <v>888</v>
      </c>
      <c r="AFX10" s="6" t="s">
        <v>889</v>
      </c>
      <c r="AFY10" s="6" t="s">
        <v>890</v>
      </c>
      <c r="AFZ10" s="6" t="s">
        <v>891</v>
      </c>
      <c r="AGA10" s="6" t="s">
        <v>892</v>
      </c>
      <c r="AGB10" s="6" t="s">
        <v>893</v>
      </c>
      <c r="AGC10" s="6" t="s">
        <v>894</v>
      </c>
      <c r="AGD10" s="6" t="s">
        <v>895</v>
      </c>
      <c r="AGE10" s="6" t="s">
        <v>896</v>
      </c>
      <c r="AGF10" s="6" t="s">
        <v>897</v>
      </c>
      <c r="AGG10" s="6" t="s">
        <v>898</v>
      </c>
      <c r="AGH10" s="6" t="s">
        <v>899</v>
      </c>
      <c r="AGI10" s="6" t="s">
        <v>900</v>
      </c>
      <c r="AGJ10" s="6" t="s">
        <v>901</v>
      </c>
      <c r="AGK10" s="6" t="s">
        <v>902</v>
      </c>
      <c r="AGL10" s="6" t="s">
        <v>903</v>
      </c>
      <c r="AGM10" s="6" t="s">
        <v>904</v>
      </c>
      <c r="AGN10" s="6" t="s">
        <v>905</v>
      </c>
      <c r="AGO10" s="6" t="s">
        <v>906</v>
      </c>
      <c r="AGP10" s="6" t="s">
        <v>907</v>
      </c>
      <c r="AGQ10" s="6" t="s">
        <v>908</v>
      </c>
      <c r="AGR10" s="6" t="s">
        <v>909</v>
      </c>
      <c r="AGS10" s="6" t="s">
        <v>910</v>
      </c>
      <c r="AGT10" s="6" t="s">
        <v>911</v>
      </c>
      <c r="AGU10" s="6" t="s">
        <v>912</v>
      </c>
      <c r="AGV10" s="6" t="s">
        <v>913</v>
      </c>
      <c r="AGW10" s="6" t="s">
        <v>914</v>
      </c>
      <c r="AGX10" s="6" t="s">
        <v>915</v>
      </c>
      <c r="AGY10" s="6" t="s">
        <v>916</v>
      </c>
      <c r="AGZ10" s="6" t="s">
        <v>917</v>
      </c>
      <c r="AHA10" s="6" t="s">
        <v>918</v>
      </c>
      <c r="AHB10" s="6" t="s">
        <v>919</v>
      </c>
      <c r="AHC10" s="6" t="s">
        <v>920</v>
      </c>
      <c r="AHD10" s="6" t="s">
        <v>921</v>
      </c>
      <c r="AHE10" s="6" t="s">
        <v>922</v>
      </c>
      <c r="AHF10" s="6" t="s">
        <v>923</v>
      </c>
      <c r="AHG10" s="6" t="s">
        <v>924</v>
      </c>
      <c r="AHH10" s="6" t="s">
        <v>925</v>
      </c>
      <c r="AHI10" s="6" t="s">
        <v>926</v>
      </c>
      <c r="AHJ10" s="6" t="s">
        <v>927</v>
      </c>
      <c r="AHK10" s="6" t="s">
        <v>928</v>
      </c>
      <c r="AHL10" s="6" t="s">
        <v>929</v>
      </c>
      <c r="AHM10" s="6" t="s">
        <v>930</v>
      </c>
      <c r="AHN10" s="6" t="s">
        <v>931</v>
      </c>
      <c r="AHO10" s="6" t="s">
        <v>932</v>
      </c>
      <c r="AHP10" s="6" t="s">
        <v>933</v>
      </c>
      <c r="AHQ10" s="6" t="s">
        <v>934</v>
      </c>
      <c r="AHR10" s="6" t="s">
        <v>935</v>
      </c>
      <c r="AHS10" s="6" t="s">
        <v>936</v>
      </c>
      <c r="AHT10" s="6" t="s">
        <v>937</v>
      </c>
      <c r="AHU10" s="6" t="s">
        <v>938</v>
      </c>
      <c r="AHV10" s="6" t="s">
        <v>939</v>
      </c>
      <c r="AHW10" s="6" t="s">
        <v>940</v>
      </c>
      <c r="AHX10" s="6" t="s">
        <v>941</v>
      </c>
      <c r="AHY10" s="6" t="s">
        <v>942</v>
      </c>
      <c r="AHZ10" s="6" t="s">
        <v>943</v>
      </c>
      <c r="AIA10" s="6" t="s">
        <v>944</v>
      </c>
      <c r="AIB10" s="6" t="s">
        <v>945</v>
      </c>
      <c r="AIC10" s="6" t="s">
        <v>946</v>
      </c>
      <c r="AID10" s="6" t="s">
        <v>947</v>
      </c>
      <c r="AIE10" s="6" t="s">
        <v>948</v>
      </c>
      <c r="AIF10" s="6" t="s">
        <v>949</v>
      </c>
      <c r="AIG10" s="6" t="s">
        <v>950</v>
      </c>
      <c r="AIH10" s="6" t="s">
        <v>951</v>
      </c>
      <c r="AII10" s="6" t="s">
        <v>952</v>
      </c>
      <c r="AIJ10" s="6" t="s">
        <v>953</v>
      </c>
      <c r="AIK10" s="6" t="s">
        <v>954</v>
      </c>
      <c r="AIL10" s="6" t="s">
        <v>955</v>
      </c>
      <c r="AIM10" s="6" t="s">
        <v>956</v>
      </c>
      <c r="AIN10" s="6" t="s">
        <v>957</v>
      </c>
      <c r="AIO10" s="6" t="s">
        <v>958</v>
      </c>
      <c r="AIP10" s="6" t="s">
        <v>959</v>
      </c>
      <c r="AIQ10" s="6" t="s">
        <v>960</v>
      </c>
      <c r="AIR10" s="6" t="s">
        <v>961</v>
      </c>
      <c r="AIS10" s="6" t="s">
        <v>962</v>
      </c>
      <c r="AIT10" s="6" t="s">
        <v>963</v>
      </c>
      <c r="AIU10" s="6" t="s">
        <v>964</v>
      </c>
      <c r="AIV10" s="6" t="s">
        <v>965</v>
      </c>
      <c r="AIW10" s="6" t="s">
        <v>966</v>
      </c>
      <c r="AIX10" s="6" t="s">
        <v>967</v>
      </c>
      <c r="AIY10" s="6" t="s">
        <v>968</v>
      </c>
      <c r="AIZ10" s="6" t="s">
        <v>969</v>
      </c>
      <c r="AJA10" s="6" t="s">
        <v>970</v>
      </c>
      <c r="AJB10" s="6" t="s">
        <v>971</v>
      </c>
      <c r="AJC10" s="6" t="s">
        <v>972</v>
      </c>
      <c r="AJD10" s="6" t="s">
        <v>973</v>
      </c>
      <c r="AJE10" s="6" t="s">
        <v>974</v>
      </c>
      <c r="AJF10" s="6" t="s">
        <v>975</v>
      </c>
      <c r="AJG10" s="6" t="s">
        <v>976</v>
      </c>
      <c r="AJH10" s="6" t="s">
        <v>977</v>
      </c>
      <c r="AJI10" s="6" t="s">
        <v>978</v>
      </c>
      <c r="AJJ10" s="6" t="s">
        <v>979</v>
      </c>
      <c r="AJK10" s="6" t="s">
        <v>980</v>
      </c>
      <c r="AJL10" s="6" t="s">
        <v>981</v>
      </c>
      <c r="AJM10" s="6" t="s">
        <v>982</v>
      </c>
      <c r="AJN10" s="6" t="s">
        <v>983</v>
      </c>
      <c r="AJO10" s="6" t="s">
        <v>984</v>
      </c>
      <c r="AJP10" s="6" t="s">
        <v>985</v>
      </c>
      <c r="AJQ10" s="6" t="s">
        <v>986</v>
      </c>
      <c r="AJR10" s="6" t="s">
        <v>987</v>
      </c>
      <c r="AJS10" s="6" t="s">
        <v>988</v>
      </c>
      <c r="AJT10" s="6" t="s">
        <v>989</v>
      </c>
      <c r="AJU10" s="6" t="s">
        <v>990</v>
      </c>
      <c r="AJV10" s="6" t="s">
        <v>991</v>
      </c>
      <c r="AJW10" s="6" t="s">
        <v>992</v>
      </c>
      <c r="AJX10" s="6" t="s">
        <v>993</v>
      </c>
      <c r="AJY10" s="6" t="s">
        <v>994</v>
      </c>
      <c r="AJZ10" s="6" t="s">
        <v>995</v>
      </c>
      <c r="AKA10" s="6" t="s">
        <v>996</v>
      </c>
      <c r="AKB10" s="6" t="s">
        <v>997</v>
      </c>
      <c r="AKC10" s="6" t="s">
        <v>998</v>
      </c>
      <c r="AKD10" s="6" t="s">
        <v>999</v>
      </c>
      <c r="AKE10" s="6" t="s">
        <v>1000</v>
      </c>
      <c r="AKF10" s="6" t="s">
        <v>1001</v>
      </c>
      <c r="AKG10" s="6" t="s">
        <v>1002</v>
      </c>
      <c r="AKH10" s="6" t="s">
        <v>1003</v>
      </c>
      <c r="AKI10" s="6" t="s">
        <v>1004</v>
      </c>
      <c r="AKJ10" s="6" t="s">
        <v>1005</v>
      </c>
      <c r="AKK10" s="6" t="s">
        <v>1006</v>
      </c>
      <c r="AKL10" s="6" t="s">
        <v>1007</v>
      </c>
      <c r="AKM10" s="6" t="s">
        <v>1008</v>
      </c>
      <c r="AKN10" s="6" t="s">
        <v>1009</v>
      </c>
      <c r="AKO10" s="6" t="s">
        <v>1010</v>
      </c>
      <c r="AKP10" s="6" t="s">
        <v>1011</v>
      </c>
      <c r="AKQ10" s="6" t="s">
        <v>1012</v>
      </c>
      <c r="AKR10" s="6" t="s">
        <v>1013</v>
      </c>
      <c r="AKS10" s="6" t="s">
        <v>1014</v>
      </c>
      <c r="AKT10" s="6" t="s">
        <v>1015</v>
      </c>
      <c r="AKU10" s="6" t="s">
        <v>1016</v>
      </c>
      <c r="AKV10" s="6" t="s">
        <v>1017</v>
      </c>
      <c r="AKW10" s="6" t="s">
        <v>1018</v>
      </c>
      <c r="AKX10" s="6" t="s">
        <v>1019</v>
      </c>
      <c r="AKY10" s="6" t="s">
        <v>1020</v>
      </c>
      <c r="AKZ10" s="6" t="s">
        <v>1021</v>
      </c>
      <c r="ALA10" s="6" t="s">
        <v>1022</v>
      </c>
      <c r="ALB10" s="6" t="s">
        <v>1023</v>
      </c>
      <c r="ALC10" s="6" t="s">
        <v>1024</v>
      </c>
      <c r="ALD10" s="6" t="s">
        <v>1025</v>
      </c>
      <c r="ALE10" s="6" t="s">
        <v>1026</v>
      </c>
      <c r="ALF10" s="6" t="s">
        <v>1027</v>
      </c>
      <c r="ALG10" s="6" t="s">
        <v>1028</v>
      </c>
      <c r="ALH10" s="6" t="s">
        <v>1029</v>
      </c>
      <c r="ALI10" s="6" t="s">
        <v>1030</v>
      </c>
      <c r="ALJ10" s="6" t="s">
        <v>1031</v>
      </c>
      <c r="ALK10" s="6" t="s">
        <v>1032</v>
      </c>
      <c r="ALL10" s="6" t="s">
        <v>1033</v>
      </c>
      <c r="ALM10" s="6" t="s">
        <v>1034</v>
      </c>
      <c r="ALN10" s="6" t="s">
        <v>1035</v>
      </c>
      <c r="ALO10" s="6" t="s">
        <v>1036</v>
      </c>
      <c r="ALP10" s="6" t="s">
        <v>1037</v>
      </c>
      <c r="ALQ10" s="6" t="s">
        <v>1038</v>
      </c>
      <c r="ALR10" s="6" t="s">
        <v>1039</v>
      </c>
      <c r="ALS10" s="6" t="s">
        <v>1040</v>
      </c>
      <c r="ALT10" s="6" t="s">
        <v>1041</v>
      </c>
      <c r="ALU10" s="6" t="s">
        <v>1042</v>
      </c>
      <c r="ALV10" s="6" t="s">
        <v>1043</v>
      </c>
      <c r="ALW10" s="6" t="s">
        <v>1044</v>
      </c>
      <c r="ALX10" s="6" t="s">
        <v>1045</v>
      </c>
    </row>
    <row r="11" spans="1:1012" x14ac:dyDescent="0.3">
      <c r="A11" s="6" t="s">
        <v>43</v>
      </c>
      <c r="B11" s="6" t="s">
        <v>42</v>
      </c>
      <c r="C11" s="7">
        <v>36</v>
      </c>
      <c r="D11" s="5" t="s">
        <v>12</v>
      </c>
      <c r="E11" s="6" t="s">
        <v>13</v>
      </c>
      <c r="F11" s="6" t="s">
        <v>20</v>
      </c>
      <c r="G11" s="5">
        <v>39</v>
      </c>
      <c r="H11" s="8">
        <v>44101</v>
      </c>
      <c r="I11" s="6" t="s">
        <v>29</v>
      </c>
      <c r="J11" s="6" t="s">
        <v>16</v>
      </c>
      <c r="L11" s="14" t="s">
        <v>1</v>
      </c>
      <c r="M11" s="6" t="s">
        <v>11</v>
      </c>
      <c r="N11" s="6" t="s">
        <v>11</v>
      </c>
      <c r="O11" s="6" t="s">
        <v>24</v>
      </c>
      <c r="P11" s="6" t="s">
        <v>24</v>
      </c>
      <c r="Q11" s="6" t="s">
        <v>31</v>
      </c>
      <c r="R11" s="6" t="s">
        <v>31</v>
      </c>
      <c r="S11" s="6" t="s">
        <v>31</v>
      </c>
      <c r="T11" s="6" t="s">
        <v>11</v>
      </c>
      <c r="U11" s="6" t="s">
        <v>42</v>
      </c>
      <c r="V11" s="6" t="s">
        <v>42</v>
      </c>
      <c r="W11" s="6" t="s">
        <v>11</v>
      </c>
      <c r="X11" s="6" t="s">
        <v>31</v>
      </c>
      <c r="Y11" s="6" t="s">
        <v>11</v>
      </c>
      <c r="Z11" s="6" t="s">
        <v>31</v>
      </c>
      <c r="AA11" s="6" t="s">
        <v>31</v>
      </c>
      <c r="AB11" s="6" t="s">
        <v>11</v>
      </c>
      <c r="AC11" s="6" t="s">
        <v>31</v>
      </c>
      <c r="AD11" s="6" t="s">
        <v>24</v>
      </c>
      <c r="AE11" s="6" t="s">
        <v>24</v>
      </c>
      <c r="AF11" s="6" t="s">
        <v>11</v>
      </c>
      <c r="AG11" s="6" t="s">
        <v>31</v>
      </c>
      <c r="AH11" s="6" t="s">
        <v>61</v>
      </c>
      <c r="AI11" s="6" t="s">
        <v>42</v>
      </c>
      <c r="AJ11" s="6" t="s">
        <v>42</v>
      </c>
      <c r="AK11" s="6" t="s">
        <v>31</v>
      </c>
      <c r="AL11" s="6" t="s">
        <v>31</v>
      </c>
      <c r="AM11" s="6" t="s">
        <v>24</v>
      </c>
      <c r="AN11" s="6" t="s">
        <v>11</v>
      </c>
      <c r="AO11" s="6" t="s">
        <v>24</v>
      </c>
      <c r="AP11" s="6" t="s">
        <v>11</v>
      </c>
      <c r="AQ11" s="6" t="s">
        <v>31</v>
      </c>
      <c r="AR11" s="6" t="s">
        <v>61</v>
      </c>
      <c r="AS11" s="6" t="s">
        <v>24</v>
      </c>
      <c r="AT11" s="6" t="s">
        <v>11</v>
      </c>
      <c r="AU11" s="6" t="s">
        <v>42</v>
      </c>
      <c r="AV11" s="6" t="s">
        <v>61</v>
      </c>
      <c r="AW11" s="6" t="s">
        <v>42</v>
      </c>
      <c r="AX11" s="6" t="s">
        <v>31</v>
      </c>
      <c r="AY11" s="6" t="s">
        <v>61</v>
      </c>
      <c r="AZ11" s="6" t="s">
        <v>31</v>
      </c>
      <c r="BA11" s="6" t="s">
        <v>61</v>
      </c>
      <c r="BB11" s="6" t="s">
        <v>11</v>
      </c>
      <c r="BC11" s="6" t="s">
        <v>31</v>
      </c>
      <c r="BD11" s="6" t="s">
        <v>11</v>
      </c>
      <c r="BE11" s="6" t="s">
        <v>11</v>
      </c>
      <c r="BF11" s="6" t="s">
        <v>24</v>
      </c>
      <c r="BG11" s="6" t="s">
        <v>11</v>
      </c>
      <c r="BH11" s="6" t="s">
        <v>24</v>
      </c>
      <c r="BI11" s="6" t="s">
        <v>24</v>
      </c>
      <c r="BJ11" s="6" t="s">
        <v>61</v>
      </c>
      <c r="BK11" s="6" t="s">
        <v>24</v>
      </c>
      <c r="BL11" s="6" t="s">
        <v>31</v>
      </c>
      <c r="BM11" s="6" t="s">
        <v>31</v>
      </c>
      <c r="BN11" s="6" t="s">
        <v>24</v>
      </c>
      <c r="BO11" s="6" t="s">
        <v>31</v>
      </c>
      <c r="BP11" s="6" t="s">
        <v>31</v>
      </c>
      <c r="BQ11" s="6" t="s">
        <v>42</v>
      </c>
      <c r="BR11" s="6" t="s">
        <v>24</v>
      </c>
      <c r="BS11" s="6" t="s">
        <v>31</v>
      </c>
      <c r="BT11" s="6" t="s">
        <v>42</v>
      </c>
      <c r="BU11" s="6" t="s">
        <v>61</v>
      </c>
      <c r="BV11" s="6" t="s">
        <v>31</v>
      </c>
      <c r="BW11" s="6" t="s">
        <v>11</v>
      </c>
      <c r="BX11" s="6" t="s">
        <v>42</v>
      </c>
      <c r="BY11" s="6" t="s">
        <v>61</v>
      </c>
      <c r="BZ11" s="6" t="s">
        <v>24</v>
      </c>
      <c r="CA11" s="6" t="s">
        <v>31</v>
      </c>
      <c r="CB11" s="6" t="s">
        <v>31</v>
      </c>
      <c r="CC11" s="6" t="s">
        <v>11</v>
      </c>
      <c r="CD11" s="6" t="s">
        <v>11</v>
      </c>
      <c r="CE11" s="6" t="s">
        <v>24</v>
      </c>
      <c r="CF11" s="6" t="s">
        <v>31</v>
      </c>
      <c r="CG11" s="6" t="s">
        <v>31</v>
      </c>
      <c r="CH11" s="6" t="s">
        <v>42</v>
      </c>
      <c r="CI11" s="6" t="s">
        <v>11</v>
      </c>
      <c r="CJ11" s="6" t="s">
        <v>11</v>
      </c>
      <c r="CK11" s="6" t="s">
        <v>61</v>
      </c>
      <c r="CL11" s="6" t="s">
        <v>24</v>
      </c>
      <c r="CM11" s="6" t="s">
        <v>31</v>
      </c>
      <c r="CN11" s="6" t="s">
        <v>61</v>
      </c>
      <c r="CO11" s="6" t="s">
        <v>24</v>
      </c>
      <c r="CP11" s="6" t="s">
        <v>42</v>
      </c>
      <c r="CQ11" s="6" t="s">
        <v>31</v>
      </c>
      <c r="CR11" s="6" t="s">
        <v>31</v>
      </c>
      <c r="CS11" s="6" t="s">
        <v>24</v>
      </c>
      <c r="CT11" s="6" t="s">
        <v>42</v>
      </c>
      <c r="CU11" s="6" t="s">
        <v>11</v>
      </c>
      <c r="CV11" s="6" t="s">
        <v>24</v>
      </c>
      <c r="CW11" s="6" t="s">
        <v>31</v>
      </c>
      <c r="CX11" s="6" t="s">
        <v>24</v>
      </c>
      <c r="CY11" s="6" t="s">
        <v>31</v>
      </c>
      <c r="CZ11" s="6" t="s">
        <v>31</v>
      </c>
      <c r="DA11" s="6" t="s">
        <v>24</v>
      </c>
      <c r="DB11" s="6" t="s">
        <v>24</v>
      </c>
      <c r="DC11" s="6" t="s">
        <v>24</v>
      </c>
      <c r="DD11" s="6" t="s">
        <v>31</v>
      </c>
      <c r="DE11" s="6" t="s">
        <v>24</v>
      </c>
      <c r="DF11" s="6" t="s">
        <v>31</v>
      </c>
      <c r="DG11" s="6" t="s">
        <v>11</v>
      </c>
      <c r="DH11" s="6" t="s">
        <v>11</v>
      </c>
      <c r="DI11" s="6" t="s">
        <v>42</v>
      </c>
      <c r="DJ11" s="6" t="s">
        <v>24</v>
      </c>
      <c r="DK11" s="6" t="s">
        <v>42</v>
      </c>
      <c r="DL11" s="6" t="s">
        <v>24</v>
      </c>
      <c r="DM11" s="6" t="s">
        <v>24</v>
      </c>
      <c r="DN11" s="6" t="s">
        <v>42</v>
      </c>
      <c r="DO11" s="6" t="s">
        <v>24</v>
      </c>
      <c r="DP11" s="6" t="s">
        <v>61</v>
      </c>
      <c r="DQ11" s="6" t="s">
        <v>24</v>
      </c>
      <c r="DR11" s="6" t="s">
        <v>61</v>
      </c>
      <c r="DS11" s="6" t="s">
        <v>11</v>
      </c>
      <c r="DT11" s="6" t="s">
        <v>24</v>
      </c>
      <c r="DU11" s="6" t="s">
        <v>31</v>
      </c>
      <c r="DV11" s="6" t="s">
        <v>11</v>
      </c>
      <c r="DW11" s="6" t="s">
        <v>42</v>
      </c>
      <c r="DX11" s="6" t="s">
        <v>11</v>
      </c>
      <c r="DY11" s="6" t="s">
        <v>24</v>
      </c>
      <c r="DZ11" s="6" t="s">
        <v>42</v>
      </c>
      <c r="EA11" s="6" t="s">
        <v>24</v>
      </c>
      <c r="EB11" s="6" t="s">
        <v>61</v>
      </c>
      <c r="EC11" s="6" t="s">
        <v>24</v>
      </c>
      <c r="ED11" s="6" t="s">
        <v>31</v>
      </c>
      <c r="EE11" s="6" t="s">
        <v>24</v>
      </c>
      <c r="EF11" s="6" t="s">
        <v>11</v>
      </c>
      <c r="EG11" s="6" t="s">
        <v>24</v>
      </c>
      <c r="EH11" s="6" t="s">
        <v>24</v>
      </c>
      <c r="EI11" s="6" t="s">
        <v>31</v>
      </c>
      <c r="EJ11" s="6" t="s">
        <v>11</v>
      </c>
      <c r="EK11" s="6" t="s">
        <v>31</v>
      </c>
      <c r="EL11" s="6" t="s">
        <v>61</v>
      </c>
      <c r="EM11" s="6" t="s">
        <v>11</v>
      </c>
      <c r="EN11" s="6" t="s">
        <v>24</v>
      </c>
      <c r="EO11" s="6" t="s">
        <v>11</v>
      </c>
      <c r="EP11" s="6" t="s">
        <v>42</v>
      </c>
      <c r="EQ11" s="6" t="s">
        <v>42</v>
      </c>
      <c r="ER11" s="6" t="s">
        <v>31</v>
      </c>
      <c r="ES11" s="6" t="s">
        <v>31</v>
      </c>
      <c r="ET11" s="6" t="s">
        <v>11</v>
      </c>
      <c r="EU11" s="6" t="s">
        <v>61</v>
      </c>
      <c r="EV11" s="6" t="s">
        <v>11</v>
      </c>
      <c r="EW11" s="6" t="s">
        <v>24</v>
      </c>
      <c r="EX11" s="6" t="s">
        <v>11</v>
      </c>
      <c r="EY11" s="6" t="s">
        <v>61</v>
      </c>
      <c r="EZ11" s="6" t="s">
        <v>31</v>
      </c>
      <c r="FA11" s="6" t="s">
        <v>24</v>
      </c>
      <c r="FB11" s="6" t="s">
        <v>31</v>
      </c>
      <c r="FC11" s="6" t="s">
        <v>24</v>
      </c>
      <c r="FD11" s="6" t="s">
        <v>31</v>
      </c>
      <c r="FE11" s="6" t="s">
        <v>31</v>
      </c>
      <c r="FF11" s="6" t="s">
        <v>11</v>
      </c>
      <c r="FG11" s="6" t="s">
        <v>61</v>
      </c>
      <c r="FH11" s="6" t="s">
        <v>61</v>
      </c>
      <c r="FI11" s="6" t="s">
        <v>61</v>
      </c>
      <c r="FJ11" s="6" t="s">
        <v>11</v>
      </c>
      <c r="FK11" s="6" t="s">
        <v>42</v>
      </c>
      <c r="FL11" s="6" t="s">
        <v>11</v>
      </c>
      <c r="FM11" s="6" t="s">
        <v>31</v>
      </c>
      <c r="FN11" s="6" t="s">
        <v>31</v>
      </c>
      <c r="FO11" s="6" t="s">
        <v>61</v>
      </c>
      <c r="FP11" s="6" t="s">
        <v>61</v>
      </c>
      <c r="FQ11" s="6" t="s">
        <v>31</v>
      </c>
      <c r="FR11" s="6" t="s">
        <v>42</v>
      </c>
      <c r="FS11" s="6" t="s">
        <v>31</v>
      </c>
      <c r="FT11" s="6" t="s">
        <v>24</v>
      </c>
      <c r="FU11" s="6" t="s">
        <v>31</v>
      </c>
      <c r="FV11" s="6" t="s">
        <v>31</v>
      </c>
      <c r="FW11" s="6" t="s">
        <v>24</v>
      </c>
      <c r="FX11" s="6" t="s">
        <v>24</v>
      </c>
      <c r="FY11" s="6" t="s">
        <v>24</v>
      </c>
      <c r="FZ11" s="6" t="s">
        <v>11</v>
      </c>
      <c r="GA11" s="6" t="s">
        <v>11</v>
      </c>
      <c r="GB11" s="6" t="s">
        <v>42</v>
      </c>
      <c r="GC11" s="6" t="s">
        <v>24</v>
      </c>
      <c r="GD11" s="6" t="s">
        <v>42</v>
      </c>
      <c r="GE11" s="6" t="s">
        <v>31</v>
      </c>
      <c r="GF11" s="6" t="s">
        <v>24</v>
      </c>
      <c r="GG11" s="6" t="s">
        <v>42</v>
      </c>
      <c r="GH11" s="6" t="s">
        <v>11</v>
      </c>
      <c r="GI11" s="6" t="s">
        <v>31</v>
      </c>
      <c r="GJ11" s="6" t="s">
        <v>42</v>
      </c>
      <c r="GK11" s="6" t="s">
        <v>31</v>
      </c>
      <c r="GL11" s="6" t="s">
        <v>31</v>
      </c>
      <c r="GM11" s="6" t="s">
        <v>24</v>
      </c>
      <c r="GN11" s="6" t="s">
        <v>11</v>
      </c>
      <c r="GO11" s="6" t="s">
        <v>24</v>
      </c>
      <c r="GP11" s="6" t="s">
        <v>24</v>
      </c>
      <c r="GQ11" s="6" t="s">
        <v>11</v>
      </c>
      <c r="GR11" s="6" t="s">
        <v>31</v>
      </c>
      <c r="GS11" s="6" t="s">
        <v>31</v>
      </c>
      <c r="GT11" s="6" t="s">
        <v>31</v>
      </c>
      <c r="GU11" s="6" t="s">
        <v>24</v>
      </c>
      <c r="GV11" s="6" t="s">
        <v>24</v>
      </c>
      <c r="GW11" s="6" t="s">
        <v>11</v>
      </c>
      <c r="GX11" s="6" t="s">
        <v>31</v>
      </c>
      <c r="GY11" s="6" t="s">
        <v>24</v>
      </c>
      <c r="GZ11" s="6" t="s">
        <v>31</v>
      </c>
      <c r="HA11" s="6" t="s">
        <v>42</v>
      </c>
      <c r="HB11" s="6" t="s">
        <v>24</v>
      </c>
      <c r="HC11" s="6" t="s">
        <v>61</v>
      </c>
      <c r="HD11" s="6" t="s">
        <v>24</v>
      </c>
      <c r="HE11" s="6" t="s">
        <v>24</v>
      </c>
      <c r="HF11" s="6" t="s">
        <v>24</v>
      </c>
      <c r="HG11" s="6" t="s">
        <v>42</v>
      </c>
      <c r="HH11" s="6" t="s">
        <v>61</v>
      </c>
      <c r="HI11" s="6" t="s">
        <v>61</v>
      </c>
      <c r="HJ11" s="6" t="s">
        <v>11</v>
      </c>
      <c r="HK11" s="6" t="s">
        <v>31</v>
      </c>
      <c r="HL11" s="6" t="s">
        <v>31</v>
      </c>
      <c r="HM11" s="6" t="s">
        <v>11</v>
      </c>
      <c r="HN11" s="6" t="s">
        <v>31</v>
      </c>
      <c r="HO11" s="6" t="s">
        <v>42</v>
      </c>
      <c r="HP11" s="6" t="s">
        <v>61</v>
      </c>
      <c r="HQ11" s="6" t="s">
        <v>11</v>
      </c>
      <c r="HR11" s="6" t="s">
        <v>31</v>
      </c>
      <c r="HS11" s="6" t="s">
        <v>31</v>
      </c>
      <c r="HT11" s="6" t="s">
        <v>31</v>
      </c>
      <c r="HU11" s="6" t="s">
        <v>24</v>
      </c>
      <c r="HV11" s="6" t="s">
        <v>61</v>
      </c>
      <c r="HW11" s="6" t="s">
        <v>11</v>
      </c>
      <c r="HX11" s="6" t="s">
        <v>42</v>
      </c>
      <c r="HY11" s="6" t="s">
        <v>31</v>
      </c>
      <c r="HZ11" s="6" t="s">
        <v>31</v>
      </c>
      <c r="IA11" s="6" t="s">
        <v>24</v>
      </c>
      <c r="IB11" s="6" t="s">
        <v>24</v>
      </c>
      <c r="IC11" s="6" t="s">
        <v>11</v>
      </c>
      <c r="ID11" s="6" t="s">
        <v>11</v>
      </c>
      <c r="IE11" s="6" t="s">
        <v>31</v>
      </c>
      <c r="IF11" s="6" t="s">
        <v>61</v>
      </c>
      <c r="IG11" s="6" t="s">
        <v>11</v>
      </c>
      <c r="IH11" s="6" t="s">
        <v>61</v>
      </c>
      <c r="II11" s="6" t="s">
        <v>24</v>
      </c>
      <c r="IJ11" s="6" t="s">
        <v>31</v>
      </c>
      <c r="IK11" s="6" t="s">
        <v>42</v>
      </c>
      <c r="IL11" s="6" t="s">
        <v>42</v>
      </c>
      <c r="IM11" s="6" t="s">
        <v>31</v>
      </c>
      <c r="IN11" s="6" t="s">
        <v>24</v>
      </c>
      <c r="IO11" s="6" t="s">
        <v>31</v>
      </c>
      <c r="IP11" s="6" t="s">
        <v>11</v>
      </c>
      <c r="IQ11" s="6" t="s">
        <v>42</v>
      </c>
      <c r="IR11" s="6" t="s">
        <v>31</v>
      </c>
      <c r="IS11" s="6" t="s">
        <v>42</v>
      </c>
      <c r="IT11" s="6" t="s">
        <v>31</v>
      </c>
      <c r="IU11" s="6" t="s">
        <v>11</v>
      </c>
      <c r="IV11" s="6" t="s">
        <v>61</v>
      </c>
      <c r="IW11" s="6" t="s">
        <v>42</v>
      </c>
      <c r="IX11" s="6" t="s">
        <v>24</v>
      </c>
      <c r="IY11" s="6" t="s">
        <v>42</v>
      </c>
      <c r="IZ11" s="6" t="s">
        <v>11</v>
      </c>
      <c r="JA11" s="6" t="s">
        <v>24</v>
      </c>
      <c r="JB11" s="6" t="s">
        <v>24</v>
      </c>
      <c r="JC11" s="6" t="s">
        <v>31</v>
      </c>
      <c r="JD11" s="6" t="s">
        <v>11</v>
      </c>
      <c r="JE11" s="6" t="s">
        <v>24</v>
      </c>
      <c r="JF11" s="6" t="s">
        <v>61</v>
      </c>
      <c r="JG11" s="6" t="s">
        <v>42</v>
      </c>
      <c r="JH11" s="6" t="s">
        <v>31</v>
      </c>
      <c r="JI11" s="6" t="s">
        <v>11</v>
      </c>
      <c r="JJ11" s="6" t="s">
        <v>31</v>
      </c>
      <c r="JK11" s="6" t="s">
        <v>24</v>
      </c>
      <c r="JL11" s="6" t="s">
        <v>42</v>
      </c>
      <c r="JM11" s="6" t="s">
        <v>31</v>
      </c>
      <c r="JN11" s="6" t="s">
        <v>11</v>
      </c>
      <c r="JO11" s="6" t="s">
        <v>24</v>
      </c>
      <c r="JP11" s="6" t="s">
        <v>24</v>
      </c>
      <c r="JQ11" s="6" t="s">
        <v>31</v>
      </c>
      <c r="JR11" s="6" t="s">
        <v>24</v>
      </c>
      <c r="JS11" s="6" t="s">
        <v>42</v>
      </c>
      <c r="JT11" s="6" t="s">
        <v>61</v>
      </c>
      <c r="JU11" s="6" t="s">
        <v>61</v>
      </c>
      <c r="JV11" s="6" t="s">
        <v>24</v>
      </c>
      <c r="JW11" s="6" t="s">
        <v>24</v>
      </c>
      <c r="JX11" s="6" t="s">
        <v>61</v>
      </c>
      <c r="JY11" s="6" t="s">
        <v>61</v>
      </c>
      <c r="JZ11" s="6" t="s">
        <v>61</v>
      </c>
      <c r="KA11" s="6" t="s">
        <v>31</v>
      </c>
      <c r="KB11" s="6" t="s">
        <v>31</v>
      </c>
      <c r="KC11" s="6" t="s">
        <v>24</v>
      </c>
      <c r="KD11" s="6" t="s">
        <v>31</v>
      </c>
      <c r="KE11" s="6" t="s">
        <v>31</v>
      </c>
      <c r="KF11" s="6" t="s">
        <v>24</v>
      </c>
      <c r="KG11" s="6" t="s">
        <v>24</v>
      </c>
      <c r="KH11" s="6" t="s">
        <v>42</v>
      </c>
      <c r="KI11" s="6" t="s">
        <v>24</v>
      </c>
      <c r="KJ11" s="6" t="s">
        <v>42</v>
      </c>
      <c r="KK11" s="6" t="s">
        <v>24</v>
      </c>
      <c r="KL11" s="6" t="s">
        <v>31</v>
      </c>
      <c r="KM11" s="6" t="s">
        <v>11</v>
      </c>
      <c r="KN11" s="6" t="s">
        <v>11</v>
      </c>
      <c r="KO11" s="6" t="s">
        <v>11</v>
      </c>
      <c r="KP11" s="6" t="s">
        <v>11</v>
      </c>
      <c r="KQ11" s="6" t="s">
        <v>61</v>
      </c>
      <c r="KR11" s="6" t="s">
        <v>11</v>
      </c>
      <c r="KS11" s="6" t="s">
        <v>31</v>
      </c>
      <c r="KT11" s="6" t="s">
        <v>42</v>
      </c>
      <c r="KU11" s="6" t="s">
        <v>31</v>
      </c>
      <c r="KV11" s="6" t="s">
        <v>31</v>
      </c>
      <c r="KW11" s="6" t="s">
        <v>24</v>
      </c>
      <c r="KX11" s="6" t="s">
        <v>42</v>
      </c>
      <c r="KY11" s="6" t="s">
        <v>24</v>
      </c>
      <c r="KZ11" s="6" t="s">
        <v>31</v>
      </c>
      <c r="LA11" s="6" t="s">
        <v>11</v>
      </c>
      <c r="LB11" s="6" t="s">
        <v>24</v>
      </c>
      <c r="LC11" s="6" t="s">
        <v>24</v>
      </c>
      <c r="LD11" s="6" t="s">
        <v>24</v>
      </c>
      <c r="LE11" s="6" t="s">
        <v>31</v>
      </c>
      <c r="LF11" s="6" t="s">
        <v>11</v>
      </c>
      <c r="LG11" s="6" t="s">
        <v>42</v>
      </c>
      <c r="LH11" s="6" t="s">
        <v>31</v>
      </c>
      <c r="LI11" s="6" t="s">
        <v>11</v>
      </c>
      <c r="LJ11" s="6" t="s">
        <v>31</v>
      </c>
      <c r="LK11" s="6" t="s">
        <v>61</v>
      </c>
      <c r="LL11" s="6" t="s">
        <v>31</v>
      </c>
      <c r="LM11" s="6" t="s">
        <v>24</v>
      </c>
      <c r="LN11" s="6" t="s">
        <v>31</v>
      </c>
      <c r="LO11" s="6" t="s">
        <v>11</v>
      </c>
      <c r="LP11" s="6" t="s">
        <v>24</v>
      </c>
      <c r="LQ11" s="6" t="s">
        <v>11</v>
      </c>
      <c r="LR11" s="6" t="s">
        <v>24</v>
      </c>
      <c r="LS11" s="6" t="s">
        <v>31</v>
      </c>
      <c r="LT11" s="6" t="s">
        <v>31</v>
      </c>
      <c r="LU11" s="6" t="s">
        <v>24</v>
      </c>
      <c r="LV11" s="6" t="s">
        <v>11</v>
      </c>
      <c r="LW11" s="6" t="s">
        <v>61</v>
      </c>
      <c r="LX11" s="6" t="s">
        <v>61</v>
      </c>
      <c r="LY11" s="6" t="s">
        <v>61</v>
      </c>
      <c r="LZ11" s="6" t="s">
        <v>11</v>
      </c>
      <c r="MA11" s="6" t="s">
        <v>11</v>
      </c>
      <c r="MB11" s="6" t="s">
        <v>31</v>
      </c>
      <c r="MC11" s="6" t="s">
        <v>42</v>
      </c>
      <c r="MD11" s="6" t="s">
        <v>24</v>
      </c>
      <c r="ME11" s="6" t="s">
        <v>11</v>
      </c>
      <c r="MF11" s="6" t="s">
        <v>31</v>
      </c>
      <c r="MG11" s="6" t="s">
        <v>42</v>
      </c>
      <c r="MH11" s="6" t="s">
        <v>31</v>
      </c>
      <c r="MI11" s="6" t="s">
        <v>31</v>
      </c>
      <c r="MJ11" s="6" t="s">
        <v>31</v>
      </c>
      <c r="MK11" s="6" t="s">
        <v>24</v>
      </c>
      <c r="ML11" s="6" t="s">
        <v>42</v>
      </c>
      <c r="MM11" s="6" t="s">
        <v>31</v>
      </c>
      <c r="MN11" s="6" t="s">
        <v>31</v>
      </c>
      <c r="MO11" s="6" t="s">
        <v>24</v>
      </c>
      <c r="MP11" s="6" t="s">
        <v>61</v>
      </c>
      <c r="MQ11" s="6" t="s">
        <v>11</v>
      </c>
      <c r="MR11" s="6" t="s">
        <v>31</v>
      </c>
      <c r="MS11" s="6" t="s">
        <v>61</v>
      </c>
      <c r="MT11" s="6" t="s">
        <v>31</v>
      </c>
      <c r="MU11" s="6" t="s">
        <v>61</v>
      </c>
      <c r="MV11" s="6" t="s">
        <v>11</v>
      </c>
      <c r="MW11" s="6" t="s">
        <v>31</v>
      </c>
      <c r="MX11" s="6" t="s">
        <v>61</v>
      </c>
      <c r="MY11" s="6" t="s">
        <v>42</v>
      </c>
      <c r="MZ11" s="6" t="s">
        <v>31</v>
      </c>
      <c r="NA11" s="6" t="s">
        <v>24</v>
      </c>
      <c r="NB11" s="6" t="s">
        <v>11</v>
      </c>
      <c r="NC11" s="6" t="s">
        <v>11</v>
      </c>
      <c r="ND11" s="6" t="s">
        <v>24</v>
      </c>
      <c r="NE11" s="6" t="s">
        <v>61</v>
      </c>
      <c r="NF11" s="6" t="s">
        <v>24</v>
      </c>
      <c r="NG11" s="6" t="s">
        <v>31</v>
      </c>
      <c r="NH11" s="6" t="s">
        <v>42</v>
      </c>
      <c r="NI11" s="6" t="s">
        <v>24</v>
      </c>
      <c r="NJ11" s="6" t="s">
        <v>11</v>
      </c>
      <c r="NK11" s="6" t="s">
        <v>31</v>
      </c>
      <c r="NL11" s="6" t="s">
        <v>11</v>
      </c>
      <c r="NM11" s="6" t="s">
        <v>61</v>
      </c>
      <c r="NN11" s="6" t="s">
        <v>24</v>
      </c>
      <c r="NO11" s="6" t="s">
        <v>61</v>
      </c>
      <c r="NP11" s="6" t="s">
        <v>31</v>
      </c>
      <c r="NQ11" s="6" t="s">
        <v>11</v>
      </c>
      <c r="NR11" s="6" t="s">
        <v>61</v>
      </c>
      <c r="NS11" s="6" t="s">
        <v>31</v>
      </c>
      <c r="NT11" s="6" t="s">
        <v>61</v>
      </c>
      <c r="NU11" s="6" t="s">
        <v>24</v>
      </c>
      <c r="NV11" s="6" t="s">
        <v>24</v>
      </c>
      <c r="NW11" s="6" t="s">
        <v>24</v>
      </c>
      <c r="NX11" s="6" t="s">
        <v>31</v>
      </c>
      <c r="NY11" s="6" t="s">
        <v>24</v>
      </c>
      <c r="NZ11" s="6" t="s">
        <v>31</v>
      </c>
      <c r="OA11" s="6" t="s">
        <v>31</v>
      </c>
      <c r="OB11" s="6" t="s">
        <v>42</v>
      </c>
      <c r="OC11" s="6" t="s">
        <v>31</v>
      </c>
      <c r="OD11" s="6" t="s">
        <v>31</v>
      </c>
      <c r="OE11" s="6" t="s">
        <v>31</v>
      </c>
      <c r="OF11" s="6" t="s">
        <v>11</v>
      </c>
      <c r="OG11" s="6" t="s">
        <v>11</v>
      </c>
      <c r="OH11" s="6" t="s">
        <v>31</v>
      </c>
      <c r="OI11" s="6" t="s">
        <v>11</v>
      </c>
      <c r="OJ11" s="6" t="s">
        <v>24</v>
      </c>
      <c r="OK11" s="6" t="s">
        <v>11</v>
      </c>
      <c r="OL11" s="6" t="s">
        <v>24</v>
      </c>
      <c r="OM11" s="6" t="s">
        <v>42</v>
      </c>
      <c r="ON11" s="6" t="s">
        <v>11</v>
      </c>
      <c r="OO11" s="6" t="s">
        <v>42</v>
      </c>
      <c r="OP11" s="6" t="s">
        <v>24</v>
      </c>
      <c r="OQ11" s="6" t="s">
        <v>11</v>
      </c>
      <c r="OR11" s="6" t="s">
        <v>11</v>
      </c>
      <c r="OS11" s="6" t="s">
        <v>31</v>
      </c>
      <c r="OT11" s="6" t="s">
        <v>31</v>
      </c>
      <c r="OU11" s="6" t="s">
        <v>42</v>
      </c>
      <c r="OV11" s="6" t="s">
        <v>24</v>
      </c>
      <c r="OW11" s="6" t="s">
        <v>24</v>
      </c>
      <c r="OX11" s="6" t="s">
        <v>42</v>
      </c>
      <c r="OY11" s="6" t="s">
        <v>31</v>
      </c>
      <c r="OZ11" s="6" t="s">
        <v>24</v>
      </c>
      <c r="PA11" s="6" t="s">
        <v>24</v>
      </c>
      <c r="PB11" s="6" t="s">
        <v>42</v>
      </c>
      <c r="PC11" s="6" t="s">
        <v>11</v>
      </c>
      <c r="PD11" s="6" t="s">
        <v>11</v>
      </c>
      <c r="PE11" s="6" t="s">
        <v>61</v>
      </c>
      <c r="PF11" s="6" t="s">
        <v>11</v>
      </c>
      <c r="PG11" s="6" t="s">
        <v>24</v>
      </c>
      <c r="PH11" s="6" t="s">
        <v>11</v>
      </c>
      <c r="PI11" s="6" t="s">
        <v>61</v>
      </c>
      <c r="PJ11" s="6" t="s">
        <v>31</v>
      </c>
      <c r="PK11" s="6" t="s">
        <v>61</v>
      </c>
      <c r="PL11" s="6" t="s">
        <v>61</v>
      </c>
      <c r="PM11" s="6" t="s">
        <v>31</v>
      </c>
      <c r="PN11" s="6" t="s">
        <v>11</v>
      </c>
      <c r="PO11" s="6" t="s">
        <v>24</v>
      </c>
      <c r="PP11" s="6" t="s">
        <v>24</v>
      </c>
      <c r="PQ11" s="6" t="s">
        <v>42</v>
      </c>
      <c r="PR11" s="6" t="s">
        <v>31</v>
      </c>
      <c r="PS11" s="6" t="s">
        <v>11</v>
      </c>
      <c r="PT11" s="6" t="s">
        <v>61</v>
      </c>
      <c r="PU11" s="6" t="s">
        <v>11</v>
      </c>
      <c r="PV11" s="6" t="s">
        <v>31</v>
      </c>
      <c r="PW11" s="6" t="s">
        <v>24</v>
      </c>
      <c r="PX11" s="6" t="s">
        <v>61</v>
      </c>
      <c r="PY11" s="6" t="s">
        <v>31</v>
      </c>
      <c r="PZ11" s="6" t="s">
        <v>24</v>
      </c>
      <c r="QA11" s="6" t="s">
        <v>61</v>
      </c>
      <c r="QB11" s="6" t="s">
        <v>24</v>
      </c>
      <c r="QC11" s="6" t="s">
        <v>31</v>
      </c>
      <c r="QD11" s="6" t="s">
        <v>31</v>
      </c>
      <c r="QE11" s="6" t="s">
        <v>11</v>
      </c>
      <c r="QF11" s="6" t="s">
        <v>31</v>
      </c>
      <c r="QG11" s="6" t="s">
        <v>42</v>
      </c>
      <c r="QH11" s="6" t="s">
        <v>42</v>
      </c>
      <c r="QI11" s="6" t="s">
        <v>11</v>
      </c>
      <c r="QJ11" s="6" t="s">
        <v>11</v>
      </c>
      <c r="QK11" s="6" t="s">
        <v>11</v>
      </c>
      <c r="QL11" s="6" t="s">
        <v>11</v>
      </c>
      <c r="QM11" s="6" t="s">
        <v>31</v>
      </c>
      <c r="QN11" s="6" t="s">
        <v>31</v>
      </c>
      <c r="QO11" s="6" t="s">
        <v>24</v>
      </c>
      <c r="QP11" s="6" t="s">
        <v>42</v>
      </c>
      <c r="QQ11" s="6" t="s">
        <v>11</v>
      </c>
      <c r="QR11" s="6" t="s">
        <v>61</v>
      </c>
      <c r="QS11" s="6" t="s">
        <v>31</v>
      </c>
      <c r="QT11" s="6" t="s">
        <v>42</v>
      </c>
      <c r="QU11" s="6" t="s">
        <v>31</v>
      </c>
      <c r="QV11" s="6" t="s">
        <v>42</v>
      </c>
      <c r="QW11" s="6" t="s">
        <v>11</v>
      </c>
      <c r="QX11" s="6" t="s">
        <v>24</v>
      </c>
      <c r="QY11" s="6" t="s">
        <v>11</v>
      </c>
      <c r="QZ11" s="6" t="s">
        <v>31</v>
      </c>
      <c r="RA11" s="6" t="s">
        <v>24</v>
      </c>
      <c r="RB11" s="6" t="s">
        <v>61</v>
      </c>
      <c r="RC11" s="6" t="s">
        <v>31</v>
      </c>
      <c r="RD11" s="6" t="s">
        <v>11</v>
      </c>
      <c r="RE11" s="6" t="s">
        <v>24</v>
      </c>
      <c r="RF11" s="6" t="s">
        <v>31</v>
      </c>
      <c r="RG11" s="6" t="s">
        <v>61</v>
      </c>
      <c r="RH11" s="6" t="s">
        <v>24</v>
      </c>
      <c r="RI11" s="6" t="s">
        <v>11</v>
      </c>
      <c r="RJ11" s="6" t="s">
        <v>24</v>
      </c>
      <c r="RK11" s="6" t="s">
        <v>11</v>
      </c>
      <c r="RL11" s="6" t="s">
        <v>24</v>
      </c>
      <c r="RM11" s="6" t="s">
        <v>24</v>
      </c>
      <c r="RN11" s="6" t="s">
        <v>42</v>
      </c>
      <c r="RO11" s="6" t="s">
        <v>11</v>
      </c>
      <c r="RP11" s="6" t="s">
        <v>24</v>
      </c>
      <c r="RQ11" s="6" t="s">
        <v>31</v>
      </c>
      <c r="RR11" s="6" t="s">
        <v>42</v>
      </c>
      <c r="RS11" s="6" t="s">
        <v>24</v>
      </c>
      <c r="RT11" s="6" t="s">
        <v>31</v>
      </c>
      <c r="RU11" s="6" t="s">
        <v>24</v>
      </c>
      <c r="RV11" s="6" t="s">
        <v>42</v>
      </c>
      <c r="RW11" s="6" t="s">
        <v>31</v>
      </c>
      <c r="RX11" s="6" t="s">
        <v>24</v>
      </c>
      <c r="RY11" s="6" t="s">
        <v>24</v>
      </c>
      <c r="RZ11" s="6" t="s">
        <v>61</v>
      </c>
      <c r="SA11" s="6" t="s">
        <v>42</v>
      </c>
      <c r="SB11" s="6" t="s">
        <v>31</v>
      </c>
      <c r="SC11" s="6" t="s">
        <v>24</v>
      </c>
      <c r="SD11" s="6" t="s">
        <v>24</v>
      </c>
      <c r="SE11" s="6" t="s">
        <v>31</v>
      </c>
      <c r="SF11" s="6" t="s">
        <v>11</v>
      </c>
      <c r="SG11" s="6" t="s">
        <v>11</v>
      </c>
      <c r="SH11" s="6" t="s">
        <v>24</v>
      </c>
      <c r="SI11" s="6" t="s">
        <v>24</v>
      </c>
      <c r="SJ11" s="6" t="s">
        <v>42</v>
      </c>
      <c r="SK11" s="6" t="s">
        <v>24</v>
      </c>
      <c r="SL11" s="6" t="s">
        <v>24</v>
      </c>
      <c r="SM11" s="6" t="s">
        <v>11</v>
      </c>
      <c r="SN11" s="6" t="s">
        <v>11</v>
      </c>
      <c r="SO11" s="6" t="s">
        <v>31</v>
      </c>
      <c r="SP11" s="6" t="s">
        <v>24</v>
      </c>
      <c r="SQ11" s="6" t="s">
        <v>42</v>
      </c>
      <c r="SR11" s="6" t="s">
        <v>11</v>
      </c>
      <c r="SS11" s="6" t="s">
        <v>24</v>
      </c>
      <c r="ST11" s="6" t="s">
        <v>31</v>
      </c>
      <c r="SU11" s="6" t="s">
        <v>11</v>
      </c>
      <c r="SV11" s="6" t="s">
        <v>31</v>
      </c>
      <c r="SW11" s="6" t="s">
        <v>31</v>
      </c>
      <c r="SX11" s="6" t="s">
        <v>61</v>
      </c>
      <c r="SY11" s="6" t="s">
        <v>24</v>
      </c>
      <c r="SZ11" s="6" t="s">
        <v>31</v>
      </c>
      <c r="TA11" s="6" t="s">
        <v>11</v>
      </c>
      <c r="TB11" s="6" t="s">
        <v>31</v>
      </c>
      <c r="TC11" s="6" t="s">
        <v>31</v>
      </c>
      <c r="TD11" s="6" t="s">
        <v>11</v>
      </c>
      <c r="TE11" s="6" t="s">
        <v>31</v>
      </c>
      <c r="TF11" s="6" t="s">
        <v>11</v>
      </c>
      <c r="TG11" s="6" t="s">
        <v>24</v>
      </c>
      <c r="TH11" s="6" t="s">
        <v>24</v>
      </c>
      <c r="TI11" s="6" t="s">
        <v>11</v>
      </c>
      <c r="TJ11" s="6" t="s">
        <v>24</v>
      </c>
      <c r="TK11" s="6" t="s">
        <v>42</v>
      </c>
      <c r="TL11" s="6" t="s">
        <v>24</v>
      </c>
      <c r="TM11" s="6" t="s">
        <v>31</v>
      </c>
      <c r="TN11" s="6" t="s">
        <v>61</v>
      </c>
      <c r="TO11" s="6" t="s">
        <v>61</v>
      </c>
      <c r="TP11" s="6" t="s">
        <v>24</v>
      </c>
      <c r="TQ11" s="6" t="s">
        <v>11</v>
      </c>
      <c r="TR11" s="6" t="s">
        <v>24</v>
      </c>
      <c r="TS11" s="6" t="s">
        <v>11</v>
      </c>
      <c r="TT11" s="6" t="s">
        <v>31</v>
      </c>
      <c r="TU11" s="6" t="s">
        <v>11</v>
      </c>
      <c r="TV11" s="6" t="s">
        <v>11</v>
      </c>
      <c r="TW11" s="6" t="s">
        <v>24</v>
      </c>
      <c r="TX11" s="6" t="s">
        <v>61</v>
      </c>
      <c r="TY11" s="6" t="s">
        <v>11</v>
      </c>
      <c r="TZ11" s="6" t="s">
        <v>31</v>
      </c>
      <c r="UA11" s="6" t="s">
        <v>11</v>
      </c>
      <c r="UB11" s="6" t="s">
        <v>24</v>
      </c>
      <c r="UC11" s="6" t="s">
        <v>42</v>
      </c>
      <c r="UD11" s="6" t="s">
        <v>11</v>
      </c>
      <c r="UE11" s="6" t="s">
        <v>61</v>
      </c>
      <c r="UF11" s="6" t="s">
        <v>31</v>
      </c>
      <c r="UG11" s="6" t="s">
        <v>11</v>
      </c>
      <c r="UH11" s="6" t="s">
        <v>24</v>
      </c>
      <c r="UI11" s="6" t="s">
        <v>31</v>
      </c>
      <c r="UJ11" s="6" t="s">
        <v>24</v>
      </c>
      <c r="UK11" s="6" t="s">
        <v>31</v>
      </c>
      <c r="UL11" s="6" t="s">
        <v>11</v>
      </c>
      <c r="UM11" s="6" t="s">
        <v>61</v>
      </c>
      <c r="UN11" s="6" t="s">
        <v>42</v>
      </c>
      <c r="UO11" s="6" t="s">
        <v>24</v>
      </c>
      <c r="UP11" s="6" t="s">
        <v>31</v>
      </c>
      <c r="UQ11" s="6" t="s">
        <v>61</v>
      </c>
      <c r="UR11" s="6" t="s">
        <v>31</v>
      </c>
      <c r="US11" s="6" t="s">
        <v>31</v>
      </c>
      <c r="UT11" s="6" t="s">
        <v>42</v>
      </c>
      <c r="UU11" s="6" t="s">
        <v>61</v>
      </c>
      <c r="UV11" s="6" t="s">
        <v>24</v>
      </c>
      <c r="UW11" s="6" t="s">
        <v>42</v>
      </c>
      <c r="UX11" s="6" t="s">
        <v>31</v>
      </c>
      <c r="UY11" s="6" t="s">
        <v>24</v>
      </c>
      <c r="UZ11" s="6" t="s">
        <v>24</v>
      </c>
      <c r="VA11" s="6" t="s">
        <v>42</v>
      </c>
      <c r="VB11" s="6" t="s">
        <v>11</v>
      </c>
      <c r="VC11" s="6" t="s">
        <v>11</v>
      </c>
      <c r="VD11" s="6" t="s">
        <v>24</v>
      </c>
      <c r="VE11" s="6" t="s">
        <v>11</v>
      </c>
      <c r="VF11" s="6" t="s">
        <v>42</v>
      </c>
      <c r="VG11" s="6" t="s">
        <v>61</v>
      </c>
      <c r="VH11" s="6" t="s">
        <v>11</v>
      </c>
      <c r="VI11" s="6" t="s">
        <v>24</v>
      </c>
      <c r="VJ11" s="6" t="s">
        <v>31</v>
      </c>
      <c r="VK11" s="6" t="s">
        <v>31</v>
      </c>
      <c r="VL11" s="6" t="s">
        <v>11</v>
      </c>
      <c r="VM11" s="6" t="s">
        <v>24</v>
      </c>
      <c r="VN11" s="6" t="s">
        <v>11</v>
      </c>
      <c r="VO11" s="6" t="s">
        <v>31</v>
      </c>
      <c r="VP11" s="6" t="s">
        <v>31</v>
      </c>
      <c r="VQ11" s="6" t="s">
        <v>61</v>
      </c>
      <c r="VR11" s="6" t="s">
        <v>24</v>
      </c>
      <c r="VS11" s="6" t="s">
        <v>31</v>
      </c>
      <c r="VT11" s="6" t="s">
        <v>61</v>
      </c>
      <c r="VU11" s="6" t="s">
        <v>31</v>
      </c>
      <c r="VV11" s="6" t="s">
        <v>31</v>
      </c>
      <c r="VW11" s="6" t="s">
        <v>24</v>
      </c>
      <c r="VX11" s="6" t="s">
        <v>42</v>
      </c>
      <c r="VY11" s="6" t="s">
        <v>11</v>
      </c>
      <c r="VZ11" s="6" t="s">
        <v>24</v>
      </c>
      <c r="WA11" s="6" t="s">
        <v>42</v>
      </c>
      <c r="WB11" s="6" t="s">
        <v>61</v>
      </c>
      <c r="WC11" s="6" t="s">
        <v>24</v>
      </c>
      <c r="WD11" s="6" t="s">
        <v>31</v>
      </c>
      <c r="WE11" s="6" t="s">
        <v>11</v>
      </c>
      <c r="WF11" s="6" t="s">
        <v>31</v>
      </c>
      <c r="WG11" s="6" t="s">
        <v>24</v>
      </c>
      <c r="WH11" s="6" t="s">
        <v>31</v>
      </c>
      <c r="WI11" s="6" t="s">
        <v>11</v>
      </c>
      <c r="WJ11" s="6" t="s">
        <v>42</v>
      </c>
      <c r="WK11" s="6" t="s">
        <v>31</v>
      </c>
      <c r="WL11" s="6" t="s">
        <v>11</v>
      </c>
      <c r="WM11" s="6" t="s">
        <v>24</v>
      </c>
      <c r="WN11" s="6" t="s">
        <v>24</v>
      </c>
      <c r="WO11" s="6" t="s">
        <v>31</v>
      </c>
      <c r="WP11" s="6" t="s">
        <v>11</v>
      </c>
      <c r="WQ11" s="6" t="s">
        <v>11</v>
      </c>
      <c r="WR11" s="6" t="s">
        <v>31</v>
      </c>
      <c r="WS11" s="6" t="s">
        <v>24</v>
      </c>
      <c r="WT11" s="6" t="s">
        <v>31</v>
      </c>
      <c r="WU11" s="6" t="s">
        <v>61</v>
      </c>
      <c r="WV11" s="6" t="s">
        <v>31</v>
      </c>
      <c r="WW11" s="6" t="s">
        <v>11</v>
      </c>
      <c r="WX11" s="6" t="s">
        <v>11</v>
      </c>
      <c r="WY11" s="6" t="s">
        <v>11</v>
      </c>
      <c r="WZ11" s="6" t="s">
        <v>11</v>
      </c>
      <c r="XA11" s="6" t="s">
        <v>11</v>
      </c>
      <c r="XB11" s="6" t="s">
        <v>61</v>
      </c>
      <c r="XC11" s="6" t="s">
        <v>31</v>
      </c>
      <c r="XD11" s="6" t="s">
        <v>42</v>
      </c>
      <c r="XE11" s="6" t="s">
        <v>24</v>
      </c>
      <c r="XF11" s="6" t="s">
        <v>42</v>
      </c>
      <c r="XG11" s="6" t="s">
        <v>61</v>
      </c>
      <c r="XH11" s="6" t="s">
        <v>11</v>
      </c>
      <c r="XI11" s="6" t="s">
        <v>61</v>
      </c>
      <c r="XJ11" s="6" t="s">
        <v>11</v>
      </c>
      <c r="XK11" s="6" t="s">
        <v>31</v>
      </c>
      <c r="XL11" s="6" t="s">
        <v>11</v>
      </c>
      <c r="XM11" s="6" t="s">
        <v>24</v>
      </c>
      <c r="XN11" s="6" t="s">
        <v>31</v>
      </c>
      <c r="XO11" s="6" t="s">
        <v>31</v>
      </c>
      <c r="XP11" s="6" t="s">
        <v>31</v>
      </c>
      <c r="XQ11" s="6" t="s">
        <v>31</v>
      </c>
      <c r="XR11" s="6" t="s">
        <v>24</v>
      </c>
      <c r="XS11" s="6" t="s">
        <v>11</v>
      </c>
      <c r="XT11" s="6" t="s">
        <v>42</v>
      </c>
      <c r="XU11" s="6" t="s">
        <v>31</v>
      </c>
      <c r="XV11" s="6" t="s">
        <v>31</v>
      </c>
      <c r="XW11" s="6" t="s">
        <v>61</v>
      </c>
      <c r="XX11" s="6" t="s">
        <v>11</v>
      </c>
      <c r="XY11" s="6" t="s">
        <v>11</v>
      </c>
      <c r="XZ11" s="6" t="s">
        <v>24</v>
      </c>
      <c r="YA11" s="6" t="s">
        <v>42</v>
      </c>
      <c r="YB11" s="6" t="s">
        <v>31</v>
      </c>
      <c r="YC11" s="6" t="s">
        <v>61</v>
      </c>
      <c r="YD11" s="6" t="s">
        <v>31</v>
      </c>
      <c r="YE11" s="6" t="s">
        <v>11</v>
      </c>
      <c r="YF11" s="6" t="s">
        <v>24</v>
      </c>
      <c r="YG11" s="6" t="s">
        <v>11</v>
      </c>
      <c r="YH11" s="6" t="s">
        <v>24</v>
      </c>
      <c r="YI11" s="6" t="s">
        <v>24</v>
      </c>
      <c r="YJ11" s="6" t="s">
        <v>42</v>
      </c>
      <c r="YK11" s="6" t="s">
        <v>11</v>
      </c>
      <c r="YL11" s="6" t="s">
        <v>24</v>
      </c>
      <c r="YM11" s="6" t="s">
        <v>31</v>
      </c>
      <c r="YN11" s="6" t="s">
        <v>31</v>
      </c>
      <c r="YO11" s="6" t="s">
        <v>42</v>
      </c>
      <c r="YP11" s="6" t="s">
        <v>42</v>
      </c>
      <c r="YQ11" s="6" t="s">
        <v>31</v>
      </c>
      <c r="YR11" s="6" t="s">
        <v>61</v>
      </c>
      <c r="YS11" s="6" t="s">
        <v>24</v>
      </c>
      <c r="YT11" s="6" t="s">
        <v>11</v>
      </c>
      <c r="YU11" s="6" t="s">
        <v>31</v>
      </c>
      <c r="YV11" s="6" t="s">
        <v>11</v>
      </c>
      <c r="YW11" s="6" t="s">
        <v>24</v>
      </c>
      <c r="YX11" s="6" t="s">
        <v>31</v>
      </c>
      <c r="YY11" s="6" t="s">
        <v>24</v>
      </c>
      <c r="YZ11" s="6" t="s">
        <v>11</v>
      </c>
      <c r="ZA11" s="6" t="s">
        <v>24</v>
      </c>
      <c r="ZB11" s="6" t="s">
        <v>24</v>
      </c>
      <c r="ZC11" s="6" t="s">
        <v>24</v>
      </c>
      <c r="ZD11" s="6" t="s">
        <v>42</v>
      </c>
      <c r="ZE11" s="6" t="s">
        <v>61</v>
      </c>
      <c r="ZF11" s="6" t="s">
        <v>24</v>
      </c>
      <c r="ZG11" s="6" t="s">
        <v>31</v>
      </c>
      <c r="ZH11" s="6" t="s">
        <v>31</v>
      </c>
      <c r="ZI11" s="6" t="s">
        <v>24</v>
      </c>
      <c r="ZJ11" s="6" t="s">
        <v>24</v>
      </c>
      <c r="ZK11" s="6" t="s">
        <v>24</v>
      </c>
      <c r="ZL11" s="6" t="s">
        <v>31</v>
      </c>
      <c r="ZM11" s="6" t="s">
        <v>24</v>
      </c>
      <c r="ZN11" s="6" t="s">
        <v>31</v>
      </c>
      <c r="ZO11" s="6" t="s">
        <v>42</v>
      </c>
      <c r="ZP11" s="6" t="s">
        <v>24</v>
      </c>
      <c r="ZQ11" s="6" t="s">
        <v>11</v>
      </c>
      <c r="ZR11" s="6" t="s">
        <v>24</v>
      </c>
      <c r="ZS11" s="6" t="s">
        <v>31</v>
      </c>
      <c r="ZT11" s="6" t="s">
        <v>11</v>
      </c>
      <c r="ZU11" s="6" t="s">
        <v>31</v>
      </c>
      <c r="ZV11" s="6" t="s">
        <v>24</v>
      </c>
      <c r="ZW11" s="6" t="s">
        <v>42</v>
      </c>
      <c r="ZX11" s="6" t="s">
        <v>31</v>
      </c>
      <c r="ZY11" s="6" t="s">
        <v>31</v>
      </c>
      <c r="ZZ11" s="6" t="s">
        <v>42</v>
      </c>
      <c r="AAA11" s="6" t="s">
        <v>11</v>
      </c>
      <c r="AAB11" s="6" t="s">
        <v>24</v>
      </c>
      <c r="AAC11" s="6" t="s">
        <v>11</v>
      </c>
      <c r="AAD11" s="6" t="s">
        <v>42</v>
      </c>
      <c r="AAE11" s="6" t="s">
        <v>31</v>
      </c>
      <c r="AAF11" s="6" t="s">
        <v>11</v>
      </c>
      <c r="AAG11" s="6" t="s">
        <v>24</v>
      </c>
      <c r="AAH11" s="6" t="s">
        <v>31</v>
      </c>
      <c r="AAI11" s="6" t="s">
        <v>11</v>
      </c>
      <c r="AAJ11" s="6" t="s">
        <v>24</v>
      </c>
      <c r="AAK11" s="6" t="s">
        <v>11</v>
      </c>
      <c r="AAL11" s="6" t="s">
        <v>42</v>
      </c>
      <c r="AAM11" s="6" t="s">
        <v>31</v>
      </c>
      <c r="AAN11" s="6" t="s">
        <v>11</v>
      </c>
      <c r="AAO11" s="6" t="s">
        <v>61</v>
      </c>
      <c r="AAP11" s="6" t="s">
        <v>31</v>
      </c>
      <c r="AAQ11" s="6" t="s">
        <v>11</v>
      </c>
      <c r="AAR11" s="6" t="s">
        <v>42</v>
      </c>
      <c r="AAS11" s="6" t="s">
        <v>61</v>
      </c>
      <c r="AAT11" s="6" t="s">
        <v>24</v>
      </c>
      <c r="AAU11" s="6" t="s">
        <v>42</v>
      </c>
      <c r="AAV11" s="6" t="s">
        <v>31</v>
      </c>
      <c r="AAW11" s="6" t="s">
        <v>31</v>
      </c>
      <c r="AAX11" s="6" t="s">
        <v>11</v>
      </c>
      <c r="AAY11" s="6" t="s">
        <v>31</v>
      </c>
      <c r="AAZ11" s="6" t="s">
        <v>11</v>
      </c>
      <c r="ABA11" s="6" t="s">
        <v>42</v>
      </c>
      <c r="ABB11" s="6" t="s">
        <v>31</v>
      </c>
      <c r="ABC11" s="6" t="s">
        <v>31</v>
      </c>
      <c r="ABD11" s="6" t="s">
        <v>31</v>
      </c>
      <c r="ABE11" s="6" t="s">
        <v>61</v>
      </c>
      <c r="ABF11" s="6" t="s">
        <v>61</v>
      </c>
      <c r="ABG11" s="6" t="s">
        <v>24</v>
      </c>
      <c r="ABH11" s="6" t="s">
        <v>31</v>
      </c>
      <c r="ABI11" s="6" t="s">
        <v>11</v>
      </c>
      <c r="ABJ11" s="6" t="s">
        <v>31</v>
      </c>
      <c r="ABK11" s="6" t="s">
        <v>24</v>
      </c>
      <c r="ABL11" s="6" t="s">
        <v>11</v>
      </c>
      <c r="ABM11" s="6" t="s">
        <v>24</v>
      </c>
      <c r="ABN11" s="6" t="s">
        <v>24</v>
      </c>
      <c r="ABO11" s="6" t="s">
        <v>24</v>
      </c>
      <c r="ABP11" s="6" t="s">
        <v>11</v>
      </c>
      <c r="ABQ11" s="6" t="s">
        <v>42</v>
      </c>
      <c r="ABR11" s="6" t="s">
        <v>31</v>
      </c>
      <c r="ABS11" s="6" t="s">
        <v>11</v>
      </c>
      <c r="ABT11" s="6" t="s">
        <v>42</v>
      </c>
      <c r="ABU11" s="6" t="s">
        <v>11</v>
      </c>
      <c r="ABV11" s="6" t="s">
        <v>42</v>
      </c>
      <c r="ABW11" s="6" t="s">
        <v>24</v>
      </c>
      <c r="ABX11" s="6" t="s">
        <v>31</v>
      </c>
      <c r="ABY11" s="6" t="s">
        <v>11</v>
      </c>
      <c r="ABZ11" s="6" t="s">
        <v>31</v>
      </c>
      <c r="ACA11" s="6" t="s">
        <v>42</v>
      </c>
      <c r="ACB11" s="6" t="s">
        <v>31</v>
      </c>
      <c r="ACC11" s="6" t="s">
        <v>11</v>
      </c>
      <c r="ACD11" s="6" t="s">
        <v>24</v>
      </c>
      <c r="ACE11" s="6" t="s">
        <v>24</v>
      </c>
      <c r="ACF11" s="6" t="s">
        <v>31</v>
      </c>
      <c r="ACG11" s="6" t="s">
        <v>24</v>
      </c>
      <c r="ACH11" s="6" t="s">
        <v>31</v>
      </c>
      <c r="ACI11" s="6" t="s">
        <v>61</v>
      </c>
      <c r="ACJ11" s="6" t="s">
        <v>61</v>
      </c>
      <c r="ACK11" s="6" t="s">
        <v>11</v>
      </c>
      <c r="ACL11" s="6" t="s">
        <v>11</v>
      </c>
      <c r="ACM11" s="6" t="s">
        <v>11</v>
      </c>
      <c r="ACN11" s="6" t="s">
        <v>31</v>
      </c>
      <c r="ACO11" s="6" t="s">
        <v>42</v>
      </c>
      <c r="ACP11" s="6" t="s">
        <v>24</v>
      </c>
      <c r="ACQ11" s="6" t="s">
        <v>61</v>
      </c>
      <c r="ACR11" s="6" t="s">
        <v>11</v>
      </c>
      <c r="ACS11" s="6" t="s">
        <v>42</v>
      </c>
      <c r="ACT11" s="6" t="s">
        <v>11</v>
      </c>
      <c r="ACU11" s="6" t="s">
        <v>24</v>
      </c>
      <c r="ACV11" s="6" t="s">
        <v>11</v>
      </c>
      <c r="ACW11" s="6" t="s">
        <v>31</v>
      </c>
      <c r="ACX11" s="6" t="s">
        <v>24</v>
      </c>
      <c r="ACY11" s="6" t="s">
        <v>24</v>
      </c>
      <c r="ACZ11" s="6" t="s">
        <v>24</v>
      </c>
      <c r="ADA11" s="6" t="s">
        <v>11</v>
      </c>
      <c r="ADB11" s="6" t="s">
        <v>42</v>
      </c>
      <c r="ADC11" s="6" t="s">
        <v>42</v>
      </c>
      <c r="ADD11" s="6" t="s">
        <v>31</v>
      </c>
      <c r="ADE11" s="6" t="s">
        <v>24</v>
      </c>
      <c r="ADF11" s="6" t="s">
        <v>11</v>
      </c>
      <c r="ADG11" s="6" t="s">
        <v>24</v>
      </c>
      <c r="ADH11" s="6" t="s">
        <v>42</v>
      </c>
      <c r="ADI11" s="6" t="s">
        <v>31</v>
      </c>
      <c r="ADJ11" s="6" t="s">
        <v>11</v>
      </c>
      <c r="ADK11" s="6" t="s">
        <v>24</v>
      </c>
      <c r="ADL11" s="6" t="s">
        <v>11</v>
      </c>
      <c r="ADM11" s="6" t="s">
        <v>42</v>
      </c>
      <c r="ADN11" s="6" t="s">
        <v>11</v>
      </c>
      <c r="ADO11" s="6" t="s">
        <v>11</v>
      </c>
      <c r="ADP11" s="6" t="s">
        <v>61</v>
      </c>
      <c r="ADQ11" s="6" t="s">
        <v>42</v>
      </c>
      <c r="ADR11" s="6" t="s">
        <v>11</v>
      </c>
      <c r="ADS11" s="6" t="s">
        <v>31</v>
      </c>
      <c r="ADT11" s="6" t="s">
        <v>11</v>
      </c>
      <c r="ADU11" s="6" t="s">
        <v>24</v>
      </c>
      <c r="ADV11" s="6" t="s">
        <v>11</v>
      </c>
      <c r="ADW11" s="6" t="s">
        <v>11</v>
      </c>
      <c r="ADX11" s="6" t="s">
        <v>42</v>
      </c>
      <c r="ADY11" s="6" t="s">
        <v>24</v>
      </c>
      <c r="ADZ11" s="6" t="s">
        <v>24</v>
      </c>
      <c r="AEA11" s="6" t="s">
        <v>24</v>
      </c>
      <c r="AEB11" s="6" t="s">
        <v>31</v>
      </c>
      <c r="AEC11" s="6" t="s">
        <v>42</v>
      </c>
      <c r="AED11" s="6" t="s">
        <v>31</v>
      </c>
      <c r="AEE11" s="6" t="s">
        <v>31</v>
      </c>
      <c r="AEF11" s="6" t="s">
        <v>11</v>
      </c>
      <c r="AEG11" s="6" t="s">
        <v>61</v>
      </c>
      <c r="AEH11" s="6" t="s">
        <v>24</v>
      </c>
      <c r="AEI11" s="6" t="s">
        <v>31</v>
      </c>
      <c r="AEJ11" s="6" t="s">
        <v>24</v>
      </c>
      <c r="AEK11" s="6" t="s">
        <v>11</v>
      </c>
      <c r="AEL11" s="6" t="s">
        <v>31</v>
      </c>
      <c r="AEM11" s="6" t="s">
        <v>11</v>
      </c>
      <c r="AEN11" s="6" t="s">
        <v>11</v>
      </c>
      <c r="AEO11" s="6" t="s">
        <v>24</v>
      </c>
      <c r="AEP11" s="6" t="s">
        <v>24</v>
      </c>
      <c r="AEQ11" s="6" t="s">
        <v>24</v>
      </c>
      <c r="AER11" s="6" t="s">
        <v>24</v>
      </c>
      <c r="AES11" s="6" t="s">
        <v>11</v>
      </c>
      <c r="AET11" s="6" t="s">
        <v>24</v>
      </c>
      <c r="AEU11" s="6" t="s">
        <v>11</v>
      </c>
      <c r="AEV11" s="6" t="s">
        <v>24</v>
      </c>
      <c r="AEW11" s="6" t="s">
        <v>11</v>
      </c>
      <c r="AEX11" s="6" t="s">
        <v>61</v>
      </c>
      <c r="AEY11" s="6" t="s">
        <v>31</v>
      </c>
      <c r="AEZ11" s="6" t="s">
        <v>24</v>
      </c>
      <c r="AFA11" s="6" t="s">
        <v>11</v>
      </c>
      <c r="AFB11" s="6" t="s">
        <v>42</v>
      </c>
      <c r="AFC11" s="6" t="s">
        <v>61</v>
      </c>
      <c r="AFD11" s="6" t="s">
        <v>24</v>
      </c>
      <c r="AFE11" s="6" t="s">
        <v>24</v>
      </c>
      <c r="AFF11" s="6" t="s">
        <v>61</v>
      </c>
      <c r="AFG11" s="6" t="s">
        <v>42</v>
      </c>
      <c r="AFH11" s="6" t="s">
        <v>31</v>
      </c>
      <c r="AFI11" s="6" t="s">
        <v>11</v>
      </c>
      <c r="AFJ11" s="6" t="s">
        <v>31</v>
      </c>
      <c r="AFK11" s="6" t="s">
        <v>31</v>
      </c>
      <c r="AFL11" s="6" t="s">
        <v>11</v>
      </c>
      <c r="AFM11" s="6" t="s">
        <v>42</v>
      </c>
      <c r="AFN11" s="6" t="s">
        <v>61</v>
      </c>
      <c r="AFO11" s="6" t="s">
        <v>11</v>
      </c>
      <c r="AFP11" s="6" t="s">
        <v>31</v>
      </c>
      <c r="AFQ11" s="6" t="s">
        <v>31</v>
      </c>
      <c r="AFR11" s="6" t="s">
        <v>11</v>
      </c>
      <c r="AFS11" s="6" t="s">
        <v>61</v>
      </c>
      <c r="AFT11" s="6" t="s">
        <v>42</v>
      </c>
      <c r="AFU11" s="6" t="s">
        <v>11</v>
      </c>
      <c r="AFV11" s="6" t="s">
        <v>11</v>
      </c>
      <c r="AFW11" s="6" t="s">
        <v>42</v>
      </c>
      <c r="AFX11" s="6" t="s">
        <v>11</v>
      </c>
      <c r="AFY11" s="6" t="s">
        <v>11</v>
      </c>
      <c r="AFZ11" s="6" t="s">
        <v>31</v>
      </c>
      <c r="AGA11" s="6" t="s">
        <v>11</v>
      </c>
      <c r="AGB11" s="6" t="s">
        <v>61</v>
      </c>
      <c r="AGC11" s="6" t="s">
        <v>31</v>
      </c>
      <c r="AGD11" s="6" t="s">
        <v>31</v>
      </c>
      <c r="AGE11" s="6" t="s">
        <v>11</v>
      </c>
      <c r="AGF11" s="6" t="s">
        <v>24</v>
      </c>
      <c r="AGG11" s="6" t="s">
        <v>42</v>
      </c>
      <c r="AGH11" s="6" t="s">
        <v>11</v>
      </c>
      <c r="AGI11" s="6" t="s">
        <v>31</v>
      </c>
      <c r="AGJ11" s="6" t="s">
        <v>42</v>
      </c>
      <c r="AGK11" s="6" t="s">
        <v>11</v>
      </c>
      <c r="AGL11" s="6" t="s">
        <v>61</v>
      </c>
      <c r="AGM11" s="6" t="s">
        <v>24</v>
      </c>
      <c r="AGN11" s="6" t="s">
        <v>31</v>
      </c>
      <c r="AGO11" s="6" t="s">
        <v>31</v>
      </c>
      <c r="AGP11" s="6" t="s">
        <v>61</v>
      </c>
      <c r="AGQ11" s="6" t="s">
        <v>31</v>
      </c>
      <c r="AGR11" s="6" t="s">
        <v>31</v>
      </c>
      <c r="AGS11" s="6" t="s">
        <v>61</v>
      </c>
      <c r="AGT11" s="6" t="s">
        <v>61</v>
      </c>
      <c r="AGU11" s="6" t="s">
        <v>24</v>
      </c>
      <c r="AGV11" s="6" t="s">
        <v>31</v>
      </c>
      <c r="AGW11" s="6" t="s">
        <v>24</v>
      </c>
      <c r="AGX11" s="6" t="s">
        <v>11</v>
      </c>
      <c r="AGY11" s="6" t="s">
        <v>11</v>
      </c>
      <c r="AGZ11" s="6" t="s">
        <v>31</v>
      </c>
      <c r="AHA11" s="6" t="s">
        <v>24</v>
      </c>
      <c r="AHB11" s="6" t="s">
        <v>42</v>
      </c>
      <c r="AHC11" s="6" t="s">
        <v>24</v>
      </c>
      <c r="AHD11" s="6" t="s">
        <v>42</v>
      </c>
      <c r="AHE11" s="6" t="s">
        <v>31</v>
      </c>
      <c r="AHF11" s="6" t="s">
        <v>24</v>
      </c>
      <c r="AHG11" s="6" t="s">
        <v>31</v>
      </c>
      <c r="AHH11" s="6" t="s">
        <v>11</v>
      </c>
      <c r="AHI11" s="6" t="s">
        <v>24</v>
      </c>
      <c r="AHJ11" s="6" t="s">
        <v>42</v>
      </c>
      <c r="AHK11" s="6" t="s">
        <v>11</v>
      </c>
      <c r="AHL11" s="6" t="s">
        <v>24</v>
      </c>
      <c r="AHM11" s="6" t="s">
        <v>11</v>
      </c>
      <c r="AHN11" s="6" t="s">
        <v>42</v>
      </c>
      <c r="AHO11" s="6" t="s">
        <v>61</v>
      </c>
      <c r="AHP11" s="6" t="s">
        <v>61</v>
      </c>
      <c r="AHQ11" s="6" t="s">
        <v>24</v>
      </c>
      <c r="AHR11" s="6" t="s">
        <v>31</v>
      </c>
      <c r="AHS11" s="6" t="s">
        <v>11</v>
      </c>
      <c r="AHT11" s="6" t="s">
        <v>61</v>
      </c>
      <c r="AHU11" s="6" t="s">
        <v>24</v>
      </c>
      <c r="AHV11" s="6" t="s">
        <v>31</v>
      </c>
      <c r="AHW11" s="6" t="s">
        <v>42</v>
      </c>
      <c r="AHX11" s="6" t="s">
        <v>11</v>
      </c>
      <c r="AHY11" s="6" t="s">
        <v>42</v>
      </c>
      <c r="AHZ11" s="6" t="s">
        <v>11</v>
      </c>
      <c r="AIA11" s="6" t="s">
        <v>24</v>
      </c>
      <c r="AIB11" s="6" t="s">
        <v>24</v>
      </c>
      <c r="AIC11" s="6" t="s">
        <v>11</v>
      </c>
      <c r="AID11" s="6" t="s">
        <v>61</v>
      </c>
      <c r="AIE11" s="6" t="s">
        <v>11</v>
      </c>
      <c r="AIF11" s="6" t="s">
        <v>11</v>
      </c>
      <c r="AIG11" s="6" t="s">
        <v>42</v>
      </c>
      <c r="AIH11" s="6" t="s">
        <v>24</v>
      </c>
      <c r="AII11" s="6" t="s">
        <v>24</v>
      </c>
      <c r="AIJ11" s="6" t="s">
        <v>11</v>
      </c>
      <c r="AIK11" s="6" t="s">
        <v>11</v>
      </c>
      <c r="AIL11" s="6" t="s">
        <v>24</v>
      </c>
      <c r="AIM11" s="6" t="s">
        <v>31</v>
      </c>
      <c r="AIN11" s="6" t="s">
        <v>24</v>
      </c>
      <c r="AIO11" s="6" t="s">
        <v>31</v>
      </c>
      <c r="AIP11" s="6" t="s">
        <v>42</v>
      </c>
      <c r="AIQ11" s="6" t="s">
        <v>31</v>
      </c>
      <c r="AIR11" s="6" t="s">
        <v>11</v>
      </c>
      <c r="AIS11" s="6" t="s">
        <v>24</v>
      </c>
      <c r="AIT11" s="6" t="s">
        <v>31</v>
      </c>
      <c r="AIU11" s="6" t="s">
        <v>42</v>
      </c>
      <c r="AIV11" s="6" t="s">
        <v>24</v>
      </c>
      <c r="AIW11" s="6" t="s">
        <v>11</v>
      </c>
      <c r="AIX11" s="6" t="s">
        <v>31</v>
      </c>
      <c r="AIY11" s="6" t="s">
        <v>61</v>
      </c>
      <c r="AIZ11" s="6" t="s">
        <v>31</v>
      </c>
      <c r="AJA11" s="6" t="s">
        <v>11</v>
      </c>
      <c r="AJB11" s="6" t="s">
        <v>24</v>
      </c>
      <c r="AJC11" s="6" t="s">
        <v>24</v>
      </c>
      <c r="AJD11" s="6" t="s">
        <v>11</v>
      </c>
      <c r="AJE11" s="6" t="s">
        <v>42</v>
      </c>
      <c r="AJF11" s="6" t="s">
        <v>11</v>
      </c>
      <c r="AJG11" s="6" t="s">
        <v>11</v>
      </c>
      <c r="AJH11" s="6" t="s">
        <v>42</v>
      </c>
      <c r="AJI11" s="6" t="s">
        <v>24</v>
      </c>
      <c r="AJJ11" s="6" t="s">
        <v>11</v>
      </c>
      <c r="AJK11" s="6" t="s">
        <v>11</v>
      </c>
      <c r="AJL11" s="6" t="s">
        <v>42</v>
      </c>
      <c r="AJM11" s="6" t="s">
        <v>31</v>
      </c>
      <c r="AJN11" s="6" t="s">
        <v>61</v>
      </c>
      <c r="AJO11" s="6" t="s">
        <v>61</v>
      </c>
      <c r="AJP11" s="6" t="s">
        <v>24</v>
      </c>
      <c r="AJQ11" s="6" t="s">
        <v>61</v>
      </c>
      <c r="AJR11" s="6" t="s">
        <v>42</v>
      </c>
      <c r="AJS11" s="6" t="s">
        <v>31</v>
      </c>
      <c r="AJT11" s="6" t="s">
        <v>42</v>
      </c>
      <c r="AJU11" s="6" t="s">
        <v>11</v>
      </c>
      <c r="AJV11" s="6" t="s">
        <v>31</v>
      </c>
      <c r="AJW11" s="6" t="s">
        <v>24</v>
      </c>
      <c r="AJX11" s="6" t="s">
        <v>31</v>
      </c>
      <c r="AJY11" s="6" t="s">
        <v>31</v>
      </c>
      <c r="AJZ11" s="6" t="s">
        <v>11</v>
      </c>
      <c r="AKA11" s="6" t="s">
        <v>31</v>
      </c>
      <c r="AKB11" s="6" t="s">
        <v>31</v>
      </c>
      <c r="AKC11" s="6" t="s">
        <v>31</v>
      </c>
      <c r="AKD11" s="6" t="s">
        <v>42</v>
      </c>
      <c r="AKE11" s="6" t="s">
        <v>11</v>
      </c>
      <c r="AKF11" s="6" t="s">
        <v>24</v>
      </c>
      <c r="AKG11" s="6" t="s">
        <v>31</v>
      </c>
      <c r="AKH11" s="6" t="s">
        <v>24</v>
      </c>
      <c r="AKI11" s="6" t="s">
        <v>31</v>
      </c>
      <c r="AKJ11" s="6" t="s">
        <v>24</v>
      </c>
      <c r="AKK11" s="6" t="s">
        <v>11</v>
      </c>
      <c r="AKL11" s="6" t="s">
        <v>11</v>
      </c>
      <c r="AKM11" s="6" t="s">
        <v>31</v>
      </c>
      <c r="AKN11" s="6" t="s">
        <v>31</v>
      </c>
      <c r="AKO11" s="6" t="s">
        <v>42</v>
      </c>
      <c r="AKP11" s="6" t="s">
        <v>42</v>
      </c>
      <c r="AKQ11" s="6" t="s">
        <v>61</v>
      </c>
      <c r="AKR11" s="6" t="s">
        <v>24</v>
      </c>
      <c r="AKS11" s="6" t="s">
        <v>31</v>
      </c>
      <c r="AKT11" s="6" t="s">
        <v>24</v>
      </c>
      <c r="AKU11" s="6" t="s">
        <v>11</v>
      </c>
      <c r="AKV11" s="6" t="s">
        <v>24</v>
      </c>
      <c r="AKW11" s="6" t="s">
        <v>31</v>
      </c>
      <c r="AKX11" s="6" t="s">
        <v>31</v>
      </c>
      <c r="AKY11" s="6" t="s">
        <v>61</v>
      </c>
      <c r="AKZ11" s="6" t="s">
        <v>42</v>
      </c>
      <c r="ALA11" s="6" t="s">
        <v>61</v>
      </c>
      <c r="ALB11" s="6" t="s">
        <v>24</v>
      </c>
      <c r="ALC11" s="6" t="s">
        <v>24</v>
      </c>
      <c r="ALD11" s="6" t="s">
        <v>61</v>
      </c>
      <c r="ALE11" s="6" t="s">
        <v>24</v>
      </c>
      <c r="ALF11" s="6" t="s">
        <v>31</v>
      </c>
      <c r="ALG11" s="6" t="s">
        <v>11</v>
      </c>
      <c r="ALH11" s="6" t="s">
        <v>11</v>
      </c>
      <c r="ALI11" s="6" t="s">
        <v>31</v>
      </c>
      <c r="ALJ11" s="6" t="s">
        <v>24</v>
      </c>
      <c r="ALK11" s="6" t="s">
        <v>31</v>
      </c>
      <c r="ALL11" s="6" t="s">
        <v>24</v>
      </c>
      <c r="ALM11" s="6" t="s">
        <v>11</v>
      </c>
      <c r="ALN11" s="6" t="s">
        <v>31</v>
      </c>
      <c r="ALO11" s="6" t="s">
        <v>42</v>
      </c>
      <c r="ALP11" s="6" t="s">
        <v>11</v>
      </c>
      <c r="ALQ11" s="6" t="s">
        <v>24</v>
      </c>
      <c r="ALR11" s="6" t="s">
        <v>11</v>
      </c>
      <c r="ALS11" s="6" t="s">
        <v>31</v>
      </c>
      <c r="ALT11" s="6" t="s">
        <v>11</v>
      </c>
      <c r="ALU11" s="6" t="s">
        <v>61</v>
      </c>
      <c r="ALV11" s="6" t="s">
        <v>24</v>
      </c>
      <c r="ALW11" s="6" t="s">
        <v>11</v>
      </c>
      <c r="ALX11" s="6" t="s">
        <v>61</v>
      </c>
    </row>
    <row r="12" spans="1:1012" x14ac:dyDescent="0.3">
      <c r="A12" s="6" t="s">
        <v>44</v>
      </c>
      <c r="B12" s="6" t="s">
        <v>11</v>
      </c>
      <c r="C12" s="7">
        <v>23</v>
      </c>
      <c r="D12" s="5" t="s">
        <v>32</v>
      </c>
      <c r="E12" s="6" t="s">
        <v>19</v>
      </c>
      <c r="F12" s="6" t="s">
        <v>33</v>
      </c>
      <c r="G12" s="5">
        <v>52</v>
      </c>
      <c r="H12" s="8">
        <v>43716</v>
      </c>
      <c r="I12" s="6" t="s">
        <v>15</v>
      </c>
      <c r="J12" s="6" t="s">
        <v>22</v>
      </c>
      <c r="L12" s="14" t="s">
        <v>2</v>
      </c>
      <c r="M12" s="7">
        <v>36</v>
      </c>
      <c r="N12" s="7">
        <v>26</v>
      </c>
      <c r="O12" s="7">
        <v>27</v>
      </c>
      <c r="P12" s="7">
        <v>26</v>
      </c>
      <c r="Q12" s="7">
        <v>20</v>
      </c>
      <c r="R12" s="7">
        <v>28</v>
      </c>
      <c r="S12" s="7">
        <v>32</v>
      </c>
      <c r="T12" s="7">
        <v>18</v>
      </c>
      <c r="U12" s="7">
        <v>27</v>
      </c>
      <c r="V12" s="7">
        <v>36</v>
      </c>
      <c r="W12" s="7">
        <v>23</v>
      </c>
      <c r="X12" s="7">
        <v>46</v>
      </c>
      <c r="Y12" s="7">
        <v>26</v>
      </c>
      <c r="Z12" s="7">
        <v>37</v>
      </c>
      <c r="AA12" s="7">
        <v>27</v>
      </c>
      <c r="AB12" s="7">
        <v>18</v>
      </c>
      <c r="AC12" s="7">
        <v>46</v>
      </c>
      <c r="AD12" s="7">
        <v>24</v>
      </c>
      <c r="AE12" s="7">
        <v>32</v>
      </c>
      <c r="AF12" s="7">
        <v>36</v>
      </c>
      <c r="AG12" s="7">
        <v>30</v>
      </c>
      <c r="AH12" s="7">
        <v>33</v>
      </c>
      <c r="AI12" s="7">
        <v>39</v>
      </c>
      <c r="AJ12" s="7">
        <v>35</v>
      </c>
      <c r="AK12" s="7">
        <v>26</v>
      </c>
      <c r="AL12" s="7">
        <v>29</v>
      </c>
      <c r="AM12" s="7">
        <v>47</v>
      </c>
      <c r="AN12" s="7">
        <v>26</v>
      </c>
      <c r="AO12" s="7">
        <v>28</v>
      </c>
      <c r="AP12" s="7">
        <v>28</v>
      </c>
      <c r="AQ12" s="7">
        <v>35</v>
      </c>
      <c r="AR12" s="7">
        <v>20</v>
      </c>
      <c r="AS12" s="7">
        <v>36</v>
      </c>
      <c r="AT12" s="7">
        <v>25</v>
      </c>
      <c r="AU12" s="7">
        <v>52</v>
      </c>
      <c r="AV12" s="7">
        <v>42</v>
      </c>
      <c r="AW12" s="7">
        <v>22</v>
      </c>
      <c r="AX12" s="7">
        <v>22</v>
      </c>
      <c r="AY12" s="7">
        <v>25</v>
      </c>
      <c r="AZ12" s="7">
        <v>24</v>
      </c>
      <c r="BA12" s="7">
        <v>35</v>
      </c>
      <c r="BB12" s="7">
        <v>18</v>
      </c>
      <c r="BC12" s="7">
        <v>33</v>
      </c>
      <c r="BD12" s="7">
        <v>22</v>
      </c>
      <c r="BE12" s="7">
        <v>21</v>
      </c>
      <c r="BF12" s="7">
        <v>40</v>
      </c>
      <c r="BG12" s="7">
        <v>20</v>
      </c>
      <c r="BH12" s="7">
        <v>45</v>
      </c>
      <c r="BI12" s="7">
        <v>30</v>
      </c>
      <c r="BJ12" s="7">
        <v>21</v>
      </c>
      <c r="BK12" s="7">
        <v>18</v>
      </c>
      <c r="BL12" s="7">
        <v>37</v>
      </c>
      <c r="BM12" s="7">
        <v>35</v>
      </c>
      <c r="BN12" s="7">
        <v>39</v>
      </c>
      <c r="BO12" s="7">
        <v>35</v>
      </c>
      <c r="BP12" s="7">
        <v>25</v>
      </c>
      <c r="BQ12" s="7">
        <v>32</v>
      </c>
      <c r="BR12" s="7">
        <v>23</v>
      </c>
      <c r="BS12" s="7">
        <v>21</v>
      </c>
      <c r="BT12" s="7">
        <v>18</v>
      </c>
      <c r="BU12" s="7">
        <v>27</v>
      </c>
      <c r="BV12" s="7">
        <v>26</v>
      </c>
      <c r="BW12" s="7">
        <v>25</v>
      </c>
      <c r="BX12" s="7">
        <v>38</v>
      </c>
      <c r="BY12" s="7">
        <v>43</v>
      </c>
      <c r="BZ12" s="7">
        <v>44</v>
      </c>
      <c r="CA12" s="7">
        <v>31</v>
      </c>
      <c r="CB12" s="7">
        <v>31</v>
      </c>
      <c r="CC12" s="7">
        <v>30</v>
      </c>
      <c r="CD12" s="7">
        <v>25</v>
      </c>
      <c r="CE12" s="7">
        <v>51</v>
      </c>
      <c r="CF12" s="7">
        <v>21</v>
      </c>
      <c r="CG12" s="7">
        <v>42</v>
      </c>
      <c r="CH12" s="7">
        <v>29</v>
      </c>
      <c r="CI12" s="7">
        <v>31</v>
      </c>
      <c r="CJ12" s="7">
        <v>38</v>
      </c>
      <c r="CK12" s="7">
        <v>38</v>
      </c>
      <c r="CL12" s="7">
        <v>37</v>
      </c>
      <c r="CM12" s="7">
        <v>29</v>
      </c>
      <c r="CN12" s="7">
        <v>33</v>
      </c>
      <c r="CO12" s="7">
        <v>41</v>
      </c>
      <c r="CP12" s="7">
        <v>30</v>
      </c>
      <c r="CQ12" s="7">
        <v>30</v>
      </c>
      <c r="CR12" s="7">
        <v>19</v>
      </c>
      <c r="CS12" s="7">
        <v>37</v>
      </c>
      <c r="CT12" s="7">
        <v>49</v>
      </c>
      <c r="CU12" s="7">
        <v>18</v>
      </c>
      <c r="CV12" s="7">
        <v>37</v>
      </c>
      <c r="CW12" s="7">
        <v>27</v>
      </c>
      <c r="CX12" s="7">
        <v>47</v>
      </c>
      <c r="CY12" s="7">
        <v>20</v>
      </c>
      <c r="CZ12" s="7">
        <v>27</v>
      </c>
      <c r="DA12" s="7">
        <v>18</v>
      </c>
      <c r="DB12" s="7">
        <v>31</v>
      </c>
      <c r="DC12" s="7">
        <v>18</v>
      </c>
      <c r="DD12" s="7">
        <v>18</v>
      </c>
      <c r="DE12" s="7">
        <v>37</v>
      </c>
      <c r="DF12" s="7">
        <v>32</v>
      </c>
      <c r="DG12" s="7">
        <v>18</v>
      </c>
      <c r="DH12" s="7">
        <v>29</v>
      </c>
      <c r="DI12" s="7">
        <v>18</v>
      </c>
      <c r="DJ12" s="7">
        <v>43</v>
      </c>
      <c r="DK12" s="7">
        <v>34</v>
      </c>
      <c r="DL12" s="7">
        <v>51</v>
      </c>
      <c r="DM12" s="7">
        <v>30</v>
      </c>
      <c r="DN12" s="7">
        <v>26</v>
      </c>
      <c r="DO12" s="7">
        <v>26</v>
      </c>
      <c r="DP12" s="7">
        <v>30</v>
      </c>
      <c r="DQ12" s="7">
        <v>28</v>
      </c>
      <c r="DR12" s="7">
        <v>47</v>
      </c>
      <c r="DS12" s="7">
        <v>35</v>
      </c>
      <c r="DT12" s="7">
        <v>42</v>
      </c>
      <c r="DU12" s="7">
        <v>33</v>
      </c>
      <c r="DV12" s="7">
        <v>29</v>
      </c>
      <c r="DW12" s="7">
        <v>40</v>
      </c>
      <c r="DX12" s="7">
        <v>18</v>
      </c>
      <c r="DY12" s="7">
        <v>33</v>
      </c>
      <c r="DZ12" s="7">
        <v>24</v>
      </c>
      <c r="EA12" s="7">
        <v>33</v>
      </c>
      <c r="EB12" s="7">
        <v>18</v>
      </c>
      <c r="EC12" s="7">
        <v>29</v>
      </c>
      <c r="ED12" s="7">
        <v>33</v>
      </c>
      <c r="EE12" s="7">
        <v>38</v>
      </c>
      <c r="EF12" s="7">
        <v>33</v>
      </c>
      <c r="EG12" s="7">
        <v>28</v>
      </c>
      <c r="EH12" s="7">
        <v>53</v>
      </c>
      <c r="EI12" s="7">
        <v>46</v>
      </c>
      <c r="EJ12" s="7">
        <v>32</v>
      </c>
      <c r="EK12" s="7">
        <v>30</v>
      </c>
      <c r="EL12" s="7">
        <v>29</v>
      </c>
      <c r="EM12" s="7">
        <v>24</v>
      </c>
      <c r="EN12" s="7">
        <v>30</v>
      </c>
      <c r="EO12" s="7">
        <v>36</v>
      </c>
      <c r="EP12" s="7">
        <v>52</v>
      </c>
      <c r="EQ12" s="7">
        <v>23</v>
      </c>
      <c r="ER12" s="7">
        <v>32</v>
      </c>
      <c r="ES12" s="7">
        <v>40</v>
      </c>
      <c r="ET12" s="7">
        <v>40</v>
      </c>
      <c r="EU12" s="7">
        <v>18</v>
      </c>
      <c r="EV12" s="7">
        <v>41</v>
      </c>
      <c r="EW12" s="7">
        <v>38</v>
      </c>
      <c r="EX12" s="7">
        <v>30</v>
      </c>
      <c r="EY12" s="7">
        <v>32</v>
      </c>
      <c r="EZ12" s="7">
        <v>28</v>
      </c>
      <c r="FA12" s="7">
        <v>26</v>
      </c>
      <c r="FB12" s="7">
        <v>26</v>
      </c>
      <c r="FC12" s="7">
        <v>30</v>
      </c>
      <c r="FD12" s="7">
        <v>18</v>
      </c>
      <c r="FE12" s="7">
        <v>44</v>
      </c>
      <c r="FF12" s="7">
        <v>36</v>
      </c>
      <c r="FG12" s="7">
        <v>39</v>
      </c>
      <c r="FH12" s="7">
        <v>36</v>
      </c>
      <c r="FI12" s="7">
        <v>27</v>
      </c>
      <c r="FJ12" s="7">
        <v>48</v>
      </c>
      <c r="FK12" s="7">
        <v>39</v>
      </c>
      <c r="FL12" s="7">
        <v>55</v>
      </c>
      <c r="FM12" s="7">
        <v>18</v>
      </c>
      <c r="FN12" s="7">
        <v>35</v>
      </c>
      <c r="FO12" s="7">
        <v>36</v>
      </c>
      <c r="FP12" s="7">
        <v>18</v>
      </c>
      <c r="FQ12" s="7">
        <v>41</v>
      </c>
      <c r="FR12" s="7">
        <v>22</v>
      </c>
      <c r="FS12" s="7">
        <v>33</v>
      </c>
      <c r="FT12" s="7">
        <v>26</v>
      </c>
      <c r="FU12" s="7">
        <v>25</v>
      </c>
      <c r="FV12" s="7">
        <v>29</v>
      </c>
      <c r="FW12" s="7">
        <v>28</v>
      </c>
      <c r="FX12" s="7">
        <v>23</v>
      </c>
      <c r="FY12" s="7">
        <v>33</v>
      </c>
      <c r="FZ12" s="7">
        <v>39</v>
      </c>
      <c r="GA12" s="7">
        <v>25</v>
      </c>
      <c r="GB12" s="7">
        <v>52</v>
      </c>
      <c r="GC12" s="7">
        <v>18</v>
      </c>
      <c r="GD12" s="7">
        <v>31</v>
      </c>
      <c r="GE12" s="7">
        <v>47</v>
      </c>
      <c r="GF12" s="7">
        <v>40</v>
      </c>
      <c r="GG12" s="7">
        <v>19</v>
      </c>
      <c r="GH12" s="7">
        <v>26</v>
      </c>
      <c r="GI12" s="7">
        <v>33</v>
      </c>
      <c r="GJ12" s="7">
        <v>31</v>
      </c>
      <c r="GK12" s="7">
        <v>23</v>
      </c>
      <c r="GL12" s="7">
        <v>34</v>
      </c>
      <c r="GM12" s="7">
        <v>22</v>
      </c>
      <c r="GN12" s="7">
        <v>39</v>
      </c>
      <c r="GO12" s="7">
        <v>37</v>
      </c>
      <c r="GP12" s="7">
        <v>19</v>
      </c>
      <c r="GQ12" s="7">
        <v>42</v>
      </c>
      <c r="GR12" s="7">
        <v>33</v>
      </c>
      <c r="GS12" s="7">
        <v>40</v>
      </c>
      <c r="GT12" s="7">
        <v>33</v>
      </c>
      <c r="GU12" s="7">
        <v>36</v>
      </c>
      <c r="GV12" s="7">
        <v>29</v>
      </c>
      <c r="GW12" s="7">
        <v>49</v>
      </c>
      <c r="GX12" s="7">
        <v>28</v>
      </c>
      <c r="GY12" s="7">
        <v>18</v>
      </c>
      <c r="GZ12" s="7">
        <v>36</v>
      </c>
      <c r="HA12" s="7">
        <v>39</v>
      </c>
      <c r="HB12" s="7">
        <v>41</v>
      </c>
      <c r="HC12" s="7">
        <v>36</v>
      </c>
      <c r="HD12" s="7">
        <v>21</v>
      </c>
      <c r="HE12" s="7">
        <v>37</v>
      </c>
      <c r="HF12" s="7">
        <v>32</v>
      </c>
      <c r="HG12" s="7">
        <v>36</v>
      </c>
      <c r="HH12" s="7">
        <v>40</v>
      </c>
      <c r="HI12" s="7">
        <v>34</v>
      </c>
      <c r="HJ12" s="7">
        <v>32</v>
      </c>
      <c r="HK12" s="7">
        <v>24</v>
      </c>
      <c r="HL12" s="7">
        <v>24</v>
      </c>
      <c r="HM12" s="7">
        <v>36</v>
      </c>
      <c r="HN12" s="7">
        <v>23</v>
      </c>
      <c r="HO12" s="7">
        <v>52</v>
      </c>
      <c r="HP12" s="7">
        <v>41</v>
      </c>
      <c r="HQ12" s="7">
        <v>31</v>
      </c>
      <c r="HR12" s="7">
        <v>33</v>
      </c>
      <c r="HS12" s="7">
        <v>48</v>
      </c>
      <c r="HT12" s="7">
        <v>21</v>
      </c>
      <c r="HU12" s="7">
        <v>43</v>
      </c>
      <c r="HV12" s="7">
        <v>47</v>
      </c>
      <c r="HW12" s="7">
        <v>52</v>
      </c>
      <c r="HX12" s="7">
        <v>26</v>
      </c>
      <c r="HY12" s="7">
        <v>30</v>
      </c>
      <c r="HZ12" s="7">
        <v>33</v>
      </c>
      <c r="IA12" s="7">
        <v>18</v>
      </c>
      <c r="IB12" s="7">
        <v>43</v>
      </c>
      <c r="IC12" s="7">
        <v>29</v>
      </c>
      <c r="ID12" s="7">
        <v>41</v>
      </c>
      <c r="IE12" s="7">
        <v>42</v>
      </c>
      <c r="IF12" s="7">
        <v>22</v>
      </c>
      <c r="IG12" s="7">
        <v>43</v>
      </c>
      <c r="IH12" s="7">
        <v>34</v>
      </c>
      <c r="II12" s="7">
        <v>18</v>
      </c>
      <c r="IJ12" s="7">
        <v>25</v>
      </c>
      <c r="IK12" s="7">
        <v>40</v>
      </c>
      <c r="IL12" s="7">
        <v>26</v>
      </c>
      <c r="IM12" s="7">
        <v>35</v>
      </c>
      <c r="IN12" s="7">
        <v>18</v>
      </c>
      <c r="IO12" s="7">
        <v>41</v>
      </c>
      <c r="IP12" s="7">
        <v>23</v>
      </c>
      <c r="IQ12" s="7">
        <v>38</v>
      </c>
      <c r="IR12" s="7">
        <v>25</v>
      </c>
      <c r="IS12" s="7">
        <v>34</v>
      </c>
      <c r="IT12" s="7">
        <v>21</v>
      </c>
      <c r="IU12" s="7">
        <v>46</v>
      </c>
      <c r="IV12" s="7">
        <v>34</v>
      </c>
      <c r="IW12" s="7">
        <v>27</v>
      </c>
      <c r="IX12" s="7">
        <v>35</v>
      </c>
      <c r="IY12" s="7">
        <v>18</v>
      </c>
      <c r="IZ12" s="7">
        <v>22</v>
      </c>
      <c r="JA12" s="7">
        <v>52</v>
      </c>
      <c r="JB12" s="7">
        <v>28</v>
      </c>
      <c r="JC12" s="7">
        <v>44</v>
      </c>
      <c r="JD12" s="7">
        <v>32</v>
      </c>
      <c r="JE12" s="7">
        <v>36</v>
      </c>
      <c r="JF12" s="7">
        <v>29</v>
      </c>
      <c r="JG12" s="7">
        <v>31</v>
      </c>
      <c r="JH12" s="7">
        <v>39</v>
      </c>
      <c r="JI12" s="7">
        <v>35</v>
      </c>
      <c r="JJ12" s="7">
        <v>22</v>
      </c>
      <c r="JK12" s="7">
        <v>44</v>
      </c>
      <c r="JL12" s="7">
        <v>34</v>
      </c>
      <c r="JM12" s="7">
        <v>35</v>
      </c>
      <c r="JN12" s="7">
        <v>32</v>
      </c>
      <c r="JO12" s="7">
        <v>30</v>
      </c>
      <c r="JP12" s="7">
        <v>27</v>
      </c>
      <c r="JQ12" s="7">
        <v>36</v>
      </c>
      <c r="JR12" s="7">
        <v>22</v>
      </c>
      <c r="JS12" s="7">
        <v>22</v>
      </c>
      <c r="JT12" s="7">
        <v>37</v>
      </c>
      <c r="JU12" s="7">
        <v>34</v>
      </c>
      <c r="JV12" s="7">
        <v>37</v>
      </c>
      <c r="JW12" s="7">
        <v>18</v>
      </c>
      <c r="JX12" s="7">
        <v>33</v>
      </c>
      <c r="JY12" s="7">
        <v>36</v>
      </c>
      <c r="JZ12" s="7">
        <v>26</v>
      </c>
      <c r="KA12" s="7">
        <v>19</v>
      </c>
      <c r="KB12" s="7">
        <v>38</v>
      </c>
      <c r="KC12" s="7">
        <v>18</v>
      </c>
      <c r="KD12" s="7">
        <v>22</v>
      </c>
      <c r="KE12" s="7">
        <v>19</v>
      </c>
      <c r="KF12" s="7">
        <v>31</v>
      </c>
      <c r="KG12" s="7">
        <v>21</v>
      </c>
      <c r="KH12" s="7">
        <v>28</v>
      </c>
      <c r="KI12" s="7">
        <v>38</v>
      </c>
      <c r="KJ12" s="7">
        <v>20</v>
      </c>
      <c r="KK12" s="7">
        <v>38</v>
      </c>
      <c r="KL12" s="7">
        <v>33</v>
      </c>
      <c r="KM12" s="7">
        <v>36</v>
      </c>
      <c r="KN12" s="7">
        <v>37</v>
      </c>
      <c r="KO12" s="7">
        <v>29</v>
      </c>
      <c r="KP12" s="7">
        <v>46</v>
      </c>
      <c r="KQ12" s="7">
        <v>29</v>
      </c>
      <c r="KR12" s="7">
        <v>18</v>
      </c>
      <c r="KS12" s="7">
        <v>43</v>
      </c>
      <c r="KT12" s="7">
        <v>19</v>
      </c>
      <c r="KU12" s="7">
        <v>40</v>
      </c>
      <c r="KV12" s="7">
        <v>24</v>
      </c>
      <c r="KW12" s="7">
        <v>18</v>
      </c>
      <c r="KX12" s="7">
        <v>35</v>
      </c>
      <c r="KY12" s="7">
        <v>39</v>
      </c>
      <c r="KZ12" s="7">
        <v>28</v>
      </c>
      <c r="LA12" s="7">
        <v>36</v>
      </c>
      <c r="LB12" s="7">
        <v>42</v>
      </c>
      <c r="LC12" s="7">
        <v>31</v>
      </c>
      <c r="LD12" s="7">
        <v>41</v>
      </c>
      <c r="LE12" s="7">
        <v>46</v>
      </c>
      <c r="LF12" s="7">
        <v>22</v>
      </c>
      <c r="LG12" s="7">
        <v>29</v>
      </c>
      <c r="LH12" s="7">
        <v>19</v>
      </c>
      <c r="LI12" s="7">
        <v>24</v>
      </c>
      <c r="LJ12" s="7">
        <v>18</v>
      </c>
      <c r="LK12" s="7">
        <v>41</v>
      </c>
      <c r="LL12" s="7">
        <v>30</v>
      </c>
      <c r="LM12" s="7">
        <v>29</v>
      </c>
      <c r="LN12" s="7">
        <v>37</v>
      </c>
      <c r="LO12" s="7">
        <v>42</v>
      </c>
      <c r="LP12" s="7">
        <v>35</v>
      </c>
      <c r="LQ12" s="7">
        <v>40</v>
      </c>
      <c r="LR12" s="7">
        <v>33</v>
      </c>
      <c r="LS12" s="7">
        <v>33</v>
      </c>
      <c r="LT12" s="7">
        <v>30</v>
      </c>
      <c r="LU12" s="7">
        <v>30</v>
      </c>
      <c r="LV12" s="7">
        <v>43</v>
      </c>
      <c r="LW12" s="7">
        <v>33</v>
      </c>
      <c r="LX12" s="7">
        <v>47</v>
      </c>
      <c r="LY12" s="7">
        <v>45</v>
      </c>
      <c r="LZ12" s="7">
        <v>38</v>
      </c>
      <c r="MA12" s="7">
        <v>20</v>
      </c>
      <c r="MB12" s="7">
        <v>30</v>
      </c>
      <c r="MC12" s="7">
        <v>18</v>
      </c>
      <c r="MD12" s="7">
        <v>38</v>
      </c>
      <c r="ME12" s="7">
        <v>45</v>
      </c>
      <c r="MF12" s="7">
        <v>20</v>
      </c>
      <c r="MG12" s="7">
        <v>36</v>
      </c>
      <c r="MH12" s="7">
        <v>27</v>
      </c>
      <c r="MI12" s="7">
        <v>28</v>
      </c>
      <c r="MJ12" s="7">
        <v>35</v>
      </c>
      <c r="MK12" s="7">
        <v>29</v>
      </c>
      <c r="ML12" s="7">
        <v>32</v>
      </c>
      <c r="MM12" s="7">
        <v>31</v>
      </c>
      <c r="MN12" s="7">
        <v>33</v>
      </c>
      <c r="MO12" s="7">
        <v>37</v>
      </c>
      <c r="MP12" s="7">
        <v>30</v>
      </c>
      <c r="MQ12" s="7">
        <v>21</v>
      </c>
      <c r="MR12" s="7">
        <v>37</v>
      </c>
      <c r="MS12" s="7">
        <v>35</v>
      </c>
      <c r="MT12" s="7">
        <v>18</v>
      </c>
      <c r="MU12" s="7">
        <v>36</v>
      </c>
      <c r="MV12" s="7">
        <v>34</v>
      </c>
      <c r="MW12" s="7">
        <v>36</v>
      </c>
      <c r="MX12" s="7">
        <v>34</v>
      </c>
      <c r="MY12" s="7">
        <v>18</v>
      </c>
      <c r="MZ12" s="7">
        <v>38</v>
      </c>
      <c r="NA12" s="7">
        <v>33</v>
      </c>
      <c r="NB12" s="7">
        <v>37</v>
      </c>
      <c r="NC12" s="7">
        <v>31</v>
      </c>
      <c r="ND12" s="7">
        <v>24</v>
      </c>
      <c r="NE12" s="7">
        <v>25</v>
      </c>
      <c r="NF12" s="7">
        <v>36</v>
      </c>
      <c r="NG12" s="7">
        <v>22</v>
      </c>
      <c r="NH12" s="7">
        <v>23</v>
      </c>
      <c r="NI12" s="7">
        <v>28</v>
      </c>
      <c r="NJ12" s="7">
        <v>34</v>
      </c>
      <c r="NK12" s="7">
        <v>38</v>
      </c>
      <c r="NL12" s="7">
        <v>25</v>
      </c>
      <c r="NM12" s="7">
        <v>39</v>
      </c>
      <c r="NN12" s="7">
        <v>33</v>
      </c>
      <c r="NO12" s="7">
        <v>18</v>
      </c>
      <c r="NP12" s="7">
        <v>34</v>
      </c>
      <c r="NQ12" s="7">
        <v>37</v>
      </c>
      <c r="NR12" s="7">
        <v>28</v>
      </c>
      <c r="NS12" s="7">
        <v>22</v>
      </c>
      <c r="NT12" s="7">
        <v>45</v>
      </c>
      <c r="NU12" s="7">
        <v>35</v>
      </c>
      <c r="NV12" s="7">
        <v>36</v>
      </c>
      <c r="NW12" s="7">
        <v>39</v>
      </c>
      <c r="NX12" s="7">
        <v>18</v>
      </c>
      <c r="NY12" s="7">
        <v>37</v>
      </c>
      <c r="NZ12" s="7">
        <v>34</v>
      </c>
      <c r="OA12" s="7">
        <v>33</v>
      </c>
      <c r="OB12" s="7">
        <v>44</v>
      </c>
      <c r="OC12" s="7">
        <v>36</v>
      </c>
      <c r="OD12" s="7">
        <v>37</v>
      </c>
      <c r="OE12" s="7">
        <v>47</v>
      </c>
      <c r="OF12" s="7">
        <v>29</v>
      </c>
      <c r="OG12" s="7">
        <v>18</v>
      </c>
      <c r="OH12" s="7">
        <v>26</v>
      </c>
      <c r="OI12" s="7">
        <v>24</v>
      </c>
      <c r="OJ12" s="7">
        <v>20</v>
      </c>
      <c r="OK12" s="7">
        <v>20</v>
      </c>
      <c r="OL12" s="7">
        <v>36</v>
      </c>
      <c r="OM12" s="7">
        <v>38</v>
      </c>
      <c r="ON12" s="7">
        <v>33</v>
      </c>
      <c r="OO12" s="7">
        <v>33</v>
      </c>
      <c r="OP12" s="7">
        <v>34</v>
      </c>
      <c r="OQ12" s="7">
        <v>18</v>
      </c>
      <c r="OR12" s="7">
        <v>49</v>
      </c>
      <c r="OS12" s="7">
        <v>18</v>
      </c>
      <c r="OT12" s="7">
        <v>21</v>
      </c>
      <c r="OU12" s="7">
        <v>45</v>
      </c>
      <c r="OV12" s="7">
        <v>40</v>
      </c>
      <c r="OW12" s="7">
        <v>40</v>
      </c>
      <c r="OX12" s="7">
        <v>47</v>
      </c>
      <c r="OY12" s="7">
        <v>47</v>
      </c>
      <c r="OZ12" s="7">
        <v>43</v>
      </c>
      <c r="PA12" s="7">
        <v>25</v>
      </c>
      <c r="PB12" s="7">
        <v>26</v>
      </c>
      <c r="PC12" s="7">
        <v>33</v>
      </c>
      <c r="PD12" s="7">
        <v>19</v>
      </c>
      <c r="PE12" s="7">
        <v>22</v>
      </c>
      <c r="PF12" s="7">
        <v>28</v>
      </c>
      <c r="PG12" s="7">
        <v>44</v>
      </c>
      <c r="PH12" s="7">
        <v>30</v>
      </c>
      <c r="PI12" s="7">
        <v>30</v>
      </c>
      <c r="PJ12" s="7">
        <v>23</v>
      </c>
      <c r="PK12" s="7">
        <v>27</v>
      </c>
      <c r="PL12" s="7">
        <v>27</v>
      </c>
      <c r="PM12" s="7">
        <v>51</v>
      </c>
      <c r="PN12" s="7">
        <v>42</v>
      </c>
      <c r="PO12" s="7">
        <v>35</v>
      </c>
      <c r="PP12" s="7">
        <v>43</v>
      </c>
      <c r="PQ12" s="7">
        <v>33</v>
      </c>
      <c r="PR12" s="7">
        <v>49</v>
      </c>
      <c r="PS12" s="7">
        <v>36</v>
      </c>
      <c r="PT12" s="7">
        <v>22</v>
      </c>
      <c r="PU12" s="7">
        <v>39</v>
      </c>
      <c r="PV12" s="7">
        <v>18</v>
      </c>
      <c r="PW12" s="7">
        <v>29</v>
      </c>
      <c r="PX12" s="7">
        <v>36</v>
      </c>
      <c r="PY12" s="7">
        <v>25</v>
      </c>
      <c r="PZ12" s="7">
        <v>53</v>
      </c>
      <c r="QA12" s="7">
        <v>59</v>
      </c>
      <c r="QB12" s="7">
        <v>31</v>
      </c>
      <c r="QC12" s="7">
        <v>28</v>
      </c>
      <c r="QD12" s="7">
        <v>38</v>
      </c>
      <c r="QE12" s="7">
        <v>26</v>
      </c>
      <c r="QF12" s="7">
        <v>37</v>
      </c>
      <c r="QG12" s="7">
        <v>29</v>
      </c>
      <c r="QH12" s="7">
        <v>31</v>
      </c>
      <c r="QI12" s="7">
        <v>43</v>
      </c>
      <c r="QJ12" s="7">
        <v>36</v>
      </c>
      <c r="QK12" s="7">
        <v>18</v>
      </c>
      <c r="QL12" s="7">
        <v>43</v>
      </c>
      <c r="QM12" s="7">
        <v>24</v>
      </c>
      <c r="QN12" s="7">
        <v>25</v>
      </c>
      <c r="QO12" s="7">
        <v>33</v>
      </c>
      <c r="QP12" s="7">
        <v>49</v>
      </c>
      <c r="QQ12" s="7">
        <v>32</v>
      </c>
      <c r="QR12" s="7">
        <v>27</v>
      </c>
      <c r="QS12" s="7">
        <v>23</v>
      </c>
      <c r="QT12" s="7">
        <v>18</v>
      </c>
      <c r="QU12" s="7">
        <v>26</v>
      </c>
      <c r="QV12" s="7">
        <v>36</v>
      </c>
      <c r="QW12" s="7">
        <v>48</v>
      </c>
      <c r="QX12" s="7">
        <v>36</v>
      </c>
      <c r="QY12" s="7">
        <v>40</v>
      </c>
      <c r="QZ12" s="7">
        <v>30</v>
      </c>
      <c r="RA12" s="7">
        <v>38</v>
      </c>
      <c r="RB12" s="7">
        <v>29</v>
      </c>
      <c r="RC12" s="7">
        <v>28</v>
      </c>
      <c r="RD12" s="7">
        <v>32</v>
      </c>
      <c r="RE12" s="7">
        <v>36</v>
      </c>
      <c r="RF12" s="7">
        <v>29</v>
      </c>
      <c r="RG12" s="7">
        <v>33</v>
      </c>
      <c r="RH12" s="7">
        <v>25</v>
      </c>
      <c r="RI12" s="7">
        <v>24</v>
      </c>
      <c r="RJ12" s="7">
        <v>43</v>
      </c>
      <c r="RK12" s="7">
        <v>44</v>
      </c>
      <c r="RL12" s="7">
        <v>31</v>
      </c>
      <c r="RM12" s="7">
        <v>31</v>
      </c>
      <c r="RN12" s="7">
        <v>28</v>
      </c>
      <c r="RO12" s="7">
        <v>44</v>
      </c>
      <c r="RP12" s="7">
        <v>41</v>
      </c>
      <c r="RQ12" s="7">
        <v>35</v>
      </c>
      <c r="RR12" s="7">
        <v>28</v>
      </c>
      <c r="RS12" s="7">
        <v>24</v>
      </c>
      <c r="RT12" s="7">
        <v>28</v>
      </c>
      <c r="RU12" s="7">
        <v>29</v>
      </c>
      <c r="RV12" s="7">
        <v>18</v>
      </c>
      <c r="RW12" s="7">
        <v>32</v>
      </c>
      <c r="RX12" s="7">
        <v>41</v>
      </c>
      <c r="RY12" s="7">
        <v>28</v>
      </c>
      <c r="RZ12" s="7">
        <v>40</v>
      </c>
      <c r="SA12" s="7">
        <v>24</v>
      </c>
      <c r="SB12" s="7">
        <v>18</v>
      </c>
      <c r="SC12" s="7">
        <v>26</v>
      </c>
      <c r="SD12" s="7">
        <v>30</v>
      </c>
      <c r="SE12" s="7">
        <v>18</v>
      </c>
      <c r="SF12" s="7">
        <v>26</v>
      </c>
      <c r="SG12" s="7">
        <v>18</v>
      </c>
      <c r="SH12" s="7">
        <v>24</v>
      </c>
      <c r="SI12" s="7">
        <v>36</v>
      </c>
      <c r="SJ12" s="7">
        <v>28</v>
      </c>
      <c r="SK12" s="7">
        <v>22</v>
      </c>
      <c r="SL12" s="7">
        <v>41</v>
      </c>
      <c r="SM12" s="7">
        <v>44</v>
      </c>
      <c r="SN12" s="7">
        <v>23</v>
      </c>
      <c r="SO12" s="7">
        <v>25</v>
      </c>
      <c r="SP12" s="7">
        <v>36</v>
      </c>
      <c r="SQ12" s="7">
        <v>18</v>
      </c>
      <c r="SR12" s="7">
        <v>48</v>
      </c>
      <c r="SS12" s="7">
        <v>30</v>
      </c>
      <c r="ST12" s="7">
        <v>27</v>
      </c>
      <c r="SU12" s="7">
        <v>18</v>
      </c>
      <c r="SV12" s="7">
        <v>35</v>
      </c>
      <c r="SW12" s="7">
        <v>33</v>
      </c>
      <c r="SX12" s="7">
        <v>38</v>
      </c>
      <c r="SY12" s="7">
        <v>36</v>
      </c>
      <c r="SZ12" s="7">
        <v>29</v>
      </c>
      <c r="TA12" s="7">
        <v>29</v>
      </c>
      <c r="TB12" s="7">
        <v>20</v>
      </c>
      <c r="TC12" s="7">
        <v>25</v>
      </c>
      <c r="TD12" s="7">
        <v>29</v>
      </c>
      <c r="TE12" s="7">
        <v>18</v>
      </c>
      <c r="TF12" s="7">
        <v>27</v>
      </c>
      <c r="TG12" s="7">
        <v>47</v>
      </c>
      <c r="TH12" s="7">
        <v>26</v>
      </c>
      <c r="TI12" s="7">
        <v>21</v>
      </c>
      <c r="TJ12" s="7">
        <v>39</v>
      </c>
      <c r="TK12" s="7">
        <v>20</v>
      </c>
      <c r="TL12" s="7">
        <v>29</v>
      </c>
      <c r="TM12" s="7">
        <v>22</v>
      </c>
      <c r="TN12" s="7">
        <v>33</v>
      </c>
      <c r="TO12" s="7">
        <v>36</v>
      </c>
      <c r="TP12" s="7">
        <v>34</v>
      </c>
      <c r="TQ12" s="7">
        <v>20</v>
      </c>
      <c r="TR12" s="7">
        <v>48</v>
      </c>
      <c r="TS12" s="7">
        <v>18</v>
      </c>
      <c r="TT12" s="7">
        <v>36</v>
      </c>
      <c r="TU12" s="7">
        <v>19</v>
      </c>
      <c r="TV12" s="7">
        <v>18</v>
      </c>
      <c r="TW12" s="7">
        <v>38</v>
      </c>
      <c r="TX12" s="7">
        <v>39</v>
      </c>
      <c r="TY12" s="7">
        <v>18</v>
      </c>
      <c r="TZ12" s="7">
        <v>26</v>
      </c>
      <c r="UA12" s="7">
        <v>26</v>
      </c>
      <c r="UB12" s="7">
        <v>30</v>
      </c>
      <c r="UC12" s="7">
        <v>53</v>
      </c>
      <c r="UD12" s="7">
        <v>26</v>
      </c>
      <c r="UE12" s="7">
        <v>36</v>
      </c>
      <c r="UF12" s="7">
        <v>45</v>
      </c>
      <c r="UG12" s="7">
        <v>28</v>
      </c>
      <c r="UH12" s="7">
        <v>41</v>
      </c>
      <c r="UI12" s="7">
        <v>46</v>
      </c>
      <c r="UJ12" s="7">
        <v>44</v>
      </c>
      <c r="UK12" s="7">
        <v>40</v>
      </c>
      <c r="UL12" s="7">
        <v>30</v>
      </c>
      <c r="UM12" s="7">
        <v>41</v>
      </c>
      <c r="UN12" s="7">
        <v>24</v>
      </c>
      <c r="UO12" s="7">
        <v>47</v>
      </c>
      <c r="UP12" s="7">
        <v>39</v>
      </c>
      <c r="UQ12" s="7">
        <v>31</v>
      </c>
      <c r="UR12" s="7">
        <v>20</v>
      </c>
      <c r="US12" s="7">
        <v>43</v>
      </c>
      <c r="UT12" s="7">
        <v>39</v>
      </c>
      <c r="UU12" s="7">
        <v>41</v>
      </c>
      <c r="UV12" s="7">
        <v>25</v>
      </c>
      <c r="UW12" s="7">
        <v>23</v>
      </c>
      <c r="UX12" s="7">
        <v>49</v>
      </c>
      <c r="UY12" s="7">
        <v>40</v>
      </c>
      <c r="UZ12" s="7">
        <v>18</v>
      </c>
      <c r="VA12" s="7">
        <v>27</v>
      </c>
      <c r="VB12" s="7">
        <v>39</v>
      </c>
      <c r="VC12" s="7">
        <v>24</v>
      </c>
      <c r="VD12" s="7">
        <v>34</v>
      </c>
      <c r="VE12" s="7">
        <v>18</v>
      </c>
      <c r="VF12" s="7">
        <v>38</v>
      </c>
      <c r="VG12" s="7">
        <v>30</v>
      </c>
      <c r="VH12" s="7">
        <v>30</v>
      </c>
      <c r="VI12" s="7">
        <v>18</v>
      </c>
      <c r="VJ12" s="7">
        <v>29</v>
      </c>
      <c r="VK12" s="7">
        <v>38</v>
      </c>
      <c r="VL12" s="7">
        <v>31</v>
      </c>
      <c r="VM12" s="7">
        <v>24</v>
      </c>
      <c r="VN12" s="7">
        <v>24</v>
      </c>
      <c r="VO12" s="7">
        <v>24</v>
      </c>
      <c r="VP12" s="7">
        <v>18</v>
      </c>
      <c r="VQ12" s="7">
        <v>30</v>
      </c>
      <c r="VR12" s="7">
        <v>22</v>
      </c>
      <c r="VS12" s="7">
        <v>31</v>
      </c>
      <c r="VT12" s="7">
        <v>40</v>
      </c>
      <c r="VU12" s="7">
        <v>34</v>
      </c>
      <c r="VV12" s="7">
        <v>32</v>
      </c>
      <c r="VW12" s="7">
        <v>23</v>
      </c>
      <c r="VX12" s="7">
        <v>51</v>
      </c>
      <c r="VY12" s="7">
        <v>23</v>
      </c>
      <c r="VZ12" s="7">
        <v>50</v>
      </c>
      <c r="WA12" s="7">
        <v>25</v>
      </c>
      <c r="WB12" s="7">
        <v>18</v>
      </c>
      <c r="WC12" s="7">
        <v>18</v>
      </c>
      <c r="WD12" s="7">
        <v>27</v>
      </c>
      <c r="WE12" s="7">
        <v>26</v>
      </c>
      <c r="WF12" s="7">
        <v>29</v>
      </c>
      <c r="WG12" s="7">
        <v>46</v>
      </c>
      <c r="WH12" s="7">
        <v>27</v>
      </c>
      <c r="WI12" s="7">
        <v>30</v>
      </c>
      <c r="WJ12" s="7">
        <v>25</v>
      </c>
      <c r="WK12" s="7">
        <v>22</v>
      </c>
      <c r="WL12" s="7">
        <v>37</v>
      </c>
      <c r="WM12" s="7">
        <v>35</v>
      </c>
      <c r="WN12" s="7">
        <v>24</v>
      </c>
      <c r="WO12" s="7">
        <v>33</v>
      </c>
      <c r="WP12" s="7">
        <v>33</v>
      </c>
      <c r="WQ12" s="7">
        <v>41</v>
      </c>
      <c r="WR12" s="7">
        <v>21</v>
      </c>
      <c r="WS12" s="7">
        <v>35</v>
      </c>
      <c r="WT12" s="7">
        <v>27</v>
      </c>
      <c r="WU12" s="7">
        <v>18</v>
      </c>
      <c r="WV12" s="7">
        <v>18</v>
      </c>
      <c r="WW12" s="7">
        <v>22</v>
      </c>
      <c r="WX12" s="7">
        <v>44</v>
      </c>
      <c r="WY12" s="7">
        <v>24</v>
      </c>
      <c r="WZ12" s="7">
        <v>37</v>
      </c>
      <c r="XA12" s="7">
        <v>31</v>
      </c>
      <c r="XB12" s="7">
        <v>34</v>
      </c>
      <c r="XC12" s="7">
        <v>28</v>
      </c>
      <c r="XD12" s="7">
        <v>28</v>
      </c>
      <c r="XE12" s="7">
        <v>36</v>
      </c>
      <c r="XF12" s="7">
        <v>32</v>
      </c>
      <c r="XG12" s="7">
        <v>31</v>
      </c>
      <c r="XH12" s="7">
        <v>18</v>
      </c>
      <c r="XI12" s="7">
        <v>31</v>
      </c>
      <c r="XJ12" s="7">
        <v>20</v>
      </c>
      <c r="XK12" s="7">
        <v>39</v>
      </c>
      <c r="XL12" s="7">
        <v>28</v>
      </c>
      <c r="XM12" s="7">
        <v>37</v>
      </c>
      <c r="XN12" s="7">
        <v>45</v>
      </c>
      <c r="XO12" s="7">
        <v>18</v>
      </c>
      <c r="XP12" s="7">
        <v>35</v>
      </c>
      <c r="XQ12" s="7">
        <v>18</v>
      </c>
      <c r="XR12" s="7">
        <v>24</v>
      </c>
      <c r="XS12" s="7">
        <v>31</v>
      </c>
      <c r="XT12" s="7">
        <v>40</v>
      </c>
      <c r="XU12" s="7">
        <v>32</v>
      </c>
      <c r="XV12" s="7">
        <v>33</v>
      </c>
      <c r="XW12" s="7">
        <v>22</v>
      </c>
      <c r="XX12" s="7">
        <v>18</v>
      </c>
      <c r="XY12" s="7">
        <v>42</v>
      </c>
      <c r="XZ12" s="7">
        <v>18</v>
      </c>
      <c r="YA12" s="7">
        <v>54</v>
      </c>
      <c r="YB12" s="7">
        <v>23</v>
      </c>
      <c r="YC12" s="7">
        <v>27</v>
      </c>
      <c r="YD12" s="7">
        <v>29</v>
      </c>
      <c r="YE12" s="7">
        <v>28</v>
      </c>
      <c r="YF12" s="7">
        <v>40</v>
      </c>
      <c r="YG12" s="7">
        <v>43</v>
      </c>
      <c r="YH12" s="7">
        <v>33</v>
      </c>
      <c r="YI12" s="7">
        <v>26</v>
      </c>
      <c r="YJ12" s="7">
        <v>53</v>
      </c>
      <c r="YK12" s="7">
        <v>42</v>
      </c>
      <c r="YL12" s="7">
        <v>38</v>
      </c>
      <c r="YM12" s="7">
        <v>22</v>
      </c>
      <c r="YN12" s="7">
        <v>34</v>
      </c>
      <c r="YO12" s="7">
        <v>27</v>
      </c>
      <c r="YP12" s="7">
        <v>36</v>
      </c>
      <c r="YQ12" s="7">
        <v>24</v>
      </c>
      <c r="YR12" s="7">
        <v>45</v>
      </c>
      <c r="YS12" s="7">
        <v>40</v>
      </c>
      <c r="YT12" s="7">
        <v>46</v>
      </c>
      <c r="YU12" s="7">
        <v>25</v>
      </c>
      <c r="YV12" s="7">
        <v>30</v>
      </c>
      <c r="YW12" s="7">
        <v>32</v>
      </c>
      <c r="YX12" s="7">
        <v>28</v>
      </c>
      <c r="YY12" s="7">
        <v>39</v>
      </c>
      <c r="YZ12" s="7">
        <v>18</v>
      </c>
      <c r="ZA12" s="7">
        <v>28</v>
      </c>
      <c r="ZB12" s="7">
        <v>33</v>
      </c>
      <c r="ZC12" s="7">
        <v>33</v>
      </c>
      <c r="ZD12" s="7">
        <v>32</v>
      </c>
      <c r="ZE12" s="7">
        <v>48</v>
      </c>
      <c r="ZF12" s="7">
        <v>28</v>
      </c>
      <c r="ZG12" s="7">
        <v>20</v>
      </c>
      <c r="ZH12" s="7">
        <v>48</v>
      </c>
      <c r="ZI12" s="7">
        <v>20</v>
      </c>
      <c r="ZJ12" s="7">
        <v>25</v>
      </c>
      <c r="ZK12" s="7">
        <v>24</v>
      </c>
      <c r="ZL12" s="7">
        <v>25</v>
      </c>
      <c r="ZM12" s="7">
        <v>18</v>
      </c>
      <c r="ZN12" s="7">
        <v>51</v>
      </c>
      <c r="ZO12" s="7">
        <v>28</v>
      </c>
      <c r="ZP12" s="7">
        <v>43</v>
      </c>
      <c r="ZQ12" s="7">
        <v>18</v>
      </c>
      <c r="ZR12" s="7">
        <v>29</v>
      </c>
      <c r="ZS12" s="7">
        <v>22</v>
      </c>
      <c r="ZT12" s="7">
        <v>44</v>
      </c>
      <c r="ZU12" s="7">
        <v>18</v>
      </c>
      <c r="ZV12" s="7">
        <v>21</v>
      </c>
      <c r="ZW12" s="7">
        <v>25</v>
      </c>
      <c r="ZX12" s="7">
        <v>27</v>
      </c>
      <c r="ZY12" s="7">
        <v>18</v>
      </c>
      <c r="ZZ12" s="7">
        <v>21</v>
      </c>
      <c r="AAA12" s="7">
        <v>31</v>
      </c>
      <c r="AAB12" s="7">
        <v>32</v>
      </c>
      <c r="AAC12" s="7">
        <v>18</v>
      </c>
      <c r="AAD12" s="7">
        <v>25</v>
      </c>
      <c r="AAE12" s="7">
        <v>47</v>
      </c>
      <c r="AAF12" s="7">
        <v>18</v>
      </c>
      <c r="AAG12" s="7">
        <v>25</v>
      </c>
      <c r="AAH12" s="7">
        <v>26</v>
      </c>
      <c r="AAI12" s="7">
        <v>26</v>
      </c>
      <c r="AAJ12" s="7">
        <v>19</v>
      </c>
      <c r="AAK12" s="7">
        <v>18</v>
      </c>
      <c r="AAL12" s="7">
        <v>60</v>
      </c>
      <c r="AAM12" s="7">
        <v>41</v>
      </c>
      <c r="AAN12" s="7">
        <v>35</v>
      </c>
      <c r="AAO12" s="7">
        <v>25</v>
      </c>
      <c r="AAP12" s="7">
        <v>29</v>
      </c>
      <c r="AAQ12" s="7">
        <v>36</v>
      </c>
      <c r="AAR12" s="7">
        <v>26</v>
      </c>
      <c r="AAS12" s="7">
        <v>29</v>
      </c>
      <c r="AAT12" s="7">
        <v>29</v>
      </c>
      <c r="AAU12" s="7">
        <v>22</v>
      </c>
      <c r="AAV12" s="7">
        <v>45</v>
      </c>
      <c r="AAW12" s="7">
        <v>27</v>
      </c>
      <c r="AAX12" s="7">
        <v>36</v>
      </c>
      <c r="AAY12" s="7">
        <v>43</v>
      </c>
      <c r="AAZ12" s="7">
        <v>39</v>
      </c>
      <c r="ABA12" s="7">
        <v>24</v>
      </c>
      <c r="ABB12" s="7">
        <v>31</v>
      </c>
      <c r="ABC12" s="7">
        <v>18</v>
      </c>
      <c r="ABD12" s="7">
        <v>25</v>
      </c>
      <c r="ABE12" s="7">
        <v>20</v>
      </c>
      <c r="ABF12" s="7">
        <v>31</v>
      </c>
      <c r="ABG12" s="7">
        <v>47</v>
      </c>
      <c r="ABH12" s="7">
        <v>22</v>
      </c>
      <c r="ABI12" s="7">
        <v>23</v>
      </c>
      <c r="ABJ12" s="7">
        <v>33</v>
      </c>
      <c r="ABK12" s="7">
        <v>33</v>
      </c>
      <c r="ABL12" s="7">
        <v>22</v>
      </c>
      <c r="ABM12" s="7">
        <v>30</v>
      </c>
      <c r="ABN12" s="7">
        <v>36</v>
      </c>
      <c r="ABO12" s="7">
        <v>47</v>
      </c>
      <c r="ABP12" s="7">
        <v>29</v>
      </c>
      <c r="ABQ12" s="7">
        <v>32</v>
      </c>
      <c r="ABR12" s="7">
        <v>21</v>
      </c>
      <c r="ABS12" s="7">
        <v>38</v>
      </c>
      <c r="ABT12" s="7">
        <v>31</v>
      </c>
      <c r="ABU12" s="7">
        <v>23</v>
      </c>
      <c r="ABV12" s="7">
        <v>35</v>
      </c>
      <c r="ABW12" s="7">
        <v>37</v>
      </c>
      <c r="ABX12" s="7">
        <v>26</v>
      </c>
      <c r="ABY12" s="7">
        <v>44</v>
      </c>
      <c r="ABZ12" s="7">
        <v>25</v>
      </c>
      <c r="ACA12" s="7">
        <v>32</v>
      </c>
      <c r="ACB12" s="7">
        <v>18</v>
      </c>
      <c r="ACC12" s="7">
        <v>45</v>
      </c>
      <c r="ACD12" s="7">
        <v>33</v>
      </c>
      <c r="ACE12" s="7">
        <v>44</v>
      </c>
      <c r="ACF12" s="7">
        <v>28</v>
      </c>
      <c r="ACG12" s="7">
        <v>39</v>
      </c>
      <c r="ACH12" s="7">
        <v>39</v>
      </c>
      <c r="ACI12" s="7">
        <v>33</v>
      </c>
      <c r="ACJ12" s="7">
        <v>18</v>
      </c>
      <c r="ACK12" s="7">
        <v>18</v>
      </c>
      <c r="ACL12" s="7">
        <v>32</v>
      </c>
      <c r="ACM12" s="7">
        <v>21</v>
      </c>
      <c r="ACN12" s="7">
        <v>37</v>
      </c>
      <c r="ACO12" s="7">
        <v>37</v>
      </c>
      <c r="ACP12" s="7">
        <v>27</v>
      </c>
      <c r="ACQ12" s="7">
        <v>43</v>
      </c>
      <c r="ACR12" s="7">
        <v>38</v>
      </c>
      <c r="ACS12" s="7">
        <v>45</v>
      </c>
      <c r="ACT12" s="7">
        <v>36</v>
      </c>
      <c r="ACU12" s="7">
        <v>35</v>
      </c>
      <c r="ACV12" s="7">
        <v>18</v>
      </c>
      <c r="ACW12" s="7">
        <v>30</v>
      </c>
      <c r="ACX12" s="7">
        <v>20</v>
      </c>
      <c r="ACY12" s="7">
        <v>35</v>
      </c>
      <c r="ACZ12" s="7">
        <v>25</v>
      </c>
      <c r="ADA12" s="7">
        <v>18</v>
      </c>
      <c r="ADB12" s="7">
        <v>34</v>
      </c>
      <c r="ADC12" s="7">
        <v>36</v>
      </c>
      <c r="ADD12" s="7">
        <v>39</v>
      </c>
      <c r="ADE12" s="7">
        <v>26</v>
      </c>
      <c r="ADF12" s="7">
        <v>19</v>
      </c>
      <c r="ADG12" s="7">
        <v>23</v>
      </c>
      <c r="ADH12" s="7">
        <v>29</v>
      </c>
      <c r="ADI12" s="7">
        <v>21</v>
      </c>
      <c r="ADJ12" s="7">
        <v>36</v>
      </c>
      <c r="ADK12" s="7">
        <v>19</v>
      </c>
      <c r="ADL12" s="7">
        <v>37</v>
      </c>
      <c r="ADM12" s="7">
        <v>42</v>
      </c>
      <c r="ADN12" s="7">
        <v>19</v>
      </c>
      <c r="ADO12" s="7">
        <v>46</v>
      </c>
      <c r="ADP12" s="7">
        <v>32</v>
      </c>
      <c r="ADQ12" s="7">
        <v>33</v>
      </c>
      <c r="ADR12" s="7">
        <v>48</v>
      </c>
      <c r="ADS12" s="7">
        <v>21</v>
      </c>
      <c r="ADT12" s="7">
        <v>30</v>
      </c>
      <c r="ADU12" s="7">
        <v>30</v>
      </c>
      <c r="ADV12" s="7">
        <v>36</v>
      </c>
      <c r="ADW12" s="7">
        <v>21</v>
      </c>
      <c r="ADX12" s="7">
        <v>19</v>
      </c>
      <c r="ADY12" s="7">
        <v>37</v>
      </c>
      <c r="ADZ12" s="7">
        <v>20</v>
      </c>
      <c r="AEA12" s="7">
        <v>30</v>
      </c>
      <c r="AEB12" s="7">
        <v>40</v>
      </c>
      <c r="AEC12" s="7">
        <v>26</v>
      </c>
      <c r="AED12" s="7">
        <v>31</v>
      </c>
      <c r="AEE12" s="7">
        <v>38</v>
      </c>
      <c r="AEF12" s="7">
        <v>45</v>
      </c>
      <c r="AEG12" s="7">
        <v>25</v>
      </c>
      <c r="AEH12" s="7">
        <v>39</v>
      </c>
      <c r="AEI12" s="7">
        <v>37</v>
      </c>
      <c r="AEJ12" s="7">
        <v>25</v>
      </c>
      <c r="AEK12" s="7">
        <v>29</v>
      </c>
      <c r="AEL12" s="7">
        <v>36</v>
      </c>
      <c r="AEM12" s="7">
        <v>26</v>
      </c>
      <c r="AEN12" s="7">
        <v>35</v>
      </c>
      <c r="AEO12" s="7">
        <v>26</v>
      </c>
      <c r="AEP12" s="7">
        <v>36</v>
      </c>
      <c r="AEQ12" s="7">
        <v>20</v>
      </c>
      <c r="AER12" s="7">
        <v>41</v>
      </c>
      <c r="AES12" s="7">
        <v>44</v>
      </c>
      <c r="AET12" s="7">
        <v>30</v>
      </c>
      <c r="AEU12" s="7">
        <v>18</v>
      </c>
      <c r="AEV12" s="7">
        <v>36</v>
      </c>
      <c r="AEW12" s="7">
        <v>41</v>
      </c>
      <c r="AEX12" s="7">
        <v>27</v>
      </c>
      <c r="AEY12" s="7">
        <v>22</v>
      </c>
      <c r="AEZ12" s="7">
        <v>28</v>
      </c>
      <c r="AFA12" s="7">
        <v>18</v>
      </c>
      <c r="AFB12" s="7">
        <v>41</v>
      </c>
      <c r="AFC12" s="7">
        <v>26</v>
      </c>
      <c r="AFD12" s="7">
        <v>43</v>
      </c>
      <c r="AFE12" s="7">
        <v>32</v>
      </c>
      <c r="AFF12" s="7">
        <v>38</v>
      </c>
      <c r="AFG12" s="7">
        <v>45</v>
      </c>
      <c r="AFH12" s="7">
        <v>27</v>
      </c>
      <c r="AFI12" s="7">
        <v>25</v>
      </c>
      <c r="AFJ12" s="7">
        <v>35</v>
      </c>
      <c r="AFK12" s="7">
        <v>18</v>
      </c>
      <c r="AFL12" s="7">
        <v>45</v>
      </c>
      <c r="AFM12" s="7">
        <v>33</v>
      </c>
      <c r="AFN12" s="7">
        <v>20</v>
      </c>
      <c r="AFO12" s="7">
        <v>27</v>
      </c>
      <c r="AFP12" s="7">
        <v>29</v>
      </c>
      <c r="AFQ12" s="7">
        <v>25</v>
      </c>
      <c r="AFR12" s="7">
        <v>27</v>
      </c>
      <c r="AFS12" s="7">
        <v>41</v>
      </c>
      <c r="AFT12" s="7">
        <v>25</v>
      </c>
      <c r="AFU12" s="7">
        <v>20</v>
      </c>
      <c r="AFV12" s="7">
        <v>28</v>
      </c>
      <c r="AFW12" s="7">
        <v>21</v>
      </c>
      <c r="AFX12" s="7">
        <v>28</v>
      </c>
      <c r="AFY12" s="7">
        <v>31</v>
      </c>
      <c r="AFZ12" s="7">
        <v>20</v>
      </c>
      <c r="AGA12" s="7">
        <v>23</v>
      </c>
      <c r="AGB12" s="7">
        <v>18</v>
      </c>
      <c r="AGC12" s="7">
        <v>42</v>
      </c>
      <c r="AGD12" s="7">
        <v>36</v>
      </c>
      <c r="AGE12" s="7">
        <v>26</v>
      </c>
      <c r="AGF12" s="7">
        <v>25</v>
      </c>
      <c r="AGG12" s="7">
        <v>39</v>
      </c>
      <c r="AGH12" s="7">
        <v>19</v>
      </c>
      <c r="AGI12" s="7">
        <v>32</v>
      </c>
      <c r="AGJ12" s="7">
        <v>23</v>
      </c>
      <c r="AGK12" s="7">
        <v>34</v>
      </c>
      <c r="AGL12" s="7">
        <v>24</v>
      </c>
      <c r="AGM12" s="7">
        <v>29</v>
      </c>
      <c r="AGN12" s="7">
        <v>23</v>
      </c>
      <c r="AGO12" s="7">
        <v>34</v>
      </c>
      <c r="AGP12" s="7">
        <v>33</v>
      </c>
      <c r="AGQ12" s="7">
        <v>24</v>
      </c>
      <c r="AGR12" s="7">
        <v>29</v>
      </c>
      <c r="AGS12" s="7">
        <v>31</v>
      </c>
      <c r="AGT12" s="7">
        <v>35</v>
      </c>
      <c r="AGU12" s="7">
        <v>40</v>
      </c>
      <c r="AGV12" s="7">
        <v>51</v>
      </c>
      <c r="AGW12" s="7">
        <v>33</v>
      </c>
      <c r="AGX12" s="7">
        <v>30</v>
      </c>
      <c r="AGY12" s="7">
        <v>37</v>
      </c>
      <c r="AGZ12" s="7">
        <v>43</v>
      </c>
      <c r="AHA12" s="7">
        <v>33</v>
      </c>
      <c r="AHB12" s="7">
        <v>37</v>
      </c>
      <c r="AHC12" s="7">
        <v>20</v>
      </c>
      <c r="AHD12" s="7">
        <v>18</v>
      </c>
      <c r="AHE12" s="7">
        <v>27</v>
      </c>
      <c r="AHF12" s="7">
        <v>18</v>
      </c>
      <c r="AHG12" s="7">
        <v>33</v>
      </c>
      <c r="AHH12" s="7">
        <v>37</v>
      </c>
      <c r="AHI12" s="7">
        <v>31</v>
      </c>
      <c r="AHJ12" s="7">
        <v>18</v>
      </c>
      <c r="AHK12" s="7">
        <v>36</v>
      </c>
      <c r="AHL12" s="7">
        <v>20</v>
      </c>
      <c r="AHM12" s="7">
        <v>34</v>
      </c>
      <c r="AHN12" s="7">
        <v>24</v>
      </c>
      <c r="AHO12" s="7">
        <v>26</v>
      </c>
      <c r="AHP12" s="7">
        <v>38</v>
      </c>
      <c r="AHQ12" s="7">
        <v>36</v>
      </c>
      <c r="AHR12" s="7">
        <v>41</v>
      </c>
      <c r="AHS12" s="7">
        <v>29</v>
      </c>
      <c r="AHT12" s="7">
        <v>25</v>
      </c>
      <c r="AHU12" s="7">
        <v>28</v>
      </c>
      <c r="AHV12" s="7">
        <v>34</v>
      </c>
      <c r="AHW12" s="7">
        <v>33</v>
      </c>
      <c r="AHX12" s="7">
        <v>51</v>
      </c>
      <c r="AHY12" s="7">
        <v>37</v>
      </c>
      <c r="AHZ12" s="7">
        <v>26</v>
      </c>
      <c r="AIA12" s="7">
        <v>43</v>
      </c>
      <c r="AIB12" s="7">
        <v>19</v>
      </c>
      <c r="AIC12" s="7">
        <v>45</v>
      </c>
      <c r="AID12" s="7">
        <v>31</v>
      </c>
      <c r="AIE12" s="7">
        <v>18</v>
      </c>
      <c r="AIF12" s="7">
        <v>33</v>
      </c>
      <c r="AIG12" s="7">
        <v>35</v>
      </c>
      <c r="AIH12" s="7">
        <v>40</v>
      </c>
      <c r="AII12" s="7">
        <v>26</v>
      </c>
      <c r="AIJ12" s="7">
        <v>31</v>
      </c>
      <c r="AIK12" s="7">
        <v>33</v>
      </c>
      <c r="AIL12" s="7">
        <v>18</v>
      </c>
      <c r="AIM12" s="7">
        <v>31</v>
      </c>
      <c r="AIN12" s="7">
        <v>30</v>
      </c>
      <c r="AIO12" s="7">
        <v>38</v>
      </c>
      <c r="AIP12" s="7">
        <v>34</v>
      </c>
      <c r="AIQ12" s="7">
        <v>36</v>
      </c>
      <c r="AIR12" s="7">
        <v>20</v>
      </c>
      <c r="AIS12" s="7">
        <v>18</v>
      </c>
      <c r="AIT12" s="7">
        <v>47</v>
      </c>
      <c r="AIU12" s="7">
        <v>41</v>
      </c>
      <c r="AIV12" s="7">
        <v>18</v>
      </c>
      <c r="AIW12" s="7">
        <v>27</v>
      </c>
      <c r="AIX12" s="7">
        <v>34</v>
      </c>
      <c r="AIY12" s="7">
        <v>24</v>
      </c>
      <c r="AIZ12" s="7">
        <v>33</v>
      </c>
      <c r="AJA12" s="7">
        <v>18</v>
      </c>
      <c r="AJB12" s="7">
        <v>34</v>
      </c>
      <c r="AJC12" s="7">
        <v>33</v>
      </c>
      <c r="AJD12" s="7">
        <v>29</v>
      </c>
      <c r="AJE12" s="7">
        <v>32</v>
      </c>
      <c r="AJF12" s="7">
        <v>51</v>
      </c>
      <c r="AJG12" s="7">
        <v>30</v>
      </c>
      <c r="AJH12" s="7">
        <v>28</v>
      </c>
      <c r="AJI12" s="7">
        <v>30</v>
      </c>
      <c r="AJJ12" s="7">
        <v>35</v>
      </c>
      <c r="AJK12" s="7">
        <v>28</v>
      </c>
      <c r="AJL12" s="7">
        <v>18</v>
      </c>
      <c r="AJM12" s="7">
        <v>31</v>
      </c>
      <c r="AJN12" s="7">
        <v>30</v>
      </c>
      <c r="AJO12" s="7">
        <v>24</v>
      </c>
      <c r="AJP12" s="7">
        <v>45</v>
      </c>
      <c r="AJQ12" s="7">
        <v>36</v>
      </c>
      <c r="AJR12" s="7">
        <v>35</v>
      </c>
      <c r="AJS12" s="7">
        <v>37</v>
      </c>
      <c r="AJT12" s="7">
        <v>25</v>
      </c>
      <c r="AJU12" s="7">
        <v>20</v>
      </c>
      <c r="AJV12" s="7">
        <v>18</v>
      </c>
      <c r="AJW12" s="7">
        <v>18</v>
      </c>
      <c r="AJX12" s="7">
        <v>41</v>
      </c>
      <c r="AJY12" s="7">
        <v>45</v>
      </c>
      <c r="AJZ12" s="7">
        <v>39</v>
      </c>
      <c r="AKA12" s="7">
        <v>28</v>
      </c>
      <c r="AKB12" s="7">
        <v>24</v>
      </c>
      <c r="AKC12" s="7">
        <v>36</v>
      </c>
      <c r="AKD12" s="7">
        <v>37</v>
      </c>
      <c r="AKE12" s="7">
        <v>33</v>
      </c>
      <c r="AKF12" s="7">
        <v>18</v>
      </c>
      <c r="AKG12" s="7">
        <v>28</v>
      </c>
      <c r="AKH12" s="7">
        <v>18</v>
      </c>
      <c r="AKI12" s="7">
        <v>29</v>
      </c>
      <c r="AKJ12" s="7">
        <v>30</v>
      </c>
      <c r="AKK12" s="7">
        <v>53</v>
      </c>
      <c r="AKL12" s="7">
        <v>22</v>
      </c>
      <c r="AKM12" s="7">
        <v>21</v>
      </c>
      <c r="AKN12" s="7">
        <v>34</v>
      </c>
      <c r="AKO12" s="7">
        <v>25</v>
      </c>
      <c r="AKP12" s="7">
        <v>24</v>
      </c>
      <c r="AKQ12" s="7">
        <v>39</v>
      </c>
      <c r="AKR12" s="7">
        <v>28</v>
      </c>
      <c r="AKS12" s="7">
        <v>35</v>
      </c>
      <c r="AKT12" s="7">
        <v>22</v>
      </c>
      <c r="AKU12" s="7">
        <v>51</v>
      </c>
      <c r="AKV12" s="7">
        <v>50</v>
      </c>
      <c r="AKW12" s="7">
        <v>31</v>
      </c>
      <c r="AKX12" s="7">
        <v>32</v>
      </c>
      <c r="AKY12" s="7">
        <v>29</v>
      </c>
      <c r="AKZ12" s="7">
        <v>35</v>
      </c>
      <c r="ALA12" s="7">
        <v>29</v>
      </c>
      <c r="ALB12" s="7">
        <v>42</v>
      </c>
      <c r="ALC12" s="7">
        <v>18</v>
      </c>
      <c r="ALD12" s="7">
        <v>18</v>
      </c>
      <c r="ALE12" s="7">
        <v>35</v>
      </c>
      <c r="ALF12" s="7">
        <v>39</v>
      </c>
      <c r="ALG12" s="7">
        <v>24</v>
      </c>
      <c r="ALH12" s="7">
        <v>24</v>
      </c>
      <c r="ALI12" s="7">
        <v>34</v>
      </c>
      <c r="ALJ12" s="7">
        <v>39</v>
      </c>
      <c r="ALK12" s="7">
        <v>31</v>
      </c>
      <c r="ALL12" s="7">
        <v>23</v>
      </c>
      <c r="ALM12" s="7">
        <v>18</v>
      </c>
      <c r="ALN12" s="7">
        <v>36</v>
      </c>
      <c r="ALO12" s="7">
        <v>18</v>
      </c>
      <c r="ALP12" s="7">
        <v>27</v>
      </c>
      <c r="ALQ12" s="7">
        <v>18</v>
      </c>
      <c r="ALR12" s="7">
        <v>38</v>
      </c>
      <c r="ALS12" s="7">
        <v>44</v>
      </c>
      <c r="ALT12" s="7">
        <v>29</v>
      </c>
      <c r="ALU12" s="7">
        <v>26</v>
      </c>
      <c r="ALV12" s="7">
        <v>25</v>
      </c>
      <c r="ALW12" s="7">
        <v>27</v>
      </c>
      <c r="ALX12" s="7">
        <v>18</v>
      </c>
    </row>
    <row r="13" spans="1:1012" x14ac:dyDescent="0.3">
      <c r="A13" s="6" t="s">
        <v>45</v>
      </c>
      <c r="B13" s="6" t="s">
        <v>31</v>
      </c>
      <c r="C13" s="7">
        <v>46</v>
      </c>
      <c r="D13" s="5" t="s">
        <v>46</v>
      </c>
      <c r="E13" s="6" t="s">
        <v>13</v>
      </c>
      <c r="F13" s="6" t="s">
        <v>38</v>
      </c>
      <c r="G13" s="5">
        <v>49</v>
      </c>
      <c r="H13" s="8">
        <v>43813</v>
      </c>
      <c r="I13" s="6" t="s">
        <v>47</v>
      </c>
      <c r="J13" s="6" t="s">
        <v>16</v>
      </c>
      <c r="L13" s="14" t="s">
        <v>3</v>
      </c>
      <c r="M13" s="5" t="s">
        <v>12</v>
      </c>
      <c r="N13" s="5" t="s">
        <v>18</v>
      </c>
      <c r="O13" s="5" t="s">
        <v>18</v>
      </c>
      <c r="P13" s="5" t="s">
        <v>18</v>
      </c>
      <c r="Q13" s="5" t="s">
        <v>32</v>
      </c>
      <c r="R13" s="5" t="s">
        <v>18</v>
      </c>
      <c r="S13" s="5" t="s">
        <v>18</v>
      </c>
      <c r="T13" s="5" t="s">
        <v>32</v>
      </c>
      <c r="U13" s="5" t="s">
        <v>18</v>
      </c>
      <c r="V13" s="5" t="s">
        <v>12</v>
      </c>
      <c r="W13" s="5" t="s">
        <v>32</v>
      </c>
      <c r="X13" s="5" t="s">
        <v>46</v>
      </c>
      <c r="Y13" s="5" t="s">
        <v>18</v>
      </c>
      <c r="Z13" s="5" t="s">
        <v>12</v>
      </c>
      <c r="AA13" s="5" t="s">
        <v>18</v>
      </c>
      <c r="AB13" s="5" t="s">
        <v>32</v>
      </c>
      <c r="AC13" s="5" t="s">
        <v>46</v>
      </c>
      <c r="AD13" s="5" t="s">
        <v>32</v>
      </c>
      <c r="AE13" s="5" t="s">
        <v>18</v>
      </c>
      <c r="AF13" s="5" t="s">
        <v>12</v>
      </c>
      <c r="AG13" s="5" t="s">
        <v>18</v>
      </c>
      <c r="AH13" s="5" t="s">
        <v>18</v>
      </c>
      <c r="AI13" s="5" t="s">
        <v>12</v>
      </c>
      <c r="AJ13" s="5" t="s">
        <v>12</v>
      </c>
      <c r="AK13" s="5" t="s">
        <v>18</v>
      </c>
      <c r="AL13" s="5" t="s">
        <v>18</v>
      </c>
      <c r="AM13" s="5" t="s">
        <v>46</v>
      </c>
      <c r="AN13" s="5" t="s">
        <v>18</v>
      </c>
      <c r="AO13" s="5" t="s">
        <v>18</v>
      </c>
      <c r="AP13" s="5" t="s">
        <v>18</v>
      </c>
      <c r="AQ13" s="5" t="s">
        <v>12</v>
      </c>
      <c r="AR13" s="5" t="s">
        <v>32</v>
      </c>
      <c r="AS13" s="5" t="s">
        <v>12</v>
      </c>
      <c r="AT13" s="5" t="s">
        <v>18</v>
      </c>
      <c r="AU13" s="5" t="s">
        <v>46</v>
      </c>
      <c r="AV13" s="5" t="s">
        <v>12</v>
      </c>
      <c r="AW13" s="5" t="s">
        <v>32</v>
      </c>
      <c r="AX13" s="5" t="s">
        <v>32</v>
      </c>
      <c r="AY13" s="5" t="s">
        <v>18</v>
      </c>
      <c r="AZ13" s="5" t="s">
        <v>32</v>
      </c>
      <c r="BA13" s="5" t="s">
        <v>12</v>
      </c>
      <c r="BB13" s="5" t="s">
        <v>32</v>
      </c>
      <c r="BC13" s="5" t="s">
        <v>18</v>
      </c>
      <c r="BD13" s="5" t="s">
        <v>32</v>
      </c>
      <c r="BE13" s="5" t="s">
        <v>32</v>
      </c>
      <c r="BF13" s="5" t="s">
        <v>12</v>
      </c>
      <c r="BG13" s="5" t="s">
        <v>32</v>
      </c>
      <c r="BH13" s="5" t="s">
        <v>46</v>
      </c>
      <c r="BI13" s="5" t="s">
        <v>18</v>
      </c>
      <c r="BJ13" s="5" t="s">
        <v>32</v>
      </c>
      <c r="BK13" s="5" t="s">
        <v>32</v>
      </c>
      <c r="BL13" s="5" t="s">
        <v>12</v>
      </c>
      <c r="BM13" s="5" t="s">
        <v>12</v>
      </c>
      <c r="BN13" s="5" t="s">
        <v>12</v>
      </c>
      <c r="BO13" s="5" t="s">
        <v>12</v>
      </c>
      <c r="BP13" s="5" t="s">
        <v>18</v>
      </c>
      <c r="BQ13" s="5" t="s">
        <v>18</v>
      </c>
      <c r="BR13" s="5" t="s">
        <v>32</v>
      </c>
      <c r="BS13" s="5" t="s">
        <v>32</v>
      </c>
      <c r="BT13" s="5" t="s">
        <v>32</v>
      </c>
      <c r="BU13" s="5" t="s">
        <v>18</v>
      </c>
      <c r="BV13" s="5" t="s">
        <v>18</v>
      </c>
      <c r="BW13" s="5" t="s">
        <v>18</v>
      </c>
      <c r="BX13" s="5" t="s">
        <v>12</v>
      </c>
      <c r="BY13" s="5" t="s">
        <v>12</v>
      </c>
      <c r="BZ13" s="5" t="s">
        <v>12</v>
      </c>
      <c r="CA13" s="5" t="s">
        <v>18</v>
      </c>
      <c r="CB13" s="5" t="s">
        <v>18</v>
      </c>
      <c r="CC13" s="5" t="s">
        <v>18</v>
      </c>
      <c r="CD13" s="5" t="s">
        <v>18</v>
      </c>
      <c r="CE13" s="5" t="s">
        <v>46</v>
      </c>
      <c r="CF13" s="5" t="s">
        <v>32</v>
      </c>
      <c r="CG13" s="5" t="s">
        <v>12</v>
      </c>
      <c r="CH13" s="5" t="s">
        <v>18</v>
      </c>
      <c r="CI13" s="5" t="s">
        <v>18</v>
      </c>
      <c r="CJ13" s="5" t="s">
        <v>12</v>
      </c>
      <c r="CK13" s="5" t="s">
        <v>12</v>
      </c>
      <c r="CL13" s="5" t="s">
        <v>12</v>
      </c>
      <c r="CM13" s="5" t="s">
        <v>18</v>
      </c>
      <c r="CN13" s="5" t="s">
        <v>18</v>
      </c>
      <c r="CO13" s="5" t="s">
        <v>12</v>
      </c>
      <c r="CP13" s="5" t="s">
        <v>18</v>
      </c>
      <c r="CQ13" s="5" t="s">
        <v>18</v>
      </c>
      <c r="CR13" s="5" t="s">
        <v>32</v>
      </c>
      <c r="CS13" s="5" t="s">
        <v>12</v>
      </c>
      <c r="CT13" s="5" t="s">
        <v>46</v>
      </c>
      <c r="CU13" s="5" t="s">
        <v>32</v>
      </c>
      <c r="CV13" s="5" t="s">
        <v>12</v>
      </c>
      <c r="CW13" s="5" t="s">
        <v>18</v>
      </c>
      <c r="CX13" s="5" t="s">
        <v>46</v>
      </c>
      <c r="CY13" s="5" t="s">
        <v>32</v>
      </c>
      <c r="CZ13" s="5" t="s">
        <v>18</v>
      </c>
      <c r="DA13" s="5" t="s">
        <v>32</v>
      </c>
      <c r="DB13" s="5" t="s">
        <v>18</v>
      </c>
      <c r="DC13" s="5" t="s">
        <v>32</v>
      </c>
      <c r="DD13" s="5" t="s">
        <v>32</v>
      </c>
      <c r="DE13" s="5" t="s">
        <v>12</v>
      </c>
      <c r="DF13" s="5" t="s">
        <v>18</v>
      </c>
      <c r="DG13" s="5" t="s">
        <v>32</v>
      </c>
      <c r="DH13" s="5" t="s">
        <v>18</v>
      </c>
      <c r="DI13" s="5" t="s">
        <v>32</v>
      </c>
      <c r="DJ13" s="5" t="s">
        <v>12</v>
      </c>
      <c r="DK13" s="5" t="s">
        <v>18</v>
      </c>
      <c r="DL13" s="5" t="s">
        <v>46</v>
      </c>
      <c r="DM13" s="5" t="s">
        <v>18</v>
      </c>
      <c r="DN13" s="5" t="s">
        <v>18</v>
      </c>
      <c r="DO13" s="5" t="s">
        <v>18</v>
      </c>
      <c r="DP13" s="5" t="s">
        <v>18</v>
      </c>
      <c r="DQ13" s="5" t="s">
        <v>18</v>
      </c>
      <c r="DR13" s="5" t="s">
        <v>46</v>
      </c>
      <c r="DS13" s="5" t="s">
        <v>12</v>
      </c>
      <c r="DT13" s="5" t="s">
        <v>12</v>
      </c>
      <c r="DU13" s="5" t="s">
        <v>18</v>
      </c>
      <c r="DV13" s="5" t="s">
        <v>18</v>
      </c>
      <c r="DW13" s="5" t="s">
        <v>12</v>
      </c>
      <c r="DX13" s="5" t="s">
        <v>32</v>
      </c>
      <c r="DY13" s="5" t="s">
        <v>18</v>
      </c>
      <c r="DZ13" s="5" t="s">
        <v>32</v>
      </c>
      <c r="EA13" s="5" t="s">
        <v>18</v>
      </c>
      <c r="EB13" s="5" t="s">
        <v>32</v>
      </c>
      <c r="EC13" s="5" t="s">
        <v>18</v>
      </c>
      <c r="ED13" s="5" t="s">
        <v>18</v>
      </c>
      <c r="EE13" s="5" t="s">
        <v>12</v>
      </c>
      <c r="EF13" s="5" t="s">
        <v>18</v>
      </c>
      <c r="EG13" s="5" t="s">
        <v>18</v>
      </c>
      <c r="EH13" s="5" t="s">
        <v>46</v>
      </c>
      <c r="EI13" s="5" t="s">
        <v>46</v>
      </c>
      <c r="EJ13" s="5" t="s">
        <v>18</v>
      </c>
      <c r="EK13" s="5" t="s">
        <v>18</v>
      </c>
      <c r="EL13" s="5" t="s">
        <v>18</v>
      </c>
      <c r="EM13" s="5" t="s">
        <v>32</v>
      </c>
      <c r="EN13" s="5" t="s">
        <v>18</v>
      </c>
      <c r="EO13" s="5" t="s">
        <v>12</v>
      </c>
      <c r="EP13" s="5" t="s">
        <v>46</v>
      </c>
      <c r="EQ13" s="5" t="s">
        <v>32</v>
      </c>
      <c r="ER13" s="5" t="s">
        <v>18</v>
      </c>
      <c r="ES13" s="5" t="s">
        <v>12</v>
      </c>
      <c r="ET13" s="5" t="s">
        <v>12</v>
      </c>
      <c r="EU13" s="5" t="s">
        <v>32</v>
      </c>
      <c r="EV13" s="5" t="s">
        <v>12</v>
      </c>
      <c r="EW13" s="5" t="s">
        <v>12</v>
      </c>
      <c r="EX13" s="5" t="s">
        <v>18</v>
      </c>
      <c r="EY13" s="5" t="s">
        <v>18</v>
      </c>
      <c r="EZ13" s="5" t="s">
        <v>18</v>
      </c>
      <c r="FA13" s="5" t="s">
        <v>18</v>
      </c>
      <c r="FB13" s="5" t="s">
        <v>18</v>
      </c>
      <c r="FC13" s="5" t="s">
        <v>18</v>
      </c>
      <c r="FD13" s="5" t="s">
        <v>32</v>
      </c>
      <c r="FE13" s="5" t="s">
        <v>12</v>
      </c>
      <c r="FF13" s="5" t="s">
        <v>12</v>
      </c>
      <c r="FG13" s="5" t="s">
        <v>12</v>
      </c>
      <c r="FH13" s="5" t="s">
        <v>12</v>
      </c>
      <c r="FI13" s="5" t="s">
        <v>18</v>
      </c>
      <c r="FJ13" s="5" t="s">
        <v>46</v>
      </c>
      <c r="FK13" s="5" t="s">
        <v>12</v>
      </c>
      <c r="FL13" s="5" t="s">
        <v>201</v>
      </c>
      <c r="FM13" s="5" t="s">
        <v>32</v>
      </c>
      <c r="FN13" s="5" t="s">
        <v>12</v>
      </c>
      <c r="FO13" s="5" t="s">
        <v>12</v>
      </c>
      <c r="FP13" s="5" t="s">
        <v>32</v>
      </c>
      <c r="FQ13" s="5" t="s">
        <v>12</v>
      </c>
      <c r="FR13" s="5" t="s">
        <v>32</v>
      </c>
      <c r="FS13" s="5" t="s">
        <v>18</v>
      </c>
      <c r="FT13" s="5" t="s">
        <v>18</v>
      </c>
      <c r="FU13" s="5" t="s">
        <v>18</v>
      </c>
      <c r="FV13" s="5" t="s">
        <v>18</v>
      </c>
      <c r="FW13" s="5" t="s">
        <v>18</v>
      </c>
      <c r="FX13" s="5" t="s">
        <v>32</v>
      </c>
      <c r="FY13" s="5" t="s">
        <v>18</v>
      </c>
      <c r="FZ13" s="5" t="s">
        <v>12</v>
      </c>
      <c r="GA13" s="5" t="s">
        <v>18</v>
      </c>
      <c r="GB13" s="5" t="s">
        <v>46</v>
      </c>
      <c r="GC13" s="5" t="s">
        <v>32</v>
      </c>
      <c r="GD13" s="5" t="s">
        <v>18</v>
      </c>
      <c r="GE13" s="5" t="s">
        <v>46</v>
      </c>
      <c r="GF13" s="5" t="s">
        <v>12</v>
      </c>
      <c r="GG13" s="5" t="s">
        <v>32</v>
      </c>
      <c r="GH13" s="5" t="s">
        <v>18</v>
      </c>
      <c r="GI13" s="5" t="s">
        <v>18</v>
      </c>
      <c r="GJ13" s="5" t="s">
        <v>18</v>
      </c>
      <c r="GK13" s="5" t="s">
        <v>32</v>
      </c>
      <c r="GL13" s="5" t="s">
        <v>18</v>
      </c>
      <c r="GM13" s="5" t="s">
        <v>32</v>
      </c>
      <c r="GN13" s="5" t="s">
        <v>12</v>
      </c>
      <c r="GO13" s="5" t="s">
        <v>12</v>
      </c>
      <c r="GP13" s="5" t="s">
        <v>32</v>
      </c>
      <c r="GQ13" s="5" t="s">
        <v>12</v>
      </c>
      <c r="GR13" s="5" t="s">
        <v>18</v>
      </c>
      <c r="GS13" s="5" t="s">
        <v>12</v>
      </c>
      <c r="GT13" s="5" t="s">
        <v>18</v>
      </c>
      <c r="GU13" s="5" t="s">
        <v>12</v>
      </c>
      <c r="GV13" s="5" t="s">
        <v>18</v>
      </c>
      <c r="GW13" s="5" t="s">
        <v>46</v>
      </c>
      <c r="GX13" s="5" t="s">
        <v>18</v>
      </c>
      <c r="GY13" s="5" t="s">
        <v>32</v>
      </c>
      <c r="GZ13" s="5" t="s">
        <v>12</v>
      </c>
      <c r="HA13" s="5" t="s">
        <v>12</v>
      </c>
      <c r="HB13" s="5" t="s">
        <v>12</v>
      </c>
      <c r="HC13" s="5" t="s">
        <v>12</v>
      </c>
      <c r="HD13" s="5" t="s">
        <v>32</v>
      </c>
      <c r="HE13" s="5" t="s">
        <v>12</v>
      </c>
      <c r="HF13" s="5" t="s">
        <v>18</v>
      </c>
      <c r="HG13" s="5" t="s">
        <v>12</v>
      </c>
      <c r="HH13" s="5" t="s">
        <v>12</v>
      </c>
      <c r="HI13" s="5" t="s">
        <v>18</v>
      </c>
      <c r="HJ13" s="5" t="s">
        <v>18</v>
      </c>
      <c r="HK13" s="5" t="s">
        <v>32</v>
      </c>
      <c r="HL13" s="5" t="s">
        <v>32</v>
      </c>
      <c r="HM13" s="5" t="s">
        <v>12</v>
      </c>
      <c r="HN13" s="5" t="s">
        <v>32</v>
      </c>
      <c r="HO13" s="5" t="s">
        <v>46</v>
      </c>
      <c r="HP13" s="5" t="s">
        <v>12</v>
      </c>
      <c r="HQ13" s="5" t="s">
        <v>18</v>
      </c>
      <c r="HR13" s="5" t="s">
        <v>18</v>
      </c>
      <c r="HS13" s="5" t="s">
        <v>46</v>
      </c>
      <c r="HT13" s="5" t="s">
        <v>32</v>
      </c>
      <c r="HU13" s="5" t="s">
        <v>12</v>
      </c>
      <c r="HV13" s="5" t="s">
        <v>46</v>
      </c>
      <c r="HW13" s="5" t="s">
        <v>46</v>
      </c>
      <c r="HX13" s="5" t="s">
        <v>18</v>
      </c>
      <c r="HY13" s="5" t="s">
        <v>18</v>
      </c>
      <c r="HZ13" s="5" t="s">
        <v>18</v>
      </c>
      <c r="IA13" s="5" t="s">
        <v>32</v>
      </c>
      <c r="IB13" s="5" t="s">
        <v>12</v>
      </c>
      <c r="IC13" s="5" t="s">
        <v>18</v>
      </c>
      <c r="ID13" s="5" t="s">
        <v>12</v>
      </c>
      <c r="IE13" s="5" t="s">
        <v>12</v>
      </c>
      <c r="IF13" s="5" t="s">
        <v>32</v>
      </c>
      <c r="IG13" s="5" t="s">
        <v>12</v>
      </c>
      <c r="IH13" s="5" t="s">
        <v>18</v>
      </c>
      <c r="II13" s="5" t="s">
        <v>32</v>
      </c>
      <c r="IJ13" s="5" t="s">
        <v>18</v>
      </c>
      <c r="IK13" s="5" t="s">
        <v>12</v>
      </c>
      <c r="IL13" s="5" t="s">
        <v>18</v>
      </c>
      <c r="IM13" s="5" t="s">
        <v>12</v>
      </c>
      <c r="IN13" s="5" t="s">
        <v>32</v>
      </c>
      <c r="IO13" s="5" t="s">
        <v>12</v>
      </c>
      <c r="IP13" s="5" t="s">
        <v>32</v>
      </c>
      <c r="IQ13" s="5" t="s">
        <v>12</v>
      </c>
      <c r="IR13" s="5" t="s">
        <v>18</v>
      </c>
      <c r="IS13" s="5" t="s">
        <v>18</v>
      </c>
      <c r="IT13" s="5" t="s">
        <v>32</v>
      </c>
      <c r="IU13" s="5" t="s">
        <v>46</v>
      </c>
      <c r="IV13" s="5" t="s">
        <v>18</v>
      </c>
      <c r="IW13" s="5" t="s">
        <v>18</v>
      </c>
      <c r="IX13" s="5" t="s">
        <v>12</v>
      </c>
      <c r="IY13" s="5" t="s">
        <v>32</v>
      </c>
      <c r="IZ13" s="5" t="s">
        <v>32</v>
      </c>
      <c r="JA13" s="5" t="s">
        <v>46</v>
      </c>
      <c r="JB13" s="5" t="s">
        <v>18</v>
      </c>
      <c r="JC13" s="5" t="s">
        <v>12</v>
      </c>
      <c r="JD13" s="5" t="s">
        <v>18</v>
      </c>
      <c r="JE13" s="5" t="s">
        <v>12</v>
      </c>
      <c r="JF13" s="5" t="s">
        <v>18</v>
      </c>
      <c r="JG13" s="5" t="s">
        <v>18</v>
      </c>
      <c r="JH13" s="5" t="s">
        <v>12</v>
      </c>
      <c r="JI13" s="5" t="s">
        <v>12</v>
      </c>
      <c r="JJ13" s="5" t="s">
        <v>32</v>
      </c>
      <c r="JK13" s="5" t="s">
        <v>12</v>
      </c>
      <c r="JL13" s="5" t="s">
        <v>18</v>
      </c>
      <c r="JM13" s="5" t="s">
        <v>12</v>
      </c>
      <c r="JN13" s="5" t="s">
        <v>18</v>
      </c>
      <c r="JO13" s="5" t="s">
        <v>18</v>
      </c>
      <c r="JP13" s="5" t="s">
        <v>18</v>
      </c>
      <c r="JQ13" s="5" t="s">
        <v>12</v>
      </c>
      <c r="JR13" s="5" t="s">
        <v>32</v>
      </c>
      <c r="JS13" s="5" t="s">
        <v>32</v>
      </c>
      <c r="JT13" s="5" t="s">
        <v>12</v>
      </c>
      <c r="JU13" s="5" t="s">
        <v>18</v>
      </c>
      <c r="JV13" s="5" t="s">
        <v>12</v>
      </c>
      <c r="JW13" s="5" t="s">
        <v>32</v>
      </c>
      <c r="JX13" s="5" t="s">
        <v>18</v>
      </c>
      <c r="JY13" s="5" t="s">
        <v>12</v>
      </c>
      <c r="JZ13" s="5" t="s">
        <v>18</v>
      </c>
      <c r="KA13" s="5" t="s">
        <v>32</v>
      </c>
      <c r="KB13" s="5" t="s">
        <v>12</v>
      </c>
      <c r="KC13" s="5" t="s">
        <v>32</v>
      </c>
      <c r="KD13" s="5" t="s">
        <v>32</v>
      </c>
      <c r="KE13" s="5" t="s">
        <v>32</v>
      </c>
      <c r="KF13" s="5" t="s">
        <v>18</v>
      </c>
      <c r="KG13" s="5" t="s">
        <v>32</v>
      </c>
      <c r="KH13" s="5" t="s">
        <v>18</v>
      </c>
      <c r="KI13" s="5" t="s">
        <v>12</v>
      </c>
      <c r="KJ13" s="5" t="s">
        <v>32</v>
      </c>
      <c r="KK13" s="5" t="s">
        <v>12</v>
      </c>
      <c r="KL13" s="5" t="s">
        <v>18</v>
      </c>
      <c r="KM13" s="5" t="s">
        <v>12</v>
      </c>
      <c r="KN13" s="5" t="s">
        <v>12</v>
      </c>
      <c r="KO13" s="5" t="s">
        <v>18</v>
      </c>
      <c r="KP13" s="5" t="s">
        <v>46</v>
      </c>
      <c r="KQ13" s="5" t="s">
        <v>18</v>
      </c>
      <c r="KR13" s="5" t="s">
        <v>32</v>
      </c>
      <c r="KS13" s="5" t="s">
        <v>12</v>
      </c>
      <c r="KT13" s="5" t="s">
        <v>32</v>
      </c>
      <c r="KU13" s="5" t="s">
        <v>12</v>
      </c>
      <c r="KV13" s="5" t="s">
        <v>32</v>
      </c>
      <c r="KW13" s="5" t="s">
        <v>32</v>
      </c>
      <c r="KX13" s="5" t="s">
        <v>12</v>
      </c>
      <c r="KY13" s="5" t="s">
        <v>12</v>
      </c>
      <c r="KZ13" s="5" t="s">
        <v>18</v>
      </c>
      <c r="LA13" s="5" t="s">
        <v>12</v>
      </c>
      <c r="LB13" s="5" t="s">
        <v>12</v>
      </c>
      <c r="LC13" s="5" t="s">
        <v>18</v>
      </c>
      <c r="LD13" s="5" t="s">
        <v>12</v>
      </c>
      <c r="LE13" s="5" t="s">
        <v>46</v>
      </c>
      <c r="LF13" s="5" t="s">
        <v>32</v>
      </c>
      <c r="LG13" s="5" t="s">
        <v>18</v>
      </c>
      <c r="LH13" s="5" t="s">
        <v>32</v>
      </c>
      <c r="LI13" s="5" t="s">
        <v>32</v>
      </c>
      <c r="LJ13" s="5" t="s">
        <v>32</v>
      </c>
      <c r="LK13" s="5" t="s">
        <v>12</v>
      </c>
      <c r="LL13" s="5" t="s">
        <v>18</v>
      </c>
      <c r="LM13" s="5" t="s">
        <v>18</v>
      </c>
      <c r="LN13" s="5" t="s">
        <v>12</v>
      </c>
      <c r="LO13" s="5" t="s">
        <v>12</v>
      </c>
      <c r="LP13" s="5" t="s">
        <v>12</v>
      </c>
      <c r="LQ13" s="5" t="s">
        <v>12</v>
      </c>
      <c r="LR13" s="5" t="s">
        <v>18</v>
      </c>
      <c r="LS13" s="5" t="s">
        <v>18</v>
      </c>
      <c r="LT13" s="5" t="s">
        <v>18</v>
      </c>
      <c r="LU13" s="5" t="s">
        <v>18</v>
      </c>
      <c r="LV13" s="5" t="s">
        <v>12</v>
      </c>
      <c r="LW13" s="5" t="s">
        <v>18</v>
      </c>
      <c r="LX13" s="5" t="s">
        <v>46</v>
      </c>
      <c r="LY13" s="5" t="s">
        <v>46</v>
      </c>
      <c r="LZ13" s="5" t="s">
        <v>12</v>
      </c>
      <c r="MA13" s="5" t="s">
        <v>32</v>
      </c>
      <c r="MB13" s="5" t="s">
        <v>18</v>
      </c>
      <c r="MC13" s="5" t="s">
        <v>32</v>
      </c>
      <c r="MD13" s="5" t="s">
        <v>12</v>
      </c>
      <c r="ME13" s="5" t="s">
        <v>46</v>
      </c>
      <c r="MF13" s="5" t="s">
        <v>32</v>
      </c>
      <c r="MG13" s="5" t="s">
        <v>12</v>
      </c>
      <c r="MH13" s="5" t="s">
        <v>18</v>
      </c>
      <c r="MI13" s="5" t="s">
        <v>18</v>
      </c>
      <c r="MJ13" s="5" t="s">
        <v>12</v>
      </c>
      <c r="MK13" s="5" t="s">
        <v>18</v>
      </c>
      <c r="ML13" s="5" t="s">
        <v>18</v>
      </c>
      <c r="MM13" s="5" t="s">
        <v>18</v>
      </c>
      <c r="MN13" s="5" t="s">
        <v>18</v>
      </c>
      <c r="MO13" s="5" t="s">
        <v>12</v>
      </c>
      <c r="MP13" s="5" t="s">
        <v>18</v>
      </c>
      <c r="MQ13" s="5" t="s">
        <v>32</v>
      </c>
      <c r="MR13" s="5" t="s">
        <v>12</v>
      </c>
      <c r="MS13" s="5" t="s">
        <v>12</v>
      </c>
      <c r="MT13" s="5" t="s">
        <v>32</v>
      </c>
      <c r="MU13" s="5" t="s">
        <v>12</v>
      </c>
      <c r="MV13" s="5" t="s">
        <v>18</v>
      </c>
      <c r="MW13" s="5" t="s">
        <v>12</v>
      </c>
      <c r="MX13" s="5" t="s">
        <v>18</v>
      </c>
      <c r="MY13" s="5" t="s">
        <v>32</v>
      </c>
      <c r="MZ13" s="5" t="s">
        <v>12</v>
      </c>
      <c r="NA13" s="5" t="s">
        <v>18</v>
      </c>
      <c r="NB13" s="5" t="s">
        <v>12</v>
      </c>
      <c r="NC13" s="5" t="s">
        <v>18</v>
      </c>
      <c r="ND13" s="5" t="s">
        <v>32</v>
      </c>
      <c r="NE13" s="5" t="s">
        <v>18</v>
      </c>
      <c r="NF13" s="5" t="s">
        <v>12</v>
      </c>
      <c r="NG13" s="5" t="s">
        <v>32</v>
      </c>
      <c r="NH13" s="5" t="s">
        <v>32</v>
      </c>
      <c r="NI13" s="5" t="s">
        <v>18</v>
      </c>
      <c r="NJ13" s="5" t="s">
        <v>18</v>
      </c>
      <c r="NK13" s="5" t="s">
        <v>12</v>
      </c>
      <c r="NL13" s="5" t="s">
        <v>18</v>
      </c>
      <c r="NM13" s="5" t="s">
        <v>12</v>
      </c>
      <c r="NN13" s="5" t="s">
        <v>18</v>
      </c>
      <c r="NO13" s="5" t="s">
        <v>32</v>
      </c>
      <c r="NP13" s="5" t="s">
        <v>18</v>
      </c>
      <c r="NQ13" s="5" t="s">
        <v>12</v>
      </c>
      <c r="NR13" s="5" t="s">
        <v>18</v>
      </c>
      <c r="NS13" s="5" t="s">
        <v>32</v>
      </c>
      <c r="NT13" s="5" t="s">
        <v>46</v>
      </c>
      <c r="NU13" s="5" t="s">
        <v>12</v>
      </c>
      <c r="NV13" s="5" t="s">
        <v>12</v>
      </c>
      <c r="NW13" s="5" t="s">
        <v>12</v>
      </c>
      <c r="NX13" s="5" t="s">
        <v>32</v>
      </c>
      <c r="NY13" s="5" t="s">
        <v>12</v>
      </c>
      <c r="NZ13" s="5" t="s">
        <v>18</v>
      </c>
      <c r="OA13" s="5" t="s">
        <v>18</v>
      </c>
      <c r="OB13" s="5" t="s">
        <v>12</v>
      </c>
      <c r="OC13" s="5" t="s">
        <v>12</v>
      </c>
      <c r="OD13" s="5" t="s">
        <v>12</v>
      </c>
      <c r="OE13" s="5" t="s">
        <v>46</v>
      </c>
      <c r="OF13" s="5" t="s">
        <v>18</v>
      </c>
      <c r="OG13" s="5" t="s">
        <v>32</v>
      </c>
      <c r="OH13" s="5" t="s">
        <v>18</v>
      </c>
      <c r="OI13" s="5" t="s">
        <v>32</v>
      </c>
      <c r="OJ13" s="5" t="s">
        <v>32</v>
      </c>
      <c r="OK13" s="5" t="s">
        <v>32</v>
      </c>
      <c r="OL13" s="5" t="s">
        <v>12</v>
      </c>
      <c r="OM13" s="5" t="s">
        <v>12</v>
      </c>
      <c r="ON13" s="5" t="s">
        <v>18</v>
      </c>
      <c r="OO13" s="5" t="s">
        <v>18</v>
      </c>
      <c r="OP13" s="5" t="s">
        <v>18</v>
      </c>
      <c r="OQ13" s="5" t="s">
        <v>32</v>
      </c>
      <c r="OR13" s="5" t="s">
        <v>46</v>
      </c>
      <c r="OS13" s="5" t="s">
        <v>32</v>
      </c>
      <c r="OT13" s="5" t="s">
        <v>32</v>
      </c>
      <c r="OU13" s="5" t="s">
        <v>46</v>
      </c>
      <c r="OV13" s="5" t="s">
        <v>12</v>
      </c>
      <c r="OW13" s="5" t="s">
        <v>12</v>
      </c>
      <c r="OX13" s="5" t="s">
        <v>46</v>
      </c>
      <c r="OY13" s="5" t="s">
        <v>46</v>
      </c>
      <c r="OZ13" s="5" t="s">
        <v>12</v>
      </c>
      <c r="PA13" s="5" t="s">
        <v>18</v>
      </c>
      <c r="PB13" s="5" t="s">
        <v>18</v>
      </c>
      <c r="PC13" s="5" t="s">
        <v>18</v>
      </c>
      <c r="PD13" s="5" t="s">
        <v>32</v>
      </c>
      <c r="PE13" s="5" t="s">
        <v>32</v>
      </c>
      <c r="PF13" s="5" t="s">
        <v>18</v>
      </c>
      <c r="PG13" s="5" t="s">
        <v>12</v>
      </c>
      <c r="PH13" s="5" t="s">
        <v>18</v>
      </c>
      <c r="PI13" s="5" t="s">
        <v>18</v>
      </c>
      <c r="PJ13" s="5" t="s">
        <v>32</v>
      </c>
      <c r="PK13" s="5" t="s">
        <v>18</v>
      </c>
      <c r="PL13" s="5" t="s">
        <v>18</v>
      </c>
      <c r="PM13" s="5" t="s">
        <v>46</v>
      </c>
      <c r="PN13" s="5" t="s">
        <v>12</v>
      </c>
      <c r="PO13" s="5" t="s">
        <v>12</v>
      </c>
      <c r="PP13" s="5" t="s">
        <v>12</v>
      </c>
      <c r="PQ13" s="5" t="s">
        <v>18</v>
      </c>
      <c r="PR13" s="5" t="s">
        <v>46</v>
      </c>
      <c r="PS13" s="5" t="s">
        <v>12</v>
      </c>
      <c r="PT13" s="5" t="s">
        <v>32</v>
      </c>
      <c r="PU13" s="5" t="s">
        <v>12</v>
      </c>
      <c r="PV13" s="5" t="s">
        <v>32</v>
      </c>
      <c r="PW13" s="5" t="s">
        <v>18</v>
      </c>
      <c r="PX13" s="5" t="s">
        <v>12</v>
      </c>
      <c r="PY13" s="5" t="s">
        <v>18</v>
      </c>
      <c r="PZ13" s="5" t="s">
        <v>46</v>
      </c>
      <c r="QA13" s="5" t="s">
        <v>201</v>
      </c>
      <c r="QB13" s="5" t="s">
        <v>18</v>
      </c>
      <c r="QC13" s="5" t="s">
        <v>18</v>
      </c>
      <c r="QD13" s="5" t="s">
        <v>12</v>
      </c>
      <c r="QE13" s="5" t="s">
        <v>18</v>
      </c>
      <c r="QF13" s="5" t="s">
        <v>12</v>
      </c>
      <c r="QG13" s="5" t="s">
        <v>18</v>
      </c>
      <c r="QH13" s="5" t="s">
        <v>18</v>
      </c>
      <c r="QI13" s="5" t="s">
        <v>12</v>
      </c>
      <c r="QJ13" s="5" t="s">
        <v>12</v>
      </c>
      <c r="QK13" s="5" t="s">
        <v>32</v>
      </c>
      <c r="QL13" s="5" t="s">
        <v>12</v>
      </c>
      <c r="QM13" s="5" t="s">
        <v>32</v>
      </c>
      <c r="QN13" s="5" t="s">
        <v>18</v>
      </c>
      <c r="QO13" s="5" t="s">
        <v>18</v>
      </c>
      <c r="QP13" s="5" t="s">
        <v>46</v>
      </c>
      <c r="QQ13" s="5" t="s">
        <v>18</v>
      </c>
      <c r="QR13" s="5" t="s">
        <v>18</v>
      </c>
      <c r="QS13" s="5" t="s">
        <v>32</v>
      </c>
      <c r="QT13" s="5" t="s">
        <v>32</v>
      </c>
      <c r="QU13" s="5" t="s">
        <v>18</v>
      </c>
      <c r="QV13" s="5" t="s">
        <v>12</v>
      </c>
      <c r="QW13" s="5" t="s">
        <v>46</v>
      </c>
      <c r="QX13" s="5" t="s">
        <v>12</v>
      </c>
      <c r="QY13" s="5" t="s">
        <v>12</v>
      </c>
      <c r="QZ13" s="5" t="s">
        <v>18</v>
      </c>
      <c r="RA13" s="5" t="s">
        <v>12</v>
      </c>
      <c r="RB13" s="5" t="s">
        <v>18</v>
      </c>
      <c r="RC13" s="5" t="s">
        <v>18</v>
      </c>
      <c r="RD13" s="5" t="s">
        <v>18</v>
      </c>
      <c r="RE13" s="5" t="s">
        <v>12</v>
      </c>
      <c r="RF13" s="5" t="s">
        <v>18</v>
      </c>
      <c r="RG13" s="5" t="s">
        <v>18</v>
      </c>
      <c r="RH13" s="5" t="s">
        <v>18</v>
      </c>
      <c r="RI13" s="5" t="s">
        <v>32</v>
      </c>
      <c r="RJ13" s="5" t="s">
        <v>12</v>
      </c>
      <c r="RK13" s="5" t="s">
        <v>12</v>
      </c>
      <c r="RL13" s="5" t="s">
        <v>18</v>
      </c>
      <c r="RM13" s="5" t="s">
        <v>18</v>
      </c>
      <c r="RN13" s="5" t="s">
        <v>18</v>
      </c>
      <c r="RO13" s="5" t="s">
        <v>12</v>
      </c>
      <c r="RP13" s="5" t="s">
        <v>12</v>
      </c>
      <c r="RQ13" s="5" t="s">
        <v>12</v>
      </c>
      <c r="RR13" s="5" t="s">
        <v>18</v>
      </c>
      <c r="RS13" s="5" t="s">
        <v>32</v>
      </c>
      <c r="RT13" s="5" t="s">
        <v>18</v>
      </c>
      <c r="RU13" s="5" t="s">
        <v>18</v>
      </c>
      <c r="RV13" s="5" t="s">
        <v>32</v>
      </c>
      <c r="RW13" s="5" t="s">
        <v>18</v>
      </c>
      <c r="RX13" s="5" t="s">
        <v>12</v>
      </c>
      <c r="RY13" s="5" t="s">
        <v>18</v>
      </c>
      <c r="RZ13" s="5" t="s">
        <v>12</v>
      </c>
      <c r="SA13" s="5" t="s">
        <v>32</v>
      </c>
      <c r="SB13" s="5" t="s">
        <v>32</v>
      </c>
      <c r="SC13" s="5" t="s">
        <v>18</v>
      </c>
      <c r="SD13" s="5" t="s">
        <v>18</v>
      </c>
      <c r="SE13" s="5" t="s">
        <v>32</v>
      </c>
      <c r="SF13" s="5" t="s">
        <v>18</v>
      </c>
      <c r="SG13" s="5" t="s">
        <v>32</v>
      </c>
      <c r="SH13" s="5" t="s">
        <v>32</v>
      </c>
      <c r="SI13" s="5" t="s">
        <v>12</v>
      </c>
      <c r="SJ13" s="5" t="s">
        <v>18</v>
      </c>
      <c r="SK13" s="5" t="s">
        <v>32</v>
      </c>
      <c r="SL13" s="5" t="s">
        <v>12</v>
      </c>
      <c r="SM13" s="5" t="s">
        <v>12</v>
      </c>
      <c r="SN13" s="5" t="s">
        <v>32</v>
      </c>
      <c r="SO13" s="5" t="s">
        <v>18</v>
      </c>
      <c r="SP13" s="5" t="s">
        <v>12</v>
      </c>
      <c r="SQ13" s="5" t="s">
        <v>32</v>
      </c>
      <c r="SR13" s="5" t="s">
        <v>46</v>
      </c>
      <c r="SS13" s="5" t="s">
        <v>18</v>
      </c>
      <c r="ST13" s="5" t="s">
        <v>18</v>
      </c>
      <c r="SU13" s="5" t="s">
        <v>32</v>
      </c>
      <c r="SV13" s="5" t="s">
        <v>12</v>
      </c>
      <c r="SW13" s="5" t="s">
        <v>18</v>
      </c>
      <c r="SX13" s="5" t="s">
        <v>12</v>
      </c>
      <c r="SY13" s="5" t="s">
        <v>12</v>
      </c>
      <c r="SZ13" s="5" t="s">
        <v>18</v>
      </c>
      <c r="TA13" s="5" t="s">
        <v>18</v>
      </c>
      <c r="TB13" s="5" t="s">
        <v>32</v>
      </c>
      <c r="TC13" s="5" t="s">
        <v>18</v>
      </c>
      <c r="TD13" s="5" t="s">
        <v>18</v>
      </c>
      <c r="TE13" s="5" t="s">
        <v>32</v>
      </c>
      <c r="TF13" s="5" t="s">
        <v>18</v>
      </c>
      <c r="TG13" s="5" t="s">
        <v>46</v>
      </c>
      <c r="TH13" s="5" t="s">
        <v>18</v>
      </c>
      <c r="TI13" s="5" t="s">
        <v>32</v>
      </c>
      <c r="TJ13" s="5" t="s">
        <v>12</v>
      </c>
      <c r="TK13" s="5" t="s">
        <v>32</v>
      </c>
      <c r="TL13" s="5" t="s">
        <v>18</v>
      </c>
      <c r="TM13" s="5" t="s">
        <v>32</v>
      </c>
      <c r="TN13" s="5" t="s">
        <v>18</v>
      </c>
      <c r="TO13" s="5" t="s">
        <v>12</v>
      </c>
      <c r="TP13" s="5" t="s">
        <v>18</v>
      </c>
      <c r="TQ13" s="5" t="s">
        <v>32</v>
      </c>
      <c r="TR13" s="5" t="s">
        <v>46</v>
      </c>
      <c r="TS13" s="5" t="s">
        <v>32</v>
      </c>
      <c r="TT13" s="5" t="s">
        <v>12</v>
      </c>
      <c r="TU13" s="5" t="s">
        <v>32</v>
      </c>
      <c r="TV13" s="5" t="s">
        <v>32</v>
      </c>
      <c r="TW13" s="5" t="s">
        <v>12</v>
      </c>
      <c r="TX13" s="5" t="s">
        <v>12</v>
      </c>
      <c r="TY13" s="5" t="s">
        <v>32</v>
      </c>
      <c r="TZ13" s="5" t="s">
        <v>18</v>
      </c>
      <c r="UA13" s="5" t="s">
        <v>18</v>
      </c>
      <c r="UB13" s="5" t="s">
        <v>18</v>
      </c>
      <c r="UC13" s="5" t="s">
        <v>46</v>
      </c>
      <c r="UD13" s="5" t="s">
        <v>18</v>
      </c>
      <c r="UE13" s="5" t="s">
        <v>12</v>
      </c>
      <c r="UF13" s="5" t="s">
        <v>46</v>
      </c>
      <c r="UG13" s="5" t="s">
        <v>18</v>
      </c>
      <c r="UH13" s="5" t="s">
        <v>12</v>
      </c>
      <c r="UI13" s="5" t="s">
        <v>46</v>
      </c>
      <c r="UJ13" s="5" t="s">
        <v>12</v>
      </c>
      <c r="UK13" s="5" t="s">
        <v>12</v>
      </c>
      <c r="UL13" s="5" t="s">
        <v>18</v>
      </c>
      <c r="UM13" s="5" t="s">
        <v>12</v>
      </c>
      <c r="UN13" s="5" t="s">
        <v>32</v>
      </c>
      <c r="UO13" s="5" t="s">
        <v>46</v>
      </c>
      <c r="UP13" s="5" t="s">
        <v>12</v>
      </c>
      <c r="UQ13" s="5" t="s">
        <v>18</v>
      </c>
      <c r="UR13" s="5" t="s">
        <v>32</v>
      </c>
      <c r="US13" s="5" t="s">
        <v>12</v>
      </c>
      <c r="UT13" s="5" t="s">
        <v>12</v>
      </c>
      <c r="UU13" s="5" t="s">
        <v>12</v>
      </c>
      <c r="UV13" s="5" t="s">
        <v>18</v>
      </c>
      <c r="UW13" s="5" t="s">
        <v>32</v>
      </c>
      <c r="UX13" s="5" t="s">
        <v>46</v>
      </c>
      <c r="UY13" s="5" t="s">
        <v>12</v>
      </c>
      <c r="UZ13" s="5" t="s">
        <v>32</v>
      </c>
      <c r="VA13" s="5" t="s">
        <v>18</v>
      </c>
      <c r="VB13" s="5" t="s">
        <v>12</v>
      </c>
      <c r="VC13" s="5" t="s">
        <v>32</v>
      </c>
      <c r="VD13" s="5" t="s">
        <v>18</v>
      </c>
      <c r="VE13" s="5" t="s">
        <v>32</v>
      </c>
      <c r="VF13" s="5" t="s">
        <v>12</v>
      </c>
      <c r="VG13" s="5" t="s">
        <v>18</v>
      </c>
      <c r="VH13" s="5" t="s">
        <v>18</v>
      </c>
      <c r="VI13" s="5" t="s">
        <v>32</v>
      </c>
      <c r="VJ13" s="5" t="s">
        <v>18</v>
      </c>
      <c r="VK13" s="5" t="s">
        <v>12</v>
      </c>
      <c r="VL13" s="5" t="s">
        <v>18</v>
      </c>
      <c r="VM13" s="5" t="s">
        <v>32</v>
      </c>
      <c r="VN13" s="5" t="s">
        <v>32</v>
      </c>
      <c r="VO13" s="5" t="s">
        <v>32</v>
      </c>
      <c r="VP13" s="5" t="s">
        <v>32</v>
      </c>
      <c r="VQ13" s="5" t="s">
        <v>18</v>
      </c>
      <c r="VR13" s="5" t="s">
        <v>32</v>
      </c>
      <c r="VS13" s="5" t="s">
        <v>18</v>
      </c>
      <c r="VT13" s="5" t="s">
        <v>12</v>
      </c>
      <c r="VU13" s="5" t="s">
        <v>18</v>
      </c>
      <c r="VV13" s="5" t="s">
        <v>18</v>
      </c>
      <c r="VW13" s="5" t="s">
        <v>32</v>
      </c>
      <c r="VX13" s="5" t="s">
        <v>46</v>
      </c>
      <c r="VY13" s="5" t="s">
        <v>32</v>
      </c>
      <c r="VZ13" s="5" t="s">
        <v>46</v>
      </c>
      <c r="WA13" s="5" t="s">
        <v>18</v>
      </c>
      <c r="WB13" s="5" t="s">
        <v>32</v>
      </c>
      <c r="WC13" s="5" t="s">
        <v>32</v>
      </c>
      <c r="WD13" s="5" t="s">
        <v>18</v>
      </c>
      <c r="WE13" s="5" t="s">
        <v>18</v>
      </c>
      <c r="WF13" s="5" t="s">
        <v>18</v>
      </c>
      <c r="WG13" s="5" t="s">
        <v>46</v>
      </c>
      <c r="WH13" s="5" t="s">
        <v>18</v>
      </c>
      <c r="WI13" s="5" t="s">
        <v>18</v>
      </c>
      <c r="WJ13" s="5" t="s">
        <v>18</v>
      </c>
      <c r="WK13" s="5" t="s">
        <v>32</v>
      </c>
      <c r="WL13" s="5" t="s">
        <v>12</v>
      </c>
      <c r="WM13" s="5" t="s">
        <v>12</v>
      </c>
      <c r="WN13" s="5" t="s">
        <v>32</v>
      </c>
      <c r="WO13" s="5" t="s">
        <v>18</v>
      </c>
      <c r="WP13" s="5" t="s">
        <v>18</v>
      </c>
      <c r="WQ13" s="5" t="s">
        <v>12</v>
      </c>
      <c r="WR13" s="5" t="s">
        <v>32</v>
      </c>
      <c r="WS13" s="5" t="s">
        <v>12</v>
      </c>
      <c r="WT13" s="5" t="s">
        <v>18</v>
      </c>
      <c r="WU13" s="5" t="s">
        <v>32</v>
      </c>
      <c r="WV13" s="5" t="s">
        <v>32</v>
      </c>
      <c r="WW13" s="5" t="s">
        <v>32</v>
      </c>
      <c r="WX13" s="5" t="s">
        <v>12</v>
      </c>
      <c r="WY13" s="5" t="s">
        <v>32</v>
      </c>
      <c r="WZ13" s="5" t="s">
        <v>12</v>
      </c>
      <c r="XA13" s="5" t="s">
        <v>18</v>
      </c>
      <c r="XB13" s="5" t="s">
        <v>18</v>
      </c>
      <c r="XC13" s="5" t="s">
        <v>18</v>
      </c>
      <c r="XD13" s="5" t="s">
        <v>18</v>
      </c>
      <c r="XE13" s="5" t="s">
        <v>12</v>
      </c>
      <c r="XF13" s="5" t="s">
        <v>18</v>
      </c>
      <c r="XG13" s="5" t="s">
        <v>18</v>
      </c>
      <c r="XH13" s="5" t="s">
        <v>32</v>
      </c>
      <c r="XI13" s="5" t="s">
        <v>18</v>
      </c>
      <c r="XJ13" s="5" t="s">
        <v>32</v>
      </c>
      <c r="XK13" s="5" t="s">
        <v>12</v>
      </c>
      <c r="XL13" s="5" t="s">
        <v>18</v>
      </c>
      <c r="XM13" s="5" t="s">
        <v>12</v>
      </c>
      <c r="XN13" s="5" t="s">
        <v>46</v>
      </c>
      <c r="XO13" s="5" t="s">
        <v>32</v>
      </c>
      <c r="XP13" s="5" t="s">
        <v>12</v>
      </c>
      <c r="XQ13" s="5" t="s">
        <v>32</v>
      </c>
      <c r="XR13" s="5" t="s">
        <v>32</v>
      </c>
      <c r="XS13" s="5" t="s">
        <v>18</v>
      </c>
      <c r="XT13" s="5" t="s">
        <v>12</v>
      </c>
      <c r="XU13" s="5" t="s">
        <v>18</v>
      </c>
      <c r="XV13" s="5" t="s">
        <v>18</v>
      </c>
      <c r="XW13" s="5" t="s">
        <v>32</v>
      </c>
      <c r="XX13" s="5" t="s">
        <v>32</v>
      </c>
      <c r="XY13" s="5" t="s">
        <v>12</v>
      </c>
      <c r="XZ13" s="5" t="s">
        <v>32</v>
      </c>
      <c r="YA13" s="5" t="s">
        <v>46</v>
      </c>
      <c r="YB13" s="5" t="s">
        <v>32</v>
      </c>
      <c r="YC13" s="5" t="s">
        <v>18</v>
      </c>
      <c r="YD13" s="5" t="s">
        <v>18</v>
      </c>
      <c r="YE13" s="5" t="s">
        <v>18</v>
      </c>
      <c r="YF13" s="5" t="s">
        <v>12</v>
      </c>
      <c r="YG13" s="5" t="s">
        <v>12</v>
      </c>
      <c r="YH13" s="5" t="s">
        <v>18</v>
      </c>
      <c r="YI13" s="5" t="s">
        <v>18</v>
      </c>
      <c r="YJ13" s="5" t="s">
        <v>46</v>
      </c>
      <c r="YK13" s="5" t="s">
        <v>12</v>
      </c>
      <c r="YL13" s="5" t="s">
        <v>12</v>
      </c>
      <c r="YM13" s="5" t="s">
        <v>32</v>
      </c>
      <c r="YN13" s="5" t="s">
        <v>18</v>
      </c>
      <c r="YO13" s="5" t="s">
        <v>18</v>
      </c>
      <c r="YP13" s="5" t="s">
        <v>12</v>
      </c>
      <c r="YQ13" s="5" t="s">
        <v>32</v>
      </c>
      <c r="YR13" s="5" t="s">
        <v>46</v>
      </c>
      <c r="YS13" s="5" t="s">
        <v>12</v>
      </c>
      <c r="YT13" s="5" t="s">
        <v>46</v>
      </c>
      <c r="YU13" s="5" t="s">
        <v>18</v>
      </c>
      <c r="YV13" s="5" t="s">
        <v>18</v>
      </c>
      <c r="YW13" s="5" t="s">
        <v>18</v>
      </c>
      <c r="YX13" s="5" t="s">
        <v>18</v>
      </c>
      <c r="YY13" s="5" t="s">
        <v>12</v>
      </c>
      <c r="YZ13" s="5" t="s">
        <v>32</v>
      </c>
      <c r="ZA13" s="5" t="s">
        <v>18</v>
      </c>
      <c r="ZB13" s="5" t="s">
        <v>18</v>
      </c>
      <c r="ZC13" s="5" t="s">
        <v>18</v>
      </c>
      <c r="ZD13" s="5" t="s">
        <v>18</v>
      </c>
      <c r="ZE13" s="5" t="s">
        <v>46</v>
      </c>
      <c r="ZF13" s="5" t="s">
        <v>18</v>
      </c>
      <c r="ZG13" s="5" t="s">
        <v>32</v>
      </c>
      <c r="ZH13" s="5" t="s">
        <v>46</v>
      </c>
      <c r="ZI13" s="5" t="s">
        <v>32</v>
      </c>
      <c r="ZJ13" s="5" t="s">
        <v>18</v>
      </c>
      <c r="ZK13" s="5" t="s">
        <v>32</v>
      </c>
      <c r="ZL13" s="5" t="s">
        <v>18</v>
      </c>
      <c r="ZM13" s="5" t="s">
        <v>32</v>
      </c>
      <c r="ZN13" s="5" t="s">
        <v>46</v>
      </c>
      <c r="ZO13" s="5" t="s">
        <v>18</v>
      </c>
      <c r="ZP13" s="5" t="s">
        <v>12</v>
      </c>
      <c r="ZQ13" s="5" t="s">
        <v>32</v>
      </c>
      <c r="ZR13" s="5" t="s">
        <v>18</v>
      </c>
      <c r="ZS13" s="5" t="s">
        <v>32</v>
      </c>
      <c r="ZT13" s="5" t="s">
        <v>12</v>
      </c>
      <c r="ZU13" s="5" t="s">
        <v>32</v>
      </c>
      <c r="ZV13" s="5" t="s">
        <v>32</v>
      </c>
      <c r="ZW13" s="5" t="s">
        <v>18</v>
      </c>
      <c r="ZX13" s="5" t="s">
        <v>18</v>
      </c>
      <c r="ZY13" s="5" t="s">
        <v>32</v>
      </c>
      <c r="ZZ13" s="5" t="s">
        <v>32</v>
      </c>
      <c r="AAA13" s="5" t="s">
        <v>18</v>
      </c>
      <c r="AAB13" s="5" t="s">
        <v>18</v>
      </c>
      <c r="AAC13" s="5" t="s">
        <v>32</v>
      </c>
      <c r="AAD13" s="5" t="s">
        <v>18</v>
      </c>
      <c r="AAE13" s="5" t="s">
        <v>46</v>
      </c>
      <c r="AAF13" s="5" t="s">
        <v>32</v>
      </c>
      <c r="AAG13" s="5" t="s">
        <v>18</v>
      </c>
      <c r="AAH13" s="5" t="s">
        <v>18</v>
      </c>
      <c r="AAI13" s="5" t="s">
        <v>18</v>
      </c>
      <c r="AAJ13" s="5" t="s">
        <v>32</v>
      </c>
      <c r="AAK13" s="5" t="s">
        <v>32</v>
      </c>
      <c r="AAL13" s="5" t="s">
        <v>201</v>
      </c>
      <c r="AAM13" s="5" t="s">
        <v>12</v>
      </c>
      <c r="AAN13" s="5" t="s">
        <v>12</v>
      </c>
      <c r="AAO13" s="5" t="s">
        <v>18</v>
      </c>
      <c r="AAP13" s="5" t="s">
        <v>18</v>
      </c>
      <c r="AAQ13" s="5" t="s">
        <v>12</v>
      </c>
      <c r="AAR13" s="5" t="s">
        <v>18</v>
      </c>
      <c r="AAS13" s="5" t="s">
        <v>18</v>
      </c>
      <c r="AAT13" s="5" t="s">
        <v>18</v>
      </c>
      <c r="AAU13" s="5" t="s">
        <v>32</v>
      </c>
      <c r="AAV13" s="5" t="s">
        <v>46</v>
      </c>
      <c r="AAW13" s="5" t="s">
        <v>18</v>
      </c>
      <c r="AAX13" s="5" t="s">
        <v>12</v>
      </c>
      <c r="AAY13" s="5" t="s">
        <v>12</v>
      </c>
      <c r="AAZ13" s="5" t="s">
        <v>12</v>
      </c>
      <c r="ABA13" s="5" t="s">
        <v>32</v>
      </c>
      <c r="ABB13" s="5" t="s">
        <v>18</v>
      </c>
      <c r="ABC13" s="5" t="s">
        <v>32</v>
      </c>
      <c r="ABD13" s="5" t="s">
        <v>18</v>
      </c>
      <c r="ABE13" s="5" t="s">
        <v>32</v>
      </c>
      <c r="ABF13" s="5" t="s">
        <v>18</v>
      </c>
      <c r="ABG13" s="5" t="s">
        <v>46</v>
      </c>
      <c r="ABH13" s="5" t="s">
        <v>32</v>
      </c>
      <c r="ABI13" s="5" t="s">
        <v>32</v>
      </c>
      <c r="ABJ13" s="5" t="s">
        <v>18</v>
      </c>
      <c r="ABK13" s="5" t="s">
        <v>18</v>
      </c>
      <c r="ABL13" s="5" t="s">
        <v>32</v>
      </c>
      <c r="ABM13" s="5" t="s">
        <v>18</v>
      </c>
      <c r="ABN13" s="5" t="s">
        <v>12</v>
      </c>
      <c r="ABO13" s="5" t="s">
        <v>46</v>
      </c>
      <c r="ABP13" s="5" t="s">
        <v>18</v>
      </c>
      <c r="ABQ13" s="5" t="s">
        <v>18</v>
      </c>
      <c r="ABR13" s="5" t="s">
        <v>32</v>
      </c>
      <c r="ABS13" s="5" t="s">
        <v>12</v>
      </c>
      <c r="ABT13" s="5" t="s">
        <v>18</v>
      </c>
      <c r="ABU13" s="5" t="s">
        <v>32</v>
      </c>
      <c r="ABV13" s="5" t="s">
        <v>12</v>
      </c>
      <c r="ABW13" s="5" t="s">
        <v>12</v>
      </c>
      <c r="ABX13" s="5" t="s">
        <v>18</v>
      </c>
      <c r="ABY13" s="5" t="s">
        <v>12</v>
      </c>
      <c r="ABZ13" s="5" t="s">
        <v>18</v>
      </c>
      <c r="ACA13" s="5" t="s">
        <v>18</v>
      </c>
      <c r="ACB13" s="5" t="s">
        <v>32</v>
      </c>
      <c r="ACC13" s="5" t="s">
        <v>46</v>
      </c>
      <c r="ACD13" s="5" t="s">
        <v>18</v>
      </c>
      <c r="ACE13" s="5" t="s">
        <v>12</v>
      </c>
      <c r="ACF13" s="5" t="s">
        <v>18</v>
      </c>
      <c r="ACG13" s="5" t="s">
        <v>12</v>
      </c>
      <c r="ACH13" s="5" t="s">
        <v>12</v>
      </c>
      <c r="ACI13" s="5" t="s">
        <v>18</v>
      </c>
      <c r="ACJ13" s="5" t="s">
        <v>32</v>
      </c>
      <c r="ACK13" s="5" t="s">
        <v>32</v>
      </c>
      <c r="ACL13" s="5" t="s">
        <v>18</v>
      </c>
      <c r="ACM13" s="5" t="s">
        <v>32</v>
      </c>
      <c r="ACN13" s="5" t="s">
        <v>12</v>
      </c>
      <c r="ACO13" s="5" t="s">
        <v>12</v>
      </c>
      <c r="ACP13" s="5" t="s">
        <v>18</v>
      </c>
      <c r="ACQ13" s="5" t="s">
        <v>12</v>
      </c>
      <c r="ACR13" s="5" t="s">
        <v>12</v>
      </c>
      <c r="ACS13" s="5" t="s">
        <v>46</v>
      </c>
      <c r="ACT13" s="5" t="s">
        <v>12</v>
      </c>
      <c r="ACU13" s="5" t="s">
        <v>12</v>
      </c>
      <c r="ACV13" s="5" t="s">
        <v>32</v>
      </c>
      <c r="ACW13" s="5" t="s">
        <v>18</v>
      </c>
      <c r="ACX13" s="5" t="s">
        <v>32</v>
      </c>
      <c r="ACY13" s="5" t="s">
        <v>12</v>
      </c>
      <c r="ACZ13" s="5" t="s">
        <v>18</v>
      </c>
      <c r="ADA13" s="5" t="s">
        <v>32</v>
      </c>
      <c r="ADB13" s="5" t="s">
        <v>18</v>
      </c>
      <c r="ADC13" s="5" t="s">
        <v>12</v>
      </c>
      <c r="ADD13" s="5" t="s">
        <v>12</v>
      </c>
      <c r="ADE13" s="5" t="s">
        <v>18</v>
      </c>
      <c r="ADF13" s="5" t="s">
        <v>32</v>
      </c>
      <c r="ADG13" s="5" t="s">
        <v>32</v>
      </c>
      <c r="ADH13" s="5" t="s">
        <v>18</v>
      </c>
      <c r="ADI13" s="5" t="s">
        <v>32</v>
      </c>
      <c r="ADJ13" s="5" t="s">
        <v>12</v>
      </c>
      <c r="ADK13" s="5" t="s">
        <v>32</v>
      </c>
      <c r="ADL13" s="5" t="s">
        <v>12</v>
      </c>
      <c r="ADM13" s="5" t="s">
        <v>12</v>
      </c>
      <c r="ADN13" s="5" t="s">
        <v>32</v>
      </c>
      <c r="ADO13" s="5" t="s">
        <v>46</v>
      </c>
      <c r="ADP13" s="5" t="s">
        <v>18</v>
      </c>
      <c r="ADQ13" s="5" t="s">
        <v>18</v>
      </c>
      <c r="ADR13" s="5" t="s">
        <v>46</v>
      </c>
      <c r="ADS13" s="5" t="s">
        <v>32</v>
      </c>
      <c r="ADT13" s="5" t="s">
        <v>18</v>
      </c>
      <c r="ADU13" s="5" t="s">
        <v>18</v>
      </c>
      <c r="ADV13" s="5" t="s">
        <v>12</v>
      </c>
      <c r="ADW13" s="5" t="s">
        <v>32</v>
      </c>
      <c r="ADX13" s="5" t="s">
        <v>32</v>
      </c>
      <c r="ADY13" s="5" t="s">
        <v>12</v>
      </c>
      <c r="ADZ13" s="5" t="s">
        <v>32</v>
      </c>
      <c r="AEA13" s="5" t="s">
        <v>18</v>
      </c>
      <c r="AEB13" s="5" t="s">
        <v>12</v>
      </c>
      <c r="AEC13" s="5" t="s">
        <v>18</v>
      </c>
      <c r="AED13" s="5" t="s">
        <v>18</v>
      </c>
      <c r="AEE13" s="5" t="s">
        <v>12</v>
      </c>
      <c r="AEF13" s="5" t="s">
        <v>46</v>
      </c>
      <c r="AEG13" s="5" t="s">
        <v>18</v>
      </c>
      <c r="AEH13" s="5" t="s">
        <v>12</v>
      </c>
      <c r="AEI13" s="5" t="s">
        <v>12</v>
      </c>
      <c r="AEJ13" s="5" t="s">
        <v>18</v>
      </c>
      <c r="AEK13" s="5" t="s">
        <v>18</v>
      </c>
      <c r="AEL13" s="5" t="s">
        <v>12</v>
      </c>
      <c r="AEM13" s="5" t="s">
        <v>18</v>
      </c>
      <c r="AEN13" s="5" t="s">
        <v>12</v>
      </c>
      <c r="AEO13" s="5" t="s">
        <v>18</v>
      </c>
      <c r="AEP13" s="5" t="s">
        <v>12</v>
      </c>
      <c r="AEQ13" s="5" t="s">
        <v>32</v>
      </c>
      <c r="AER13" s="5" t="s">
        <v>12</v>
      </c>
      <c r="AES13" s="5" t="s">
        <v>12</v>
      </c>
      <c r="AET13" s="5" t="s">
        <v>18</v>
      </c>
      <c r="AEU13" s="5" t="s">
        <v>32</v>
      </c>
      <c r="AEV13" s="5" t="s">
        <v>12</v>
      </c>
      <c r="AEW13" s="5" t="s">
        <v>12</v>
      </c>
      <c r="AEX13" s="5" t="s">
        <v>18</v>
      </c>
      <c r="AEY13" s="5" t="s">
        <v>32</v>
      </c>
      <c r="AEZ13" s="5" t="s">
        <v>18</v>
      </c>
      <c r="AFA13" s="5" t="s">
        <v>32</v>
      </c>
      <c r="AFB13" s="5" t="s">
        <v>12</v>
      </c>
      <c r="AFC13" s="5" t="s">
        <v>18</v>
      </c>
      <c r="AFD13" s="5" t="s">
        <v>12</v>
      </c>
      <c r="AFE13" s="5" t="s">
        <v>18</v>
      </c>
      <c r="AFF13" s="5" t="s">
        <v>12</v>
      </c>
      <c r="AFG13" s="5" t="s">
        <v>46</v>
      </c>
      <c r="AFH13" s="5" t="s">
        <v>18</v>
      </c>
      <c r="AFI13" s="5" t="s">
        <v>18</v>
      </c>
      <c r="AFJ13" s="5" t="s">
        <v>12</v>
      </c>
      <c r="AFK13" s="5" t="s">
        <v>32</v>
      </c>
      <c r="AFL13" s="5" t="s">
        <v>46</v>
      </c>
      <c r="AFM13" s="5" t="s">
        <v>18</v>
      </c>
      <c r="AFN13" s="5" t="s">
        <v>32</v>
      </c>
      <c r="AFO13" s="5" t="s">
        <v>18</v>
      </c>
      <c r="AFP13" s="5" t="s">
        <v>18</v>
      </c>
      <c r="AFQ13" s="5" t="s">
        <v>18</v>
      </c>
      <c r="AFR13" s="5" t="s">
        <v>18</v>
      </c>
      <c r="AFS13" s="5" t="s">
        <v>12</v>
      </c>
      <c r="AFT13" s="5" t="s">
        <v>18</v>
      </c>
      <c r="AFU13" s="5" t="s">
        <v>32</v>
      </c>
      <c r="AFV13" s="5" t="s">
        <v>18</v>
      </c>
      <c r="AFW13" s="5" t="s">
        <v>32</v>
      </c>
      <c r="AFX13" s="5" t="s">
        <v>18</v>
      </c>
      <c r="AFY13" s="5" t="s">
        <v>18</v>
      </c>
      <c r="AFZ13" s="5" t="s">
        <v>32</v>
      </c>
      <c r="AGA13" s="5" t="s">
        <v>32</v>
      </c>
      <c r="AGB13" s="5" t="s">
        <v>32</v>
      </c>
      <c r="AGC13" s="5" t="s">
        <v>12</v>
      </c>
      <c r="AGD13" s="5" t="s">
        <v>12</v>
      </c>
      <c r="AGE13" s="5" t="s">
        <v>18</v>
      </c>
      <c r="AGF13" s="5" t="s">
        <v>18</v>
      </c>
      <c r="AGG13" s="5" t="s">
        <v>12</v>
      </c>
      <c r="AGH13" s="5" t="s">
        <v>32</v>
      </c>
      <c r="AGI13" s="5" t="s">
        <v>18</v>
      </c>
      <c r="AGJ13" s="5" t="s">
        <v>32</v>
      </c>
      <c r="AGK13" s="5" t="s">
        <v>18</v>
      </c>
      <c r="AGL13" s="5" t="s">
        <v>32</v>
      </c>
      <c r="AGM13" s="5" t="s">
        <v>18</v>
      </c>
      <c r="AGN13" s="5" t="s">
        <v>32</v>
      </c>
      <c r="AGO13" s="5" t="s">
        <v>18</v>
      </c>
      <c r="AGP13" s="5" t="s">
        <v>18</v>
      </c>
      <c r="AGQ13" s="5" t="s">
        <v>32</v>
      </c>
      <c r="AGR13" s="5" t="s">
        <v>18</v>
      </c>
      <c r="AGS13" s="5" t="s">
        <v>18</v>
      </c>
      <c r="AGT13" s="5" t="s">
        <v>12</v>
      </c>
      <c r="AGU13" s="5" t="s">
        <v>12</v>
      </c>
      <c r="AGV13" s="5" t="s">
        <v>46</v>
      </c>
      <c r="AGW13" s="5" t="s">
        <v>18</v>
      </c>
      <c r="AGX13" s="5" t="s">
        <v>18</v>
      </c>
      <c r="AGY13" s="5" t="s">
        <v>12</v>
      </c>
      <c r="AGZ13" s="5" t="s">
        <v>12</v>
      </c>
      <c r="AHA13" s="5" t="s">
        <v>18</v>
      </c>
      <c r="AHB13" s="5" t="s">
        <v>12</v>
      </c>
      <c r="AHC13" s="5" t="s">
        <v>32</v>
      </c>
      <c r="AHD13" s="5" t="s">
        <v>32</v>
      </c>
      <c r="AHE13" s="5" t="s">
        <v>18</v>
      </c>
      <c r="AHF13" s="5" t="s">
        <v>32</v>
      </c>
      <c r="AHG13" s="5" t="s">
        <v>18</v>
      </c>
      <c r="AHH13" s="5" t="s">
        <v>12</v>
      </c>
      <c r="AHI13" s="5" t="s">
        <v>18</v>
      </c>
      <c r="AHJ13" s="5" t="s">
        <v>32</v>
      </c>
      <c r="AHK13" s="5" t="s">
        <v>12</v>
      </c>
      <c r="AHL13" s="5" t="s">
        <v>32</v>
      </c>
      <c r="AHM13" s="5" t="s">
        <v>18</v>
      </c>
      <c r="AHN13" s="5" t="s">
        <v>32</v>
      </c>
      <c r="AHO13" s="5" t="s">
        <v>18</v>
      </c>
      <c r="AHP13" s="5" t="s">
        <v>12</v>
      </c>
      <c r="AHQ13" s="5" t="s">
        <v>12</v>
      </c>
      <c r="AHR13" s="5" t="s">
        <v>12</v>
      </c>
      <c r="AHS13" s="5" t="s">
        <v>18</v>
      </c>
      <c r="AHT13" s="5" t="s">
        <v>18</v>
      </c>
      <c r="AHU13" s="5" t="s">
        <v>18</v>
      </c>
      <c r="AHV13" s="5" t="s">
        <v>18</v>
      </c>
      <c r="AHW13" s="5" t="s">
        <v>18</v>
      </c>
      <c r="AHX13" s="5" t="s">
        <v>46</v>
      </c>
      <c r="AHY13" s="5" t="s">
        <v>12</v>
      </c>
      <c r="AHZ13" s="5" t="s">
        <v>18</v>
      </c>
      <c r="AIA13" s="5" t="s">
        <v>12</v>
      </c>
      <c r="AIB13" s="5" t="s">
        <v>32</v>
      </c>
      <c r="AIC13" s="5" t="s">
        <v>46</v>
      </c>
      <c r="AID13" s="5" t="s">
        <v>18</v>
      </c>
      <c r="AIE13" s="5" t="s">
        <v>32</v>
      </c>
      <c r="AIF13" s="5" t="s">
        <v>18</v>
      </c>
      <c r="AIG13" s="5" t="s">
        <v>12</v>
      </c>
      <c r="AIH13" s="5" t="s">
        <v>12</v>
      </c>
      <c r="AII13" s="5" t="s">
        <v>18</v>
      </c>
      <c r="AIJ13" s="5" t="s">
        <v>18</v>
      </c>
      <c r="AIK13" s="5" t="s">
        <v>18</v>
      </c>
      <c r="AIL13" s="5" t="s">
        <v>32</v>
      </c>
      <c r="AIM13" s="5" t="s">
        <v>18</v>
      </c>
      <c r="AIN13" s="5" t="s">
        <v>18</v>
      </c>
      <c r="AIO13" s="5" t="s">
        <v>12</v>
      </c>
      <c r="AIP13" s="5" t="s">
        <v>18</v>
      </c>
      <c r="AIQ13" s="5" t="s">
        <v>12</v>
      </c>
      <c r="AIR13" s="5" t="s">
        <v>32</v>
      </c>
      <c r="AIS13" s="5" t="s">
        <v>32</v>
      </c>
      <c r="AIT13" s="5" t="s">
        <v>46</v>
      </c>
      <c r="AIU13" s="5" t="s">
        <v>12</v>
      </c>
      <c r="AIV13" s="5" t="s">
        <v>32</v>
      </c>
      <c r="AIW13" s="5" t="s">
        <v>18</v>
      </c>
      <c r="AIX13" s="5" t="s">
        <v>18</v>
      </c>
      <c r="AIY13" s="5" t="s">
        <v>32</v>
      </c>
      <c r="AIZ13" s="5" t="s">
        <v>18</v>
      </c>
      <c r="AJA13" s="5" t="s">
        <v>32</v>
      </c>
      <c r="AJB13" s="5" t="s">
        <v>18</v>
      </c>
      <c r="AJC13" s="5" t="s">
        <v>18</v>
      </c>
      <c r="AJD13" s="5" t="s">
        <v>18</v>
      </c>
      <c r="AJE13" s="5" t="s">
        <v>18</v>
      </c>
      <c r="AJF13" s="5" t="s">
        <v>46</v>
      </c>
      <c r="AJG13" s="5" t="s">
        <v>18</v>
      </c>
      <c r="AJH13" s="5" t="s">
        <v>18</v>
      </c>
      <c r="AJI13" s="5" t="s">
        <v>18</v>
      </c>
      <c r="AJJ13" s="5" t="s">
        <v>12</v>
      </c>
      <c r="AJK13" s="5" t="s">
        <v>18</v>
      </c>
      <c r="AJL13" s="5" t="s">
        <v>32</v>
      </c>
      <c r="AJM13" s="5" t="s">
        <v>18</v>
      </c>
      <c r="AJN13" s="5" t="s">
        <v>18</v>
      </c>
      <c r="AJO13" s="5" t="s">
        <v>32</v>
      </c>
      <c r="AJP13" s="5" t="s">
        <v>46</v>
      </c>
      <c r="AJQ13" s="5" t="s">
        <v>12</v>
      </c>
      <c r="AJR13" s="5" t="s">
        <v>12</v>
      </c>
      <c r="AJS13" s="5" t="s">
        <v>12</v>
      </c>
      <c r="AJT13" s="5" t="s">
        <v>18</v>
      </c>
      <c r="AJU13" s="5" t="s">
        <v>32</v>
      </c>
      <c r="AJV13" s="5" t="s">
        <v>32</v>
      </c>
      <c r="AJW13" s="5" t="s">
        <v>32</v>
      </c>
      <c r="AJX13" s="5" t="s">
        <v>12</v>
      </c>
      <c r="AJY13" s="5" t="s">
        <v>46</v>
      </c>
      <c r="AJZ13" s="5" t="s">
        <v>12</v>
      </c>
      <c r="AKA13" s="5" t="s">
        <v>18</v>
      </c>
      <c r="AKB13" s="5" t="s">
        <v>32</v>
      </c>
      <c r="AKC13" s="5" t="s">
        <v>12</v>
      </c>
      <c r="AKD13" s="5" t="s">
        <v>12</v>
      </c>
      <c r="AKE13" s="5" t="s">
        <v>18</v>
      </c>
      <c r="AKF13" s="5" t="s">
        <v>32</v>
      </c>
      <c r="AKG13" s="5" t="s">
        <v>18</v>
      </c>
      <c r="AKH13" s="5" t="s">
        <v>32</v>
      </c>
      <c r="AKI13" s="5" t="s">
        <v>18</v>
      </c>
      <c r="AKJ13" s="5" t="s">
        <v>18</v>
      </c>
      <c r="AKK13" s="5" t="s">
        <v>46</v>
      </c>
      <c r="AKL13" s="5" t="s">
        <v>32</v>
      </c>
      <c r="AKM13" s="5" t="s">
        <v>32</v>
      </c>
      <c r="AKN13" s="5" t="s">
        <v>18</v>
      </c>
      <c r="AKO13" s="5" t="s">
        <v>18</v>
      </c>
      <c r="AKP13" s="5" t="s">
        <v>32</v>
      </c>
      <c r="AKQ13" s="5" t="s">
        <v>12</v>
      </c>
      <c r="AKR13" s="5" t="s">
        <v>18</v>
      </c>
      <c r="AKS13" s="5" t="s">
        <v>12</v>
      </c>
      <c r="AKT13" s="5" t="s">
        <v>32</v>
      </c>
      <c r="AKU13" s="5" t="s">
        <v>46</v>
      </c>
      <c r="AKV13" s="5" t="s">
        <v>46</v>
      </c>
      <c r="AKW13" s="5" t="s">
        <v>18</v>
      </c>
      <c r="AKX13" s="5" t="s">
        <v>18</v>
      </c>
      <c r="AKY13" s="5" t="s">
        <v>18</v>
      </c>
      <c r="AKZ13" s="5" t="s">
        <v>12</v>
      </c>
      <c r="ALA13" s="5" t="s">
        <v>18</v>
      </c>
      <c r="ALB13" s="5" t="s">
        <v>12</v>
      </c>
      <c r="ALC13" s="5" t="s">
        <v>32</v>
      </c>
      <c r="ALD13" s="5" t="s">
        <v>32</v>
      </c>
      <c r="ALE13" s="5" t="s">
        <v>12</v>
      </c>
      <c r="ALF13" s="5" t="s">
        <v>12</v>
      </c>
      <c r="ALG13" s="5" t="s">
        <v>32</v>
      </c>
      <c r="ALH13" s="5" t="s">
        <v>32</v>
      </c>
      <c r="ALI13" s="5" t="s">
        <v>18</v>
      </c>
      <c r="ALJ13" s="5" t="s">
        <v>12</v>
      </c>
      <c r="ALK13" s="5" t="s">
        <v>18</v>
      </c>
      <c r="ALL13" s="5" t="s">
        <v>32</v>
      </c>
      <c r="ALM13" s="5" t="s">
        <v>32</v>
      </c>
      <c r="ALN13" s="5" t="s">
        <v>12</v>
      </c>
      <c r="ALO13" s="5" t="s">
        <v>32</v>
      </c>
      <c r="ALP13" s="5" t="s">
        <v>18</v>
      </c>
      <c r="ALQ13" s="5" t="s">
        <v>32</v>
      </c>
      <c r="ALR13" s="5" t="s">
        <v>12</v>
      </c>
      <c r="ALS13" s="5" t="s">
        <v>12</v>
      </c>
      <c r="ALT13" s="5" t="s">
        <v>18</v>
      </c>
      <c r="ALU13" s="5" t="s">
        <v>18</v>
      </c>
      <c r="ALV13" s="5" t="s">
        <v>18</v>
      </c>
      <c r="ALW13" s="5" t="s">
        <v>18</v>
      </c>
      <c r="ALX13" s="5" t="s">
        <v>32</v>
      </c>
    </row>
    <row r="14" spans="1:1012" x14ac:dyDescent="0.3">
      <c r="A14" s="6" t="s">
        <v>48</v>
      </c>
      <c r="B14" s="6" t="s">
        <v>11</v>
      </c>
      <c r="C14" s="7">
        <v>26</v>
      </c>
      <c r="D14" s="5" t="s">
        <v>18</v>
      </c>
      <c r="E14" s="6" t="s">
        <v>13</v>
      </c>
      <c r="F14" s="6" t="s">
        <v>36</v>
      </c>
      <c r="G14" s="5">
        <v>56</v>
      </c>
      <c r="H14" s="8">
        <v>43609</v>
      </c>
      <c r="I14" s="6" t="s">
        <v>49</v>
      </c>
      <c r="J14" s="6" t="s">
        <v>16</v>
      </c>
      <c r="L14" s="14" t="s">
        <v>4</v>
      </c>
      <c r="M14" s="6" t="s">
        <v>13</v>
      </c>
      <c r="N14" s="6" t="s">
        <v>19</v>
      </c>
      <c r="O14" s="6" t="s">
        <v>13</v>
      </c>
      <c r="P14" s="6" t="s">
        <v>13</v>
      </c>
      <c r="Q14" s="6" t="s">
        <v>13</v>
      </c>
      <c r="R14" s="6" t="s">
        <v>13</v>
      </c>
      <c r="S14" s="6" t="s">
        <v>13</v>
      </c>
      <c r="T14" s="6" t="s">
        <v>19</v>
      </c>
      <c r="U14" s="6" t="s">
        <v>19</v>
      </c>
      <c r="V14" s="6" t="s">
        <v>13</v>
      </c>
      <c r="W14" s="6" t="s">
        <v>19</v>
      </c>
      <c r="X14" s="6" t="s">
        <v>13</v>
      </c>
      <c r="Y14" s="6" t="s">
        <v>13</v>
      </c>
      <c r="Z14" s="6" t="s">
        <v>13</v>
      </c>
      <c r="AA14" s="6" t="s">
        <v>13</v>
      </c>
      <c r="AB14" s="6" t="s">
        <v>19</v>
      </c>
      <c r="AC14" s="6" t="s">
        <v>19</v>
      </c>
      <c r="AD14" s="6" t="s">
        <v>13</v>
      </c>
      <c r="AE14" s="6" t="s">
        <v>13</v>
      </c>
      <c r="AF14" s="6" t="s">
        <v>19</v>
      </c>
      <c r="AG14" s="6" t="s">
        <v>19</v>
      </c>
      <c r="AH14" s="6" t="s">
        <v>19</v>
      </c>
      <c r="AI14" s="6" t="s">
        <v>19</v>
      </c>
      <c r="AJ14" s="6" t="s">
        <v>19</v>
      </c>
      <c r="AK14" s="6" t="s">
        <v>19</v>
      </c>
      <c r="AL14" s="6" t="s">
        <v>19</v>
      </c>
      <c r="AM14" s="6" t="s">
        <v>19</v>
      </c>
      <c r="AN14" s="6" t="s">
        <v>19</v>
      </c>
      <c r="AO14" s="6" t="s">
        <v>13</v>
      </c>
      <c r="AP14" s="6" t="s">
        <v>13</v>
      </c>
      <c r="AQ14" s="6" t="s">
        <v>19</v>
      </c>
      <c r="AR14" s="6" t="s">
        <v>19</v>
      </c>
      <c r="AS14" s="6" t="s">
        <v>13</v>
      </c>
      <c r="AT14" s="6" t="s">
        <v>13</v>
      </c>
      <c r="AU14" s="6" t="s">
        <v>19</v>
      </c>
      <c r="AV14" s="6" t="s">
        <v>19</v>
      </c>
      <c r="AW14" s="6" t="s">
        <v>19</v>
      </c>
      <c r="AX14" s="6" t="s">
        <v>13</v>
      </c>
      <c r="AY14" s="6" t="s">
        <v>19</v>
      </c>
      <c r="AZ14" s="6" t="s">
        <v>19</v>
      </c>
      <c r="BA14" s="6" t="s">
        <v>13</v>
      </c>
      <c r="BB14" s="6" t="s">
        <v>13</v>
      </c>
      <c r="BC14" s="6" t="s">
        <v>13</v>
      </c>
      <c r="BD14" s="6" t="s">
        <v>13</v>
      </c>
      <c r="BE14" s="6" t="s">
        <v>13</v>
      </c>
      <c r="BF14" s="6" t="s">
        <v>19</v>
      </c>
      <c r="BG14" s="6" t="s">
        <v>13</v>
      </c>
      <c r="BH14" s="6" t="s">
        <v>19</v>
      </c>
      <c r="BI14" s="6" t="s">
        <v>13</v>
      </c>
      <c r="BJ14" s="6" t="s">
        <v>19</v>
      </c>
      <c r="BK14" s="6" t="s">
        <v>13</v>
      </c>
      <c r="BL14" s="6" t="s">
        <v>19</v>
      </c>
      <c r="BM14" s="6" t="s">
        <v>13</v>
      </c>
      <c r="BN14" s="6" t="s">
        <v>13</v>
      </c>
      <c r="BO14" s="6" t="s">
        <v>13</v>
      </c>
      <c r="BP14" s="6" t="s">
        <v>19</v>
      </c>
      <c r="BQ14" s="6" t="s">
        <v>13</v>
      </c>
      <c r="BR14" s="6" t="s">
        <v>13</v>
      </c>
      <c r="BS14" s="6" t="s">
        <v>19</v>
      </c>
      <c r="BT14" s="6" t="s">
        <v>13</v>
      </c>
      <c r="BU14" s="6" t="s">
        <v>105</v>
      </c>
      <c r="BV14" s="6" t="s">
        <v>19</v>
      </c>
      <c r="BW14" s="6" t="s">
        <v>19</v>
      </c>
      <c r="BX14" s="6" t="s">
        <v>13</v>
      </c>
      <c r="BY14" s="6" t="s">
        <v>19</v>
      </c>
      <c r="BZ14" s="6" t="s">
        <v>13</v>
      </c>
      <c r="CA14" s="6" t="s">
        <v>19</v>
      </c>
      <c r="CB14" s="6" t="s">
        <v>19</v>
      </c>
      <c r="CC14" s="6" t="s">
        <v>13</v>
      </c>
      <c r="CD14" s="6" t="s">
        <v>19</v>
      </c>
      <c r="CE14" s="6" t="s">
        <v>105</v>
      </c>
      <c r="CF14" s="6" t="s">
        <v>13</v>
      </c>
      <c r="CG14" s="6" t="s">
        <v>13</v>
      </c>
      <c r="CH14" s="6" t="s">
        <v>19</v>
      </c>
      <c r="CI14" s="6" t="s">
        <v>13</v>
      </c>
      <c r="CJ14" s="6" t="s">
        <v>13</v>
      </c>
      <c r="CK14" s="6" t="s">
        <v>19</v>
      </c>
      <c r="CL14" s="6" t="s">
        <v>19</v>
      </c>
      <c r="CM14" s="6" t="s">
        <v>13</v>
      </c>
      <c r="CN14" s="6" t="s">
        <v>13</v>
      </c>
      <c r="CO14" s="6" t="s">
        <v>13</v>
      </c>
      <c r="CP14" s="6" t="s">
        <v>13</v>
      </c>
      <c r="CQ14" s="6" t="s">
        <v>13</v>
      </c>
      <c r="CR14" s="6" t="s">
        <v>19</v>
      </c>
      <c r="CS14" s="6" t="s">
        <v>13</v>
      </c>
      <c r="CT14" s="6" t="s">
        <v>13</v>
      </c>
      <c r="CU14" s="6" t="s">
        <v>19</v>
      </c>
      <c r="CV14" s="6" t="s">
        <v>19</v>
      </c>
      <c r="CW14" s="6" t="s">
        <v>13</v>
      </c>
      <c r="CX14" s="6" t="s">
        <v>13</v>
      </c>
      <c r="CY14" s="6" t="s">
        <v>13</v>
      </c>
      <c r="CZ14" s="6" t="s">
        <v>13</v>
      </c>
      <c r="DA14" s="6" t="s">
        <v>19</v>
      </c>
      <c r="DB14" s="6" t="s">
        <v>13</v>
      </c>
      <c r="DC14" s="6" t="s">
        <v>19</v>
      </c>
      <c r="DD14" s="6" t="s">
        <v>13</v>
      </c>
      <c r="DE14" s="6" t="s">
        <v>13</v>
      </c>
      <c r="DF14" s="6" t="s">
        <v>19</v>
      </c>
      <c r="DG14" s="6" t="s">
        <v>13</v>
      </c>
      <c r="DH14" s="6" t="s">
        <v>19</v>
      </c>
      <c r="DI14" s="6" t="s">
        <v>19</v>
      </c>
      <c r="DJ14" s="6" t="s">
        <v>13</v>
      </c>
      <c r="DK14" s="6" t="s">
        <v>19</v>
      </c>
      <c r="DL14" s="6" t="s">
        <v>19</v>
      </c>
      <c r="DM14" s="6" t="s">
        <v>13</v>
      </c>
      <c r="DN14" s="6" t="s">
        <v>13</v>
      </c>
      <c r="DO14" s="6" t="s">
        <v>19</v>
      </c>
      <c r="DP14" s="6" t="s">
        <v>13</v>
      </c>
      <c r="DQ14" s="6" t="s">
        <v>13</v>
      </c>
      <c r="DR14" s="6" t="s">
        <v>13</v>
      </c>
      <c r="DS14" s="6" t="s">
        <v>13</v>
      </c>
      <c r="DT14" s="6" t="s">
        <v>19</v>
      </c>
      <c r="DU14" s="6" t="s">
        <v>19</v>
      </c>
      <c r="DV14" s="6" t="s">
        <v>13</v>
      </c>
      <c r="DW14" s="6" t="s">
        <v>13</v>
      </c>
      <c r="DX14" s="6" t="s">
        <v>13</v>
      </c>
      <c r="DY14" s="6" t="s">
        <v>13</v>
      </c>
      <c r="DZ14" s="6" t="s">
        <v>13</v>
      </c>
      <c r="EA14" s="6" t="s">
        <v>19</v>
      </c>
      <c r="EB14" s="6" t="s">
        <v>13</v>
      </c>
      <c r="EC14" s="6" t="s">
        <v>19</v>
      </c>
      <c r="ED14" s="6" t="s">
        <v>19</v>
      </c>
      <c r="EE14" s="6" t="s">
        <v>19</v>
      </c>
      <c r="EF14" s="6" t="s">
        <v>19</v>
      </c>
      <c r="EG14" s="6" t="s">
        <v>19</v>
      </c>
      <c r="EH14" s="6" t="s">
        <v>13</v>
      </c>
      <c r="EI14" s="6" t="s">
        <v>13</v>
      </c>
      <c r="EJ14" s="6" t="s">
        <v>19</v>
      </c>
      <c r="EK14" s="6" t="s">
        <v>19</v>
      </c>
      <c r="EL14" s="6" t="s">
        <v>19</v>
      </c>
      <c r="EM14" s="6" t="s">
        <v>13</v>
      </c>
      <c r="EN14" s="6" t="s">
        <v>13</v>
      </c>
      <c r="EO14" s="6" t="s">
        <v>19</v>
      </c>
      <c r="EP14" s="6" t="s">
        <v>19</v>
      </c>
      <c r="EQ14" s="6" t="s">
        <v>13</v>
      </c>
      <c r="ER14" s="6" t="s">
        <v>13</v>
      </c>
      <c r="ES14" s="6" t="s">
        <v>13</v>
      </c>
      <c r="ET14" s="6" t="s">
        <v>19</v>
      </c>
      <c r="EU14" s="6" t="s">
        <v>19</v>
      </c>
      <c r="EV14" s="6" t="s">
        <v>13</v>
      </c>
      <c r="EW14" s="6" t="s">
        <v>13</v>
      </c>
      <c r="EX14" s="6" t="s">
        <v>13</v>
      </c>
      <c r="EY14" s="6" t="s">
        <v>19</v>
      </c>
      <c r="EZ14" s="6" t="s">
        <v>13</v>
      </c>
      <c r="FA14" s="6" t="s">
        <v>13</v>
      </c>
      <c r="FB14" s="6" t="s">
        <v>105</v>
      </c>
      <c r="FC14" s="6" t="s">
        <v>13</v>
      </c>
      <c r="FD14" s="6" t="s">
        <v>19</v>
      </c>
      <c r="FE14" s="6" t="s">
        <v>19</v>
      </c>
      <c r="FF14" s="6" t="s">
        <v>19</v>
      </c>
      <c r="FG14" s="6" t="s">
        <v>13</v>
      </c>
      <c r="FH14" s="6" t="s">
        <v>105</v>
      </c>
      <c r="FI14" s="6" t="s">
        <v>13</v>
      </c>
      <c r="FJ14" s="6" t="s">
        <v>19</v>
      </c>
      <c r="FK14" s="6" t="s">
        <v>13</v>
      </c>
      <c r="FL14" s="6" t="s">
        <v>19</v>
      </c>
      <c r="FM14" s="6" t="s">
        <v>13</v>
      </c>
      <c r="FN14" s="6" t="s">
        <v>13</v>
      </c>
      <c r="FO14" s="6" t="s">
        <v>13</v>
      </c>
      <c r="FP14" s="6" t="s">
        <v>19</v>
      </c>
      <c r="FQ14" s="6" t="s">
        <v>19</v>
      </c>
      <c r="FR14" s="6" t="s">
        <v>13</v>
      </c>
      <c r="FS14" s="6" t="s">
        <v>19</v>
      </c>
      <c r="FT14" s="6" t="s">
        <v>19</v>
      </c>
      <c r="FU14" s="6" t="s">
        <v>19</v>
      </c>
      <c r="FV14" s="6" t="s">
        <v>19</v>
      </c>
      <c r="FW14" s="6" t="s">
        <v>13</v>
      </c>
      <c r="FX14" s="6" t="s">
        <v>13</v>
      </c>
      <c r="FY14" s="6" t="s">
        <v>19</v>
      </c>
      <c r="FZ14" s="6" t="s">
        <v>19</v>
      </c>
      <c r="GA14" s="6" t="s">
        <v>19</v>
      </c>
      <c r="GB14" s="6" t="s">
        <v>19</v>
      </c>
      <c r="GC14" s="6" t="s">
        <v>19</v>
      </c>
      <c r="GD14" s="6" t="s">
        <v>19</v>
      </c>
      <c r="GE14" s="6" t="s">
        <v>19</v>
      </c>
      <c r="GF14" s="6" t="s">
        <v>19</v>
      </c>
      <c r="GG14" s="6" t="s">
        <v>19</v>
      </c>
      <c r="GH14" s="6" t="s">
        <v>13</v>
      </c>
      <c r="GI14" s="6" t="s">
        <v>19</v>
      </c>
      <c r="GJ14" s="6" t="s">
        <v>13</v>
      </c>
      <c r="GK14" s="6" t="s">
        <v>13</v>
      </c>
      <c r="GL14" s="6" t="s">
        <v>13</v>
      </c>
      <c r="GM14" s="6" t="s">
        <v>13</v>
      </c>
      <c r="GN14" s="6" t="s">
        <v>19</v>
      </c>
      <c r="GO14" s="6" t="s">
        <v>19</v>
      </c>
      <c r="GP14" s="6" t="s">
        <v>13</v>
      </c>
      <c r="GQ14" s="6" t="s">
        <v>13</v>
      </c>
      <c r="GR14" s="6" t="s">
        <v>19</v>
      </c>
      <c r="GS14" s="6" t="s">
        <v>105</v>
      </c>
      <c r="GT14" s="6" t="s">
        <v>19</v>
      </c>
      <c r="GU14" s="6" t="s">
        <v>19</v>
      </c>
      <c r="GV14" s="6" t="s">
        <v>13</v>
      </c>
      <c r="GW14" s="6" t="s">
        <v>19</v>
      </c>
      <c r="GX14" s="6" t="s">
        <v>13</v>
      </c>
      <c r="GY14" s="6" t="s">
        <v>19</v>
      </c>
      <c r="GZ14" s="6" t="s">
        <v>19</v>
      </c>
      <c r="HA14" s="6" t="s">
        <v>13</v>
      </c>
      <c r="HB14" s="6" t="s">
        <v>13</v>
      </c>
      <c r="HC14" s="6" t="s">
        <v>13</v>
      </c>
      <c r="HD14" s="6" t="s">
        <v>19</v>
      </c>
      <c r="HE14" s="6" t="s">
        <v>19</v>
      </c>
      <c r="HF14" s="6" t="s">
        <v>19</v>
      </c>
      <c r="HG14" s="6" t="s">
        <v>105</v>
      </c>
      <c r="HH14" s="6" t="s">
        <v>105</v>
      </c>
      <c r="HI14" s="6" t="s">
        <v>19</v>
      </c>
      <c r="HJ14" s="6" t="s">
        <v>19</v>
      </c>
      <c r="HK14" s="6" t="s">
        <v>13</v>
      </c>
      <c r="HL14" s="6" t="s">
        <v>13</v>
      </c>
      <c r="HM14" s="6" t="s">
        <v>19</v>
      </c>
      <c r="HN14" s="6" t="s">
        <v>13</v>
      </c>
      <c r="HO14" s="6" t="s">
        <v>19</v>
      </c>
      <c r="HP14" s="6" t="s">
        <v>13</v>
      </c>
      <c r="HQ14" s="6" t="s">
        <v>19</v>
      </c>
      <c r="HR14" s="6" t="s">
        <v>13</v>
      </c>
      <c r="HS14" s="6" t="s">
        <v>13</v>
      </c>
      <c r="HT14" s="6" t="s">
        <v>13</v>
      </c>
      <c r="HU14" s="6" t="s">
        <v>19</v>
      </c>
      <c r="HV14" s="6" t="s">
        <v>19</v>
      </c>
      <c r="HW14" s="6" t="s">
        <v>19</v>
      </c>
      <c r="HX14" s="6" t="s">
        <v>13</v>
      </c>
      <c r="HY14" s="6" t="s">
        <v>13</v>
      </c>
      <c r="HZ14" s="6" t="s">
        <v>13</v>
      </c>
      <c r="IA14" s="6" t="s">
        <v>19</v>
      </c>
      <c r="IB14" s="6" t="s">
        <v>19</v>
      </c>
      <c r="IC14" s="6" t="s">
        <v>13</v>
      </c>
      <c r="ID14" s="6" t="s">
        <v>13</v>
      </c>
      <c r="IE14" s="6" t="s">
        <v>13</v>
      </c>
      <c r="IF14" s="6" t="s">
        <v>19</v>
      </c>
      <c r="IG14" s="6" t="s">
        <v>105</v>
      </c>
      <c r="IH14" s="6" t="s">
        <v>13</v>
      </c>
      <c r="II14" s="6" t="s">
        <v>13</v>
      </c>
      <c r="IJ14" s="6" t="s">
        <v>19</v>
      </c>
      <c r="IK14" s="6" t="s">
        <v>13</v>
      </c>
      <c r="IL14" s="6" t="s">
        <v>13</v>
      </c>
      <c r="IM14" s="6" t="s">
        <v>13</v>
      </c>
      <c r="IN14" s="6" t="s">
        <v>19</v>
      </c>
      <c r="IO14" s="6" t="s">
        <v>19</v>
      </c>
      <c r="IP14" s="6" t="s">
        <v>13</v>
      </c>
      <c r="IQ14" s="6" t="s">
        <v>13</v>
      </c>
      <c r="IR14" s="6" t="s">
        <v>13</v>
      </c>
      <c r="IS14" s="6" t="s">
        <v>19</v>
      </c>
      <c r="IT14" s="6" t="s">
        <v>19</v>
      </c>
      <c r="IU14" s="6" t="s">
        <v>13</v>
      </c>
      <c r="IV14" s="6" t="s">
        <v>13</v>
      </c>
      <c r="IW14" s="6" t="s">
        <v>19</v>
      </c>
      <c r="IX14" s="6" t="s">
        <v>13</v>
      </c>
      <c r="IY14" s="6" t="s">
        <v>13</v>
      </c>
      <c r="IZ14" s="6" t="s">
        <v>19</v>
      </c>
      <c r="JA14" s="6" t="s">
        <v>13</v>
      </c>
      <c r="JB14" s="6" t="s">
        <v>13</v>
      </c>
      <c r="JC14" s="6" t="s">
        <v>19</v>
      </c>
      <c r="JD14" s="6" t="s">
        <v>13</v>
      </c>
      <c r="JE14" s="6" t="s">
        <v>13</v>
      </c>
      <c r="JF14" s="6" t="s">
        <v>13</v>
      </c>
      <c r="JG14" s="6" t="s">
        <v>13</v>
      </c>
      <c r="JH14" s="6" t="s">
        <v>19</v>
      </c>
      <c r="JI14" s="6" t="s">
        <v>13</v>
      </c>
      <c r="JJ14" s="6" t="s">
        <v>19</v>
      </c>
      <c r="JK14" s="6" t="s">
        <v>13</v>
      </c>
      <c r="JL14" s="6" t="s">
        <v>13</v>
      </c>
      <c r="JM14" s="6" t="s">
        <v>13</v>
      </c>
      <c r="JN14" s="6" t="s">
        <v>19</v>
      </c>
      <c r="JO14" s="6" t="s">
        <v>13</v>
      </c>
      <c r="JP14" s="6" t="s">
        <v>13</v>
      </c>
      <c r="JQ14" s="6" t="s">
        <v>19</v>
      </c>
      <c r="JR14" s="6" t="s">
        <v>19</v>
      </c>
      <c r="JS14" s="6" t="s">
        <v>19</v>
      </c>
      <c r="JT14" s="6" t="s">
        <v>13</v>
      </c>
      <c r="JU14" s="6" t="s">
        <v>13</v>
      </c>
      <c r="JV14" s="6" t="s">
        <v>13</v>
      </c>
      <c r="JW14" s="6" t="s">
        <v>19</v>
      </c>
      <c r="JX14" s="6" t="s">
        <v>13</v>
      </c>
      <c r="JY14" s="6" t="s">
        <v>13</v>
      </c>
      <c r="JZ14" s="6" t="s">
        <v>105</v>
      </c>
      <c r="KA14" s="6" t="s">
        <v>13</v>
      </c>
      <c r="KB14" s="6" t="s">
        <v>19</v>
      </c>
      <c r="KC14" s="6" t="s">
        <v>13</v>
      </c>
      <c r="KD14" s="6" t="s">
        <v>19</v>
      </c>
      <c r="KE14" s="6" t="s">
        <v>13</v>
      </c>
      <c r="KF14" s="6" t="s">
        <v>13</v>
      </c>
      <c r="KG14" s="6" t="s">
        <v>13</v>
      </c>
      <c r="KH14" s="6" t="s">
        <v>13</v>
      </c>
      <c r="KI14" s="6" t="s">
        <v>19</v>
      </c>
      <c r="KJ14" s="6" t="s">
        <v>19</v>
      </c>
      <c r="KK14" s="6" t="s">
        <v>13</v>
      </c>
      <c r="KL14" s="6" t="s">
        <v>19</v>
      </c>
      <c r="KM14" s="6" t="s">
        <v>19</v>
      </c>
      <c r="KN14" s="6" t="s">
        <v>19</v>
      </c>
      <c r="KO14" s="6" t="s">
        <v>13</v>
      </c>
      <c r="KP14" s="6" t="s">
        <v>19</v>
      </c>
      <c r="KQ14" s="6" t="s">
        <v>19</v>
      </c>
      <c r="KR14" s="6" t="s">
        <v>13</v>
      </c>
      <c r="KS14" s="6" t="s">
        <v>13</v>
      </c>
      <c r="KT14" s="6" t="s">
        <v>13</v>
      </c>
      <c r="KU14" s="6" t="s">
        <v>13</v>
      </c>
      <c r="KV14" s="6" t="s">
        <v>19</v>
      </c>
      <c r="KW14" s="6" t="s">
        <v>13</v>
      </c>
      <c r="KX14" s="6" t="s">
        <v>13</v>
      </c>
      <c r="KY14" s="6" t="s">
        <v>13</v>
      </c>
      <c r="KZ14" s="6" t="s">
        <v>13</v>
      </c>
      <c r="LA14" s="6" t="s">
        <v>13</v>
      </c>
      <c r="LB14" s="6" t="s">
        <v>19</v>
      </c>
      <c r="LC14" s="6" t="s">
        <v>19</v>
      </c>
      <c r="LD14" s="6" t="s">
        <v>13</v>
      </c>
      <c r="LE14" s="6" t="s">
        <v>13</v>
      </c>
      <c r="LF14" s="6" t="s">
        <v>19</v>
      </c>
      <c r="LG14" s="6" t="s">
        <v>13</v>
      </c>
      <c r="LH14" s="6" t="s">
        <v>19</v>
      </c>
      <c r="LI14" s="6" t="s">
        <v>13</v>
      </c>
      <c r="LJ14" s="6" t="s">
        <v>19</v>
      </c>
      <c r="LK14" s="6" t="s">
        <v>13</v>
      </c>
      <c r="LL14" s="6" t="s">
        <v>105</v>
      </c>
      <c r="LM14" s="6" t="s">
        <v>19</v>
      </c>
      <c r="LN14" s="6" t="s">
        <v>19</v>
      </c>
      <c r="LO14" s="6" t="s">
        <v>13</v>
      </c>
      <c r="LP14" s="6" t="s">
        <v>13</v>
      </c>
      <c r="LQ14" s="6" t="s">
        <v>13</v>
      </c>
      <c r="LR14" s="6" t="s">
        <v>13</v>
      </c>
      <c r="LS14" s="6" t="s">
        <v>19</v>
      </c>
      <c r="LT14" s="6" t="s">
        <v>19</v>
      </c>
      <c r="LU14" s="6" t="s">
        <v>19</v>
      </c>
      <c r="LV14" s="6" t="s">
        <v>19</v>
      </c>
      <c r="LW14" s="6" t="s">
        <v>19</v>
      </c>
      <c r="LX14" s="6" t="s">
        <v>13</v>
      </c>
      <c r="LY14" s="6" t="s">
        <v>19</v>
      </c>
      <c r="LZ14" s="6" t="s">
        <v>19</v>
      </c>
      <c r="MA14" s="6" t="s">
        <v>13</v>
      </c>
      <c r="MB14" s="6" t="s">
        <v>19</v>
      </c>
      <c r="MC14" s="6" t="s">
        <v>13</v>
      </c>
      <c r="MD14" s="6" t="s">
        <v>19</v>
      </c>
      <c r="ME14" s="6" t="s">
        <v>13</v>
      </c>
      <c r="MF14" s="6" t="s">
        <v>19</v>
      </c>
      <c r="MG14" s="6" t="s">
        <v>19</v>
      </c>
      <c r="MH14" s="6" t="s">
        <v>19</v>
      </c>
      <c r="MI14" s="6" t="s">
        <v>13</v>
      </c>
      <c r="MJ14" s="6" t="s">
        <v>19</v>
      </c>
      <c r="MK14" s="6" t="s">
        <v>13</v>
      </c>
      <c r="ML14" s="6" t="s">
        <v>19</v>
      </c>
      <c r="MM14" s="6" t="s">
        <v>13</v>
      </c>
      <c r="MN14" s="6" t="s">
        <v>105</v>
      </c>
      <c r="MO14" s="6" t="s">
        <v>13</v>
      </c>
      <c r="MP14" s="6" t="s">
        <v>19</v>
      </c>
      <c r="MQ14" s="6" t="s">
        <v>19</v>
      </c>
      <c r="MR14" s="6" t="s">
        <v>13</v>
      </c>
      <c r="MS14" s="6" t="s">
        <v>19</v>
      </c>
      <c r="MT14" s="6" t="s">
        <v>19</v>
      </c>
      <c r="MU14" s="6" t="s">
        <v>19</v>
      </c>
      <c r="MV14" s="6" t="s">
        <v>13</v>
      </c>
      <c r="MW14" s="6" t="s">
        <v>19</v>
      </c>
      <c r="MX14" s="6" t="s">
        <v>13</v>
      </c>
      <c r="MY14" s="6" t="s">
        <v>13</v>
      </c>
      <c r="MZ14" s="6" t="s">
        <v>19</v>
      </c>
      <c r="NA14" s="6" t="s">
        <v>13</v>
      </c>
      <c r="NB14" s="6" t="s">
        <v>19</v>
      </c>
      <c r="NC14" s="6" t="s">
        <v>13</v>
      </c>
      <c r="ND14" s="6" t="s">
        <v>19</v>
      </c>
      <c r="NE14" s="6" t="s">
        <v>13</v>
      </c>
      <c r="NF14" s="6" t="s">
        <v>13</v>
      </c>
      <c r="NG14" s="6" t="s">
        <v>13</v>
      </c>
      <c r="NH14" s="6" t="s">
        <v>13</v>
      </c>
      <c r="NI14" s="6" t="s">
        <v>19</v>
      </c>
      <c r="NJ14" s="6" t="s">
        <v>13</v>
      </c>
      <c r="NK14" s="6" t="s">
        <v>19</v>
      </c>
      <c r="NL14" s="6" t="s">
        <v>13</v>
      </c>
      <c r="NM14" s="6" t="s">
        <v>13</v>
      </c>
      <c r="NN14" s="6" t="s">
        <v>19</v>
      </c>
      <c r="NO14" s="6" t="s">
        <v>19</v>
      </c>
      <c r="NP14" s="6" t="s">
        <v>19</v>
      </c>
      <c r="NQ14" s="6" t="s">
        <v>13</v>
      </c>
      <c r="NR14" s="6" t="s">
        <v>13</v>
      </c>
      <c r="NS14" s="6" t="s">
        <v>13</v>
      </c>
      <c r="NT14" s="6" t="s">
        <v>19</v>
      </c>
      <c r="NU14" s="6" t="s">
        <v>19</v>
      </c>
      <c r="NV14" s="6" t="s">
        <v>19</v>
      </c>
      <c r="NW14" s="6" t="s">
        <v>13</v>
      </c>
      <c r="NX14" s="6" t="s">
        <v>13</v>
      </c>
      <c r="NY14" s="6" t="s">
        <v>13</v>
      </c>
      <c r="NZ14" s="6" t="s">
        <v>19</v>
      </c>
      <c r="OA14" s="6" t="s">
        <v>19</v>
      </c>
      <c r="OB14" s="6" t="s">
        <v>13</v>
      </c>
      <c r="OC14" s="6" t="s">
        <v>19</v>
      </c>
      <c r="OD14" s="6" t="s">
        <v>19</v>
      </c>
      <c r="OE14" s="6" t="s">
        <v>13</v>
      </c>
      <c r="OF14" s="6" t="s">
        <v>19</v>
      </c>
      <c r="OG14" s="6" t="s">
        <v>19</v>
      </c>
      <c r="OH14" s="6" t="s">
        <v>13</v>
      </c>
      <c r="OI14" s="6" t="s">
        <v>13</v>
      </c>
      <c r="OJ14" s="6" t="s">
        <v>13</v>
      </c>
      <c r="OK14" s="6" t="s">
        <v>13</v>
      </c>
      <c r="OL14" s="6" t="s">
        <v>13</v>
      </c>
      <c r="OM14" s="6" t="s">
        <v>19</v>
      </c>
      <c r="ON14" s="6" t="s">
        <v>13</v>
      </c>
      <c r="OO14" s="6" t="s">
        <v>13</v>
      </c>
      <c r="OP14" s="6" t="s">
        <v>13</v>
      </c>
      <c r="OQ14" s="6" t="s">
        <v>13</v>
      </c>
      <c r="OR14" s="6" t="s">
        <v>13</v>
      </c>
      <c r="OS14" s="6" t="s">
        <v>19</v>
      </c>
      <c r="OT14" s="6" t="s">
        <v>13</v>
      </c>
      <c r="OU14" s="6" t="s">
        <v>19</v>
      </c>
      <c r="OV14" s="6" t="s">
        <v>19</v>
      </c>
      <c r="OW14" s="6" t="s">
        <v>13</v>
      </c>
      <c r="OX14" s="6" t="s">
        <v>13</v>
      </c>
      <c r="OY14" s="6" t="s">
        <v>13</v>
      </c>
      <c r="OZ14" s="6" t="s">
        <v>13</v>
      </c>
      <c r="PA14" s="6" t="s">
        <v>13</v>
      </c>
      <c r="PB14" s="6" t="s">
        <v>13</v>
      </c>
      <c r="PC14" s="6" t="s">
        <v>19</v>
      </c>
      <c r="PD14" s="6" t="s">
        <v>19</v>
      </c>
      <c r="PE14" s="6" t="s">
        <v>19</v>
      </c>
      <c r="PF14" s="6" t="s">
        <v>19</v>
      </c>
      <c r="PG14" s="6" t="s">
        <v>19</v>
      </c>
      <c r="PH14" s="6" t="s">
        <v>13</v>
      </c>
      <c r="PI14" s="6" t="s">
        <v>19</v>
      </c>
      <c r="PJ14" s="6" t="s">
        <v>13</v>
      </c>
      <c r="PK14" s="6" t="s">
        <v>13</v>
      </c>
      <c r="PL14" s="6" t="s">
        <v>19</v>
      </c>
      <c r="PM14" s="6" t="s">
        <v>13</v>
      </c>
      <c r="PN14" s="6" t="s">
        <v>19</v>
      </c>
      <c r="PO14" s="6" t="s">
        <v>105</v>
      </c>
      <c r="PP14" s="6" t="s">
        <v>13</v>
      </c>
      <c r="PQ14" s="6" t="s">
        <v>13</v>
      </c>
      <c r="PR14" s="6" t="s">
        <v>19</v>
      </c>
      <c r="PS14" s="6" t="s">
        <v>13</v>
      </c>
      <c r="PT14" s="6" t="s">
        <v>13</v>
      </c>
      <c r="PU14" s="6" t="s">
        <v>19</v>
      </c>
      <c r="PV14" s="6" t="s">
        <v>19</v>
      </c>
      <c r="PW14" s="6" t="s">
        <v>13</v>
      </c>
      <c r="PX14" s="6" t="s">
        <v>13</v>
      </c>
      <c r="PY14" s="6" t="s">
        <v>13</v>
      </c>
      <c r="PZ14" s="6" t="s">
        <v>19</v>
      </c>
      <c r="QA14" s="6" t="s">
        <v>19</v>
      </c>
      <c r="QB14" s="6" t="s">
        <v>19</v>
      </c>
      <c r="QC14" s="6" t="s">
        <v>13</v>
      </c>
      <c r="QD14" s="6" t="s">
        <v>13</v>
      </c>
      <c r="QE14" s="6" t="s">
        <v>13</v>
      </c>
      <c r="QF14" s="6" t="s">
        <v>13</v>
      </c>
      <c r="QG14" s="6" t="s">
        <v>19</v>
      </c>
      <c r="QH14" s="6" t="s">
        <v>13</v>
      </c>
      <c r="QI14" s="6" t="s">
        <v>19</v>
      </c>
      <c r="QJ14" s="6" t="s">
        <v>13</v>
      </c>
      <c r="QK14" s="6" t="s">
        <v>19</v>
      </c>
      <c r="QL14" s="6" t="s">
        <v>105</v>
      </c>
      <c r="QM14" s="6" t="s">
        <v>19</v>
      </c>
      <c r="QN14" s="6" t="s">
        <v>19</v>
      </c>
      <c r="QO14" s="6" t="s">
        <v>19</v>
      </c>
      <c r="QP14" s="6" t="s">
        <v>19</v>
      </c>
      <c r="QQ14" s="6" t="s">
        <v>19</v>
      </c>
      <c r="QR14" s="6" t="s">
        <v>13</v>
      </c>
      <c r="QS14" s="6" t="s">
        <v>19</v>
      </c>
      <c r="QT14" s="6" t="s">
        <v>19</v>
      </c>
      <c r="QU14" s="6" t="s">
        <v>13</v>
      </c>
      <c r="QV14" s="6" t="s">
        <v>19</v>
      </c>
      <c r="QW14" s="6" t="s">
        <v>13</v>
      </c>
      <c r="QX14" s="6" t="s">
        <v>19</v>
      </c>
      <c r="QY14" s="6" t="s">
        <v>19</v>
      </c>
      <c r="QZ14" s="6" t="s">
        <v>13</v>
      </c>
      <c r="RA14" s="6" t="s">
        <v>13</v>
      </c>
      <c r="RB14" s="6" t="s">
        <v>19</v>
      </c>
      <c r="RC14" s="6" t="s">
        <v>19</v>
      </c>
      <c r="RD14" s="6" t="s">
        <v>13</v>
      </c>
      <c r="RE14" s="6" t="s">
        <v>13</v>
      </c>
      <c r="RF14" s="6" t="s">
        <v>13</v>
      </c>
      <c r="RG14" s="6" t="s">
        <v>19</v>
      </c>
      <c r="RH14" s="6" t="s">
        <v>105</v>
      </c>
      <c r="RI14" s="6" t="s">
        <v>13</v>
      </c>
      <c r="RJ14" s="6" t="s">
        <v>105</v>
      </c>
      <c r="RK14" s="6" t="s">
        <v>19</v>
      </c>
      <c r="RL14" s="6" t="s">
        <v>19</v>
      </c>
      <c r="RM14" s="6" t="s">
        <v>19</v>
      </c>
      <c r="RN14" s="6" t="s">
        <v>13</v>
      </c>
      <c r="RO14" s="6" t="s">
        <v>13</v>
      </c>
      <c r="RP14" s="6" t="s">
        <v>13</v>
      </c>
      <c r="RQ14" s="6" t="s">
        <v>13</v>
      </c>
      <c r="RR14" s="6" t="s">
        <v>13</v>
      </c>
      <c r="RS14" s="6" t="s">
        <v>19</v>
      </c>
      <c r="RT14" s="6" t="s">
        <v>13</v>
      </c>
      <c r="RU14" s="6" t="s">
        <v>13</v>
      </c>
      <c r="RV14" s="6" t="s">
        <v>13</v>
      </c>
      <c r="RW14" s="6" t="s">
        <v>19</v>
      </c>
      <c r="RX14" s="6" t="s">
        <v>19</v>
      </c>
      <c r="RY14" s="6" t="s">
        <v>13</v>
      </c>
      <c r="RZ14" s="6" t="s">
        <v>19</v>
      </c>
      <c r="SA14" s="6" t="s">
        <v>19</v>
      </c>
      <c r="SB14" s="6" t="s">
        <v>13</v>
      </c>
      <c r="SC14" s="6" t="s">
        <v>13</v>
      </c>
      <c r="SD14" s="6" t="s">
        <v>19</v>
      </c>
      <c r="SE14" s="6" t="s">
        <v>13</v>
      </c>
      <c r="SF14" s="6" t="s">
        <v>19</v>
      </c>
      <c r="SG14" s="6" t="s">
        <v>19</v>
      </c>
      <c r="SH14" s="6" t="s">
        <v>19</v>
      </c>
      <c r="SI14" s="6" t="s">
        <v>19</v>
      </c>
      <c r="SJ14" s="6" t="s">
        <v>13</v>
      </c>
      <c r="SK14" s="6" t="s">
        <v>13</v>
      </c>
      <c r="SL14" s="6" t="s">
        <v>19</v>
      </c>
      <c r="SM14" s="6" t="s">
        <v>19</v>
      </c>
      <c r="SN14" s="6" t="s">
        <v>13</v>
      </c>
      <c r="SO14" s="6" t="s">
        <v>13</v>
      </c>
      <c r="SP14" s="6" t="s">
        <v>13</v>
      </c>
      <c r="SQ14" s="6" t="s">
        <v>19</v>
      </c>
      <c r="SR14" s="6" t="s">
        <v>19</v>
      </c>
      <c r="SS14" s="6" t="s">
        <v>13</v>
      </c>
      <c r="ST14" s="6" t="s">
        <v>13</v>
      </c>
      <c r="SU14" s="6" t="s">
        <v>13</v>
      </c>
      <c r="SV14" s="6" t="s">
        <v>19</v>
      </c>
      <c r="SW14" s="6" t="s">
        <v>19</v>
      </c>
      <c r="SX14" s="6" t="s">
        <v>13</v>
      </c>
      <c r="SY14" s="6" t="s">
        <v>19</v>
      </c>
      <c r="SZ14" s="6" t="s">
        <v>19</v>
      </c>
      <c r="TA14" s="6" t="s">
        <v>19</v>
      </c>
      <c r="TB14" s="6" t="s">
        <v>13</v>
      </c>
      <c r="TC14" s="6" t="s">
        <v>19</v>
      </c>
      <c r="TD14" s="6" t="s">
        <v>13</v>
      </c>
      <c r="TE14" s="6" t="s">
        <v>19</v>
      </c>
      <c r="TF14" s="6" t="s">
        <v>19</v>
      </c>
      <c r="TG14" s="6" t="s">
        <v>13</v>
      </c>
      <c r="TH14" s="6" t="s">
        <v>19</v>
      </c>
      <c r="TI14" s="6" t="s">
        <v>19</v>
      </c>
      <c r="TJ14" s="6" t="s">
        <v>13</v>
      </c>
      <c r="TK14" s="6" t="s">
        <v>19</v>
      </c>
      <c r="TL14" s="6" t="s">
        <v>13</v>
      </c>
      <c r="TM14" s="6" t="s">
        <v>13</v>
      </c>
      <c r="TN14" s="6" t="s">
        <v>19</v>
      </c>
      <c r="TO14" s="6" t="s">
        <v>13</v>
      </c>
      <c r="TP14" s="6" t="s">
        <v>13</v>
      </c>
      <c r="TQ14" s="6" t="s">
        <v>13</v>
      </c>
      <c r="TR14" s="6" t="s">
        <v>13</v>
      </c>
      <c r="TS14" s="6" t="s">
        <v>19</v>
      </c>
      <c r="TT14" s="6" t="s">
        <v>13</v>
      </c>
      <c r="TU14" s="6" t="s">
        <v>13</v>
      </c>
      <c r="TV14" s="6" t="s">
        <v>19</v>
      </c>
      <c r="TW14" s="6" t="s">
        <v>19</v>
      </c>
      <c r="TX14" s="6" t="s">
        <v>13</v>
      </c>
      <c r="TY14" s="6" t="s">
        <v>19</v>
      </c>
      <c r="TZ14" s="6" t="s">
        <v>13</v>
      </c>
      <c r="UA14" s="6" t="s">
        <v>13</v>
      </c>
      <c r="UB14" s="6" t="s">
        <v>19</v>
      </c>
      <c r="UC14" s="6" t="s">
        <v>105</v>
      </c>
      <c r="UD14" s="6" t="s">
        <v>13</v>
      </c>
      <c r="UE14" s="6" t="s">
        <v>13</v>
      </c>
      <c r="UF14" s="6" t="s">
        <v>19</v>
      </c>
      <c r="UG14" s="6" t="s">
        <v>13</v>
      </c>
      <c r="UH14" s="6" t="s">
        <v>19</v>
      </c>
      <c r="UI14" s="6" t="s">
        <v>13</v>
      </c>
      <c r="UJ14" s="6" t="s">
        <v>13</v>
      </c>
      <c r="UK14" s="6" t="s">
        <v>13</v>
      </c>
      <c r="UL14" s="6" t="s">
        <v>13</v>
      </c>
      <c r="UM14" s="6" t="s">
        <v>13</v>
      </c>
      <c r="UN14" s="6" t="s">
        <v>13</v>
      </c>
      <c r="UO14" s="6" t="s">
        <v>13</v>
      </c>
      <c r="UP14" s="6" t="s">
        <v>13</v>
      </c>
      <c r="UQ14" s="6" t="s">
        <v>13</v>
      </c>
      <c r="UR14" s="6" t="s">
        <v>13</v>
      </c>
      <c r="US14" s="6" t="s">
        <v>19</v>
      </c>
      <c r="UT14" s="6" t="s">
        <v>19</v>
      </c>
      <c r="UU14" s="6" t="s">
        <v>13</v>
      </c>
      <c r="UV14" s="6" t="s">
        <v>19</v>
      </c>
      <c r="UW14" s="6" t="s">
        <v>19</v>
      </c>
      <c r="UX14" s="6" t="s">
        <v>13</v>
      </c>
      <c r="UY14" s="6" t="s">
        <v>13</v>
      </c>
      <c r="UZ14" s="6" t="s">
        <v>13</v>
      </c>
      <c r="VA14" s="6" t="s">
        <v>13</v>
      </c>
      <c r="VB14" s="6" t="s">
        <v>13</v>
      </c>
      <c r="VC14" s="6" t="s">
        <v>13</v>
      </c>
      <c r="VD14" s="6" t="s">
        <v>19</v>
      </c>
      <c r="VE14" s="6" t="s">
        <v>13</v>
      </c>
      <c r="VF14" s="6" t="s">
        <v>13</v>
      </c>
      <c r="VG14" s="6" t="s">
        <v>19</v>
      </c>
      <c r="VH14" s="6" t="s">
        <v>19</v>
      </c>
      <c r="VI14" s="6" t="s">
        <v>13</v>
      </c>
      <c r="VJ14" s="6" t="s">
        <v>19</v>
      </c>
      <c r="VK14" s="6" t="s">
        <v>13</v>
      </c>
      <c r="VL14" s="6" t="s">
        <v>19</v>
      </c>
      <c r="VM14" s="6" t="s">
        <v>13</v>
      </c>
      <c r="VN14" s="6" t="s">
        <v>13</v>
      </c>
      <c r="VO14" s="6" t="s">
        <v>19</v>
      </c>
      <c r="VP14" s="6" t="s">
        <v>105</v>
      </c>
      <c r="VQ14" s="6" t="s">
        <v>19</v>
      </c>
      <c r="VR14" s="6" t="s">
        <v>19</v>
      </c>
      <c r="VS14" s="6" t="s">
        <v>13</v>
      </c>
      <c r="VT14" s="6" t="s">
        <v>13</v>
      </c>
      <c r="VU14" s="6" t="s">
        <v>13</v>
      </c>
      <c r="VV14" s="6" t="s">
        <v>13</v>
      </c>
      <c r="VW14" s="6" t="s">
        <v>19</v>
      </c>
      <c r="VX14" s="6" t="s">
        <v>19</v>
      </c>
      <c r="VY14" s="6" t="s">
        <v>19</v>
      </c>
      <c r="VZ14" s="6" t="s">
        <v>19</v>
      </c>
      <c r="WA14" s="6" t="s">
        <v>13</v>
      </c>
      <c r="WB14" s="6" t="s">
        <v>19</v>
      </c>
      <c r="WC14" s="6" t="s">
        <v>13</v>
      </c>
      <c r="WD14" s="6" t="s">
        <v>13</v>
      </c>
      <c r="WE14" s="6" t="s">
        <v>19</v>
      </c>
      <c r="WF14" s="6" t="s">
        <v>19</v>
      </c>
      <c r="WG14" s="6" t="s">
        <v>13</v>
      </c>
      <c r="WH14" s="6" t="s">
        <v>19</v>
      </c>
      <c r="WI14" s="6" t="s">
        <v>19</v>
      </c>
      <c r="WJ14" s="6" t="s">
        <v>19</v>
      </c>
      <c r="WK14" s="6" t="s">
        <v>13</v>
      </c>
      <c r="WL14" s="6" t="s">
        <v>13</v>
      </c>
      <c r="WM14" s="6" t="s">
        <v>19</v>
      </c>
      <c r="WN14" s="6" t="s">
        <v>13</v>
      </c>
      <c r="WO14" s="6" t="s">
        <v>13</v>
      </c>
      <c r="WP14" s="6" t="s">
        <v>13</v>
      </c>
      <c r="WQ14" s="6" t="s">
        <v>13</v>
      </c>
      <c r="WR14" s="6" t="s">
        <v>19</v>
      </c>
      <c r="WS14" s="6" t="s">
        <v>19</v>
      </c>
      <c r="WT14" s="6" t="s">
        <v>13</v>
      </c>
      <c r="WU14" s="6" t="s">
        <v>13</v>
      </c>
      <c r="WV14" s="6" t="s">
        <v>13</v>
      </c>
      <c r="WW14" s="6" t="s">
        <v>105</v>
      </c>
      <c r="WX14" s="6" t="s">
        <v>19</v>
      </c>
      <c r="WY14" s="6" t="s">
        <v>19</v>
      </c>
      <c r="WZ14" s="6" t="s">
        <v>13</v>
      </c>
      <c r="XA14" s="6" t="s">
        <v>19</v>
      </c>
      <c r="XB14" s="6" t="s">
        <v>19</v>
      </c>
      <c r="XC14" s="6" t="s">
        <v>19</v>
      </c>
      <c r="XD14" s="6" t="s">
        <v>13</v>
      </c>
      <c r="XE14" s="6" t="s">
        <v>13</v>
      </c>
      <c r="XF14" s="6" t="s">
        <v>19</v>
      </c>
      <c r="XG14" s="6" t="s">
        <v>13</v>
      </c>
      <c r="XH14" s="6" t="s">
        <v>13</v>
      </c>
      <c r="XI14" s="6" t="s">
        <v>19</v>
      </c>
      <c r="XJ14" s="6" t="s">
        <v>13</v>
      </c>
      <c r="XK14" s="6" t="s">
        <v>19</v>
      </c>
      <c r="XL14" s="6" t="s">
        <v>13</v>
      </c>
      <c r="XM14" s="6" t="s">
        <v>19</v>
      </c>
      <c r="XN14" s="6" t="s">
        <v>19</v>
      </c>
      <c r="XO14" s="6" t="s">
        <v>13</v>
      </c>
      <c r="XP14" s="6" t="s">
        <v>13</v>
      </c>
      <c r="XQ14" s="6" t="s">
        <v>13</v>
      </c>
      <c r="XR14" s="6" t="s">
        <v>19</v>
      </c>
      <c r="XS14" s="6" t="s">
        <v>13</v>
      </c>
      <c r="XT14" s="6" t="s">
        <v>13</v>
      </c>
      <c r="XU14" s="6" t="s">
        <v>105</v>
      </c>
      <c r="XV14" s="6" t="s">
        <v>19</v>
      </c>
      <c r="XW14" s="6" t="s">
        <v>13</v>
      </c>
      <c r="XX14" s="6" t="s">
        <v>19</v>
      </c>
      <c r="XY14" s="6" t="s">
        <v>19</v>
      </c>
      <c r="XZ14" s="6" t="s">
        <v>13</v>
      </c>
      <c r="YA14" s="6" t="s">
        <v>19</v>
      </c>
      <c r="YB14" s="6" t="s">
        <v>13</v>
      </c>
      <c r="YC14" s="6" t="s">
        <v>13</v>
      </c>
      <c r="YD14" s="6" t="s">
        <v>13</v>
      </c>
      <c r="YE14" s="6" t="s">
        <v>13</v>
      </c>
      <c r="YF14" s="6" t="s">
        <v>19</v>
      </c>
      <c r="YG14" s="6" t="s">
        <v>13</v>
      </c>
      <c r="YH14" s="6" t="s">
        <v>19</v>
      </c>
      <c r="YI14" s="6" t="s">
        <v>19</v>
      </c>
      <c r="YJ14" s="6" t="s">
        <v>19</v>
      </c>
      <c r="YK14" s="6" t="s">
        <v>13</v>
      </c>
      <c r="YL14" s="6" t="s">
        <v>19</v>
      </c>
      <c r="YM14" s="6" t="s">
        <v>19</v>
      </c>
      <c r="YN14" s="6" t="s">
        <v>13</v>
      </c>
      <c r="YO14" s="6" t="s">
        <v>19</v>
      </c>
      <c r="YP14" s="6" t="s">
        <v>19</v>
      </c>
      <c r="YQ14" s="6" t="s">
        <v>13</v>
      </c>
      <c r="YR14" s="6" t="s">
        <v>19</v>
      </c>
      <c r="YS14" s="6" t="s">
        <v>13</v>
      </c>
      <c r="YT14" s="6" t="s">
        <v>19</v>
      </c>
      <c r="YU14" s="6" t="s">
        <v>19</v>
      </c>
      <c r="YV14" s="6" t="s">
        <v>13</v>
      </c>
      <c r="YW14" s="6" t="s">
        <v>19</v>
      </c>
      <c r="YX14" s="6" t="s">
        <v>13</v>
      </c>
      <c r="YY14" s="6" t="s">
        <v>13</v>
      </c>
      <c r="YZ14" s="6" t="s">
        <v>19</v>
      </c>
      <c r="ZA14" s="6" t="s">
        <v>13</v>
      </c>
      <c r="ZB14" s="6" t="s">
        <v>13</v>
      </c>
      <c r="ZC14" s="6" t="s">
        <v>19</v>
      </c>
      <c r="ZD14" s="6" t="s">
        <v>19</v>
      </c>
      <c r="ZE14" s="6" t="s">
        <v>19</v>
      </c>
      <c r="ZF14" s="6" t="s">
        <v>13</v>
      </c>
      <c r="ZG14" s="6" t="s">
        <v>19</v>
      </c>
      <c r="ZH14" s="6" t="s">
        <v>13</v>
      </c>
      <c r="ZI14" s="6" t="s">
        <v>13</v>
      </c>
      <c r="ZJ14" s="6" t="s">
        <v>19</v>
      </c>
      <c r="ZK14" s="6" t="s">
        <v>19</v>
      </c>
      <c r="ZL14" s="6" t="s">
        <v>19</v>
      </c>
      <c r="ZM14" s="6" t="s">
        <v>19</v>
      </c>
      <c r="ZN14" s="6" t="s">
        <v>19</v>
      </c>
      <c r="ZO14" s="6" t="s">
        <v>19</v>
      </c>
      <c r="ZP14" s="6" t="s">
        <v>19</v>
      </c>
      <c r="ZQ14" s="6" t="s">
        <v>13</v>
      </c>
      <c r="ZR14" s="6" t="s">
        <v>13</v>
      </c>
      <c r="ZS14" s="6" t="s">
        <v>13</v>
      </c>
      <c r="ZT14" s="6" t="s">
        <v>13</v>
      </c>
      <c r="ZU14" s="6" t="s">
        <v>105</v>
      </c>
      <c r="ZV14" s="6" t="s">
        <v>19</v>
      </c>
      <c r="ZW14" s="6" t="s">
        <v>19</v>
      </c>
      <c r="ZX14" s="6" t="s">
        <v>19</v>
      </c>
      <c r="ZY14" s="6" t="s">
        <v>19</v>
      </c>
      <c r="ZZ14" s="6" t="s">
        <v>13</v>
      </c>
      <c r="AAA14" s="6" t="s">
        <v>19</v>
      </c>
      <c r="AAB14" s="6" t="s">
        <v>13</v>
      </c>
      <c r="AAC14" s="6" t="s">
        <v>13</v>
      </c>
      <c r="AAD14" s="6" t="s">
        <v>13</v>
      </c>
      <c r="AAE14" s="6" t="s">
        <v>19</v>
      </c>
      <c r="AAF14" s="6" t="s">
        <v>13</v>
      </c>
      <c r="AAG14" s="6" t="s">
        <v>13</v>
      </c>
      <c r="AAH14" s="6" t="s">
        <v>19</v>
      </c>
      <c r="AAI14" s="6" t="s">
        <v>19</v>
      </c>
      <c r="AAJ14" s="6" t="s">
        <v>19</v>
      </c>
      <c r="AAK14" s="6" t="s">
        <v>19</v>
      </c>
      <c r="AAL14" s="6" t="s">
        <v>19</v>
      </c>
      <c r="AAM14" s="6" t="s">
        <v>19</v>
      </c>
      <c r="AAN14" s="6" t="s">
        <v>13</v>
      </c>
      <c r="AAO14" s="6" t="s">
        <v>19</v>
      </c>
      <c r="AAP14" s="6" t="s">
        <v>13</v>
      </c>
      <c r="AAQ14" s="6" t="s">
        <v>13</v>
      </c>
      <c r="AAR14" s="6" t="s">
        <v>19</v>
      </c>
      <c r="AAS14" s="6" t="s">
        <v>105</v>
      </c>
      <c r="AAT14" s="6" t="s">
        <v>13</v>
      </c>
      <c r="AAU14" s="6" t="s">
        <v>19</v>
      </c>
      <c r="AAV14" s="6" t="s">
        <v>19</v>
      </c>
      <c r="AAW14" s="6" t="s">
        <v>13</v>
      </c>
      <c r="AAX14" s="6" t="s">
        <v>19</v>
      </c>
      <c r="AAY14" s="6" t="s">
        <v>13</v>
      </c>
      <c r="AAZ14" s="6" t="s">
        <v>19</v>
      </c>
      <c r="ABA14" s="6" t="s">
        <v>13</v>
      </c>
      <c r="ABB14" s="6" t="s">
        <v>19</v>
      </c>
      <c r="ABC14" s="6" t="s">
        <v>19</v>
      </c>
      <c r="ABD14" s="6" t="s">
        <v>13</v>
      </c>
      <c r="ABE14" s="6" t="s">
        <v>13</v>
      </c>
      <c r="ABF14" s="6" t="s">
        <v>13</v>
      </c>
      <c r="ABG14" s="6" t="s">
        <v>13</v>
      </c>
      <c r="ABH14" s="6" t="s">
        <v>19</v>
      </c>
      <c r="ABI14" s="6" t="s">
        <v>19</v>
      </c>
      <c r="ABJ14" s="6" t="s">
        <v>19</v>
      </c>
      <c r="ABK14" s="6" t="s">
        <v>19</v>
      </c>
      <c r="ABL14" s="6" t="s">
        <v>13</v>
      </c>
      <c r="ABM14" s="6" t="s">
        <v>13</v>
      </c>
      <c r="ABN14" s="6" t="s">
        <v>19</v>
      </c>
      <c r="ABO14" s="6" t="s">
        <v>19</v>
      </c>
      <c r="ABP14" s="6" t="s">
        <v>13</v>
      </c>
      <c r="ABQ14" s="6" t="s">
        <v>13</v>
      </c>
      <c r="ABR14" s="6" t="s">
        <v>19</v>
      </c>
      <c r="ABS14" s="6" t="s">
        <v>19</v>
      </c>
      <c r="ABT14" s="6" t="s">
        <v>19</v>
      </c>
      <c r="ABU14" s="6" t="s">
        <v>19</v>
      </c>
      <c r="ABV14" s="6" t="s">
        <v>13</v>
      </c>
      <c r="ABW14" s="6" t="s">
        <v>13</v>
      </c>
      <c r="ABX14" s="6" t="s">
        <v>13</v>
      </c>
      <c r="ABY14" s="6" t="s">
        <v>13</v>
      </c>
      <c r="ABZ14" s="6" t="s">
        <v>19</v>
      </c>
      <c r="ACA14" s="6" t="s">
        <v>13</v>
      </c>
      <c r="ACB14" s="6" t="s">
        <v>13</v>
      </c>
      <c r="ACC14" s="6" t="s">
        <v>13</v>
      </c>
      <c r="ACD14" s="6" t="s">
        <v>13</v>
      </c>
      <c r="ACE14" s="6" t="s">
        <v>13</v>
      </c>
      <c r="ACF14" s="6" t="s">
        <v>13</v>
      </c>
      <c r="ACG14" s="6" t="s">
        <v>19</v>
      </c>
      <c r="ACH14" s="6" t="s">
        <v>13</v>
      </c>
      <c r="ACI14" s="6" t="s">
        <v>19</v>
      </c>
      <c r="ACJ14" s="6" t="s">
        <v>19</v>
      </c>
      <c r="ACK14" s="6" t="s">
        <v>13</v>
      </c>
      <c r="ACL14" s="6" t="s">
        <v>13</v>
      </c>
      <c r="ACM14" s="6" t="s">
        <v>19</v>
      </c>
      <c r="ACN14" s="6" t="s">
        <v>13</v>
      </c>
      <c r="ACO14" s="6" t="s">
        <v>19</v>
      </c>
      <c r="ACP14" s="6" t="s">
        <v>19</v>
      </c>
      <c r="ACQ14" s="6" t="s">
        <v>13</v>
      </c>
      <c r="ACR14" s="6" t="s">
        <v>19</v>
      </c>
      <c r="ACS14" s="6" t="s">
        <v>19</v>
      </c>
      <c r="ACT14" s="6" t="s">
        <v>13</v>
      </c>
      <c r="ACU14" s="6" t="s">
        <v>19</v>
      </c>
      <c r="ACV14" s="6" t="s">
        <v>19</v>
      </c>
      <c r="ACW14" s="6" t="s">
        <v>19</v>
      </c>
      <c r="ACX14" s="6" t="s">
        <v>13</v>
      </c>
      <c r="ACY14" s="6" t="s">
        <v>19</v>
      </c>
      <c r="ACZ14" s="6" t="s">
        <v>19</v>
      </c>
      <c r="ADA14" s="6" t="s">
        <v>19</v>
      </c>
      <c r="ADB14" s="6" t="s">
        <v>13</v>
      </c>
      <c r="ADC14" s="6" t="s">
        <v>19</v>
      </c>
      <c r="ADD14" s="6" t="s">
        <v>105</v>
      </c>
      <c r="ADE14" s="6" t="s">
        <v>13</v>
      </c>
      <c r="ADF14" s="6" t="s">
        <v>19</v>
      </c>
      <c r="ADG14" s="6" t="s">
        <v>13</v>
      </c>
      <c r="ADH14" s="6" t="s">
        <v>19</v>
      </c>
      <c r="ADI14" s="6" t="s">
        <v>19</v>
      </c>
      <c r="ADJ14" s="6" t="s">
        <v>13</v>
      </c>
      <c r="ADK14" s="6" t="s">
        <v>13</v>
      </c>
      <c r="ADL14" s="6" t="s">
        <v>13</v>
      </c>
      <c r="ADM14" s="6" t="s">
        <v>19</v>
      </c>
      <c r="ADN14" s="6" t="s">
        <v>19</v>
      </c>
      <c r="ADO14" s="6" t="s">
        <v>19</v>
      </c>
      <c r="ADP14" s="6" t="s">
        <v>19</v>
      </c>
      <c r="ADQ14" s="6" t="s">
        <v>13</v>
      </c>
      <c r="ADR14" s="6" t="s">
        <v>13</v>
      </c>
      <c r="ADS14" s="6" t="s">
        <v>13</v>
      </c>
      <c r="ADT14" s="6" t="s">
        <v>19</v>
      </c>
      <c r="ADU14" s="6" t="s">
        <v>105</v>
      </c>
      <c r="ADV14" s="6" t="s">
        <v>13</v>
      </c>
      <c r="ADW14" s="6" t="s">
        <v>19</v>
      </c>
      <c r="ADX14" s="6" t="s">
        <v>19</v>
      </c>
      <c r="ADY14" s="6" t="s">
        <v>13</v>
      </c>
      <c r="ADZ14" s="6" t="s">
        <v>19</v>
      </c>
      <c r="AEA14" s="6" t="s">
        <v>19</v>
      </c>
      <c r="AEB14" s="6" t="s">
        <v>13</v>
      </c>
      <c r="AEC14" s="6" t="s">
        <v>13</v>
      </c>
      <c r="AED14" s="6" t="s">
        <v>13</v>
      </c>
      <c r="AEE14" s="6" t="s">
        <v>13</v>
      </c>
      <c r="AEF14" s="6" t="s">
        <v>13</v>
      </c>
      <c r="AEG14" s="6" t="s">
        <v>13</v>
      </c>
      <c r="AEH14" s="6" t="s">
        <v>19</v>
      </c>
      <c r="AEI14" s="6" t="s">
        <v>19</v>
      </c>
      <c r="AEJ14" s="6" t="s">
        <v>19</v>
      </c>
      <c r="AEK14" s="6" t="s">
        <v>19</v>
      </c>
      <c r="AEL14" s="6" t="s">
        <v>13</v>
      </c>
      <c r="AEM14" s="6" t="s">
        <v>13</v>
      </c>
      <c r="AEN14" s="6" t="s">
        <v>19</v>
      </c>
      <c r="AEO14" s="6" t="s">
        <v>19</v>
      </c>
      <c r="AEP14" s="6" t="s">
        <v>13</v>
      </c>
      <c r="AEQ14" s="6" t="s">
        <v>19</v>
      </c>
      <c r="AER14" s="6" t="s">
        <v>19</v>
      </c>
      <c r="AES14" s="6" t="s">
        <v>19</v>
      </c>
      <c r="AET14" s="6" t="s">
        <v>19</v>
      </c>
      <c r="AEU14" s="6" t="s">
        <v>13</v>
      </c>
      <c r="AEV14" s="6" t="s">
        <v>13</v>
      </c>
      <c r="AEW14" s="6" t="s">
        <v>13</v>
      </c>
      <c r="AEX14" s="6" t="s">
        <v>19</v>
      </c>
      <c r="AEY14" s="6" t="s">
        <v>19</v>
      </c>
      <c r="AEZ14" s="6" t="s">
        <v>19</v>
      </c>
      <c r="AFA14" s="6" t="s">
        <v>19</v>
      </c>
      <c r="AFB14" s="6" t="s">
        <v>19</v>
      </c>
      <c r="AFC14" s="6" t="s">
        <v>13</v>
      </c>
      <c r="AFD14" s="6" t="s">
        <v>19</v>
      </c>
      <c r="AFE14" s="6" t="s">
        <v>19</v>
      </c>
      <c r="AFF14" s="6" t="s">
        <v>13</v>
      </c>
      <c r="AFG14" s="6" t="s">
        <v>13</v>
      </c>
      <c r="AFH14" s="6" t="s">
        <v>13</v>
      </c>
      <c r="AFI14" s="6" t="s">
        <v>19</v>
      </c>
      <c r="AFJ14" s="6" t="s">
        <v>19</v>
      </c>
      <c r="AFK14" s="6" t="s">
        <v>13</v>
      </c>
      <c r="AFL14" s="6" t="s">
        <v>13</v>
      </c>
      <c r="AFM14" s="6" t="s">
        <v>19</v>
      </c>
      <c r="AFN14" s="6" t="s">
        <v>13</v>
      </c>
      <c r="AFO14" s="6" t="s">
        <v>19</v>
      </c>
      <c r="AFP14" s="6" t="s">
        <v>13</v>
      </c>
      <c r="AFQ14" s="6" t="s">
        <v>19</v>
      </c>
      <c r="AFR14" s="6" t="s">
        <v>19</v>
      </c>
      <c r="AFS14" s="6" t="s">
        <v>13</v>
      </c>
      <c r="AFT14" s="6" t="s">
        <v>19</v>
      </c>
      <c r="AFU14" s="6" t="s">
        <v>19</v>
      </c>
      <c r="AFV14" s="6" t="s">
        <v>13</v>
      </c>
      <c r="AFW14" s="6" t="s">
        <v>19</v>
      </c>
      <c r="AFX14" s="6" t="s">
        <v>19</v>
      </c>
      <c r="AFY14" s="6" t="s">
        <v>19</v>
      </c>
      <c r="AFZ14" s="6" t="s">
        <v>13</v>
      </c>
      <c r="AGA14" s="6" t="s">
        <v>13</v>
      </c>
      <c r="AGB14" s="6" t="s">
        <v>13</v>
      </c>
      <c r="AGC14" s="6" t="s">
        <v>13</v>
      </c>
      <c r="AGD14" s="6" t="s">
        <v>13</v>
      </c>
      <c r="AGE14" s="6" t="s">
        <v>13</v>
      </c>
      <c r="AGF14" s="6" t="s">
        <v>13</v>
      </c>
      <c r="AGG14" s="6" t="s">
        <v>105</v>
      </c>
      <c r="AGH14" s="6" t="s">
        <v>13</v>
      </c>
      <c r="AGI14" s="6" t="s">
        <v>19</v>
      </c>
      <c r="AGJ14" s="6" t="s">
        <v>13</v>
      </c>
      <c r="AGK14" s="6" t="s">
        <v>13</v>
      </c>
      <c r="AGL14" s="6" t="s">
        <v>105</v>
      </c>
      <c r="AGM14" s="6" t="s">
        <v>13</v>
      </c>
      <c r="AGN14" s="6" t="s">
        <v>13</v>
      </c>
      <c r="AGO14" s="6" t="s">
        <v>13</v>
      </c>
      <c r="AGP14" s="6" t="s">
        <v>13</v>
      </c>
      <c r="AGQ14" s="6" t="s">
        <v>19</v>
      </c>
      <c r="AGR14" s="6" t="s">
        <v>19</v>
      </c>
      <c r="AGS14" s="6" t="s">
        <v>13</v>
      </c>
      <c r="AGT14" s="6" t="s">
        <v>13</v>
      </c>
      <c r="AGU14" s="6" t="s">
        <v>19</v>
      </c>
      <c r="AGV14" s="6" t="s">
        <v>13</v>
      </c>
      <c r="AGW14" s="6" t="s">
        <v>19</v>
      </c>
      <c r="AGX14" s="6" t="s">
        <v>19</v>
      </c>
      <c r="AGY14" s="6" t="s">
        <v>13</v>
      </c>
      <c r="AGZ14" s="6" t="s">
        <v>13</v>
      </c>
      <c r="AHA14" s="6" t="s">
        <v>19</v>
      </c>
      <c r="AHB14" s="6" t="s">
        <v>13</v>
      </c>
      <c r="AHC14" s="6" t="s">
        <v>19</v>
      </c>
      <c r="AHD14" s="6" t="s">
        <v>13</v>
      </c>
      <c r="AHE14" s="6" t="s">
        <v>19</v>
      </c>
      <c r="AHF14" s="6" t="s">
        <v>19</v>
      </c>
      <c r="AHG14" s="6" t="s">
        <v>19</v>
      </c>
      <c r="AHH14" s="6" t="s">
        <v>13</v>
      </c>
      <c r="AHI14" s="6" t="s">
        <v>19</v>
      </c>
      <c r="AHJ14" s="6" t="s">
        <v>19</v>
      </c>
      <c r="AHK14" s="6" t="s">
        <v>13</v>
      </c>
      <c r="AHL14" s="6" t="s">
        <v>19</v>
      </c>
      <c r="AHM14" s="6" t="s">
        <v>13</v>
      </c>
      <c r="AHN14" s="6" t="s">
        <v>19</v>
      </c>
      <c r="AHO14" s="6" t="s">
        <v>13</v>
      </c>
      <c r="AHP14" s="6" t="s">
        <v>13</v>
      </c>
      <c r="AHQ14" s="6" t="s">
        <v>13</v>
      </c>
      <c r="AHR14" s="6" t="s">
        <v>19</v>
      </c>
      <c r="AHS14" s="6" t="s">
        <v>19</v>
      </c>
      <c r="AHT14" s="6" t="s">
        <v>13</v>
      </c>
      <c r="AHU14" s="6" t="s">
        <v>13</v>
      </c>
      <c r="AHV14" s="6" t="s">
        <v>19</v>
      </c>
      <c r="AHW14" s="6" t="s">
        <v>19</v>
      </c>
      <c r="AHX14" s="6" t="s">
        <v>13</v>
      </c>
      <c r="AHY14" s="6" t="s">
        <v>19</v>
      </c>
      <c r="AHZ14" s="6" t="s">
        <v>105</v>
      </c>
      <c r="AIA14" s="6" t="s">
        <v>19</v>
      </c>
      <c r="AIB14" s="6" t="s">
        <v>19</v>
      </c>
      <c r="AIC14" s="6" t="s">
        <v>13</v>
      </c>
      <c r="AID14" s="6" t="s">
        <v>13</v>
      </c>
      <c r="AIE14" s="6" t="s">
        <v>13</v>
      </c>
      <c r="AIF14" s="6" t="s">
        <v>13</v>
      </c>
      <c r="AIG14" s="6" t="s">
        <v>13</v>
      </c>
      <c r="AIH14" s="6" t="s">
        <v>105</v>
      </c>
      <c r="AII14" s="6" t="s">
        <v>13</v>
      </c>
      <c r="AIJ14" s="6" t="s">
        <v>13</v>
      </c>
      <c r="AIK14" s="6" t="s">
        <v>19</v>
      </c>
      <c r="AIL14" s="6" t="s">
        <v>19</v>
      </c>
      <c r="AIM14" s="6" t="s">
        <v>19</v>
      </c>
      <c r="AIN14" s="6" t="s">
        <v>13</v>
      </c>
      <c r="AIO14" s="6" t="s">
        <v>19</v>
      </c>
      <c r="AIP14" s="6" t="s">
        <v>13</v>
      </c>
      <c r="AIQ14" s="6" t="s">
        <v>19</v>
      </c>
      <c r="AIR14" s="6" t="s">
        <v>13</v>
      </c>
      <c r="AIS14" s="6" t="s">
        <v>19</v>
      </c>
      <c r="AIT14" s="6" t="s">
        <v>19</v>
      </c>
      <c r="AIU14" s="6" t="s">
        <v>13</v>
      </c>
      <c r="AIV14" s="6" t="s">
        <v>13</v>
      </c>
      <c r="AIW14" s="6" t="s">
        <v>19</v>
      </c>
      <c r="AIX14" s="6" t="s">
        <v>13</v>
      </c>
      <c r="AIY14" s="6" t="s">
        <v>13</v>
      </c>
      <c r="AIZ14" s="6" t="s">
        <v>13</v>
      </c>
      <c r="AJA14" s="6" t="s">
        <v>13</v>
      </c>
      <c r="AJB14" s="6" t="s">
        <v>13</v>
      </c>
      <c r="AJC14" s="6" t="s">
        <v>19</v>
      </c>
      <c r="AJD14" s="6" t="s">
        <v>13</v>
      </c>
      <c r="AJE14" s="6" t="s">
        <v>19</v>
      </c>
      <c r="AJF14" s="6" t="s">
        <v>13</v>
      </c>
      <c r="AJG14" s="6" t="s">
        <v>19</v>
      </c>
      <c r="AJH14" s="6" t="s">
        <v>13</v>
      </c>
      <c r="AJI14" s="6" t="s">
        <v>13</v>
      </c>
      <c r="AJJ14" s="6" t="s">
        <v>13</v>
      </c>
      <c r="AJK14" s="6" t="s">
        <v>19</v>
      </c>
      <c r="AJL14" s="6" t="s">
        <v>19</v>
      </c>
      <c r="AJM14" s="6" t="s">
        <v>13</v>
      </c>
      <c r="AJN14" s="6" t="s">
        <v>19</v>
      </c>
      <c r="AJO14" s="6" t="s">
        <v>19</v>
      </c>
      <c r="AJP14" s="6" t="s">
        <v>13</v>
      </c>
      <c r="AJQ14" s="6" t="s">
        <v>13</v>
      </c>
      <c r="AJR14" s="6" t="s">
        <v>13</v>
      </c>
      <c r="AJS14" s="6" t="s">
        <v>19</v>
      </c>
      <c r="AJT14" s="6" t="s">
        <v>13</v>
      </c>
      <c r="AJU14" s="6" t="s">
        <v>13</v>
      </c>
      <c r="AJV14" s="6" t="s">
        <v>19</v>
      </c>
      <c r="AJW14" s="6" t="s">
        <v>13</v>
      </c>
      <c r="AJX14" s="6" t="s">
        <v>19</v>
      </c>
      <c r="AJY14" s="6" t="s">
        <v>19</v>
      </c>
      <c r="AJZ14" s="6" t="s">
        <v>19</v>
      </c>
      <c r="AKA14" s="6" t="s">
        <v>13</v>
      </c>
      <c r="AKB14" s="6" t="s">
        <v>13</v>
      </c>
      <c r="AKC14" s="6" t="s">
        <v>13</v>
      </c>
      <c r="AKD14" s="6" t="s">
        <v>19</v>
      </c>
      <c r="AKE14" s="6" t="s">
        <v>19</v>
      </c>
      <c r="AKF14" s="6" t="s">
        <v>19</v>
      </c>
      <c r="AKG14" s="6" t="s">
        <v>19</v>
      </c>
      <c r="AKH14" s="6" t="s">
        <v>19</v>
      </c>
      <c r="AKI14" s="6" t="s">
        <v>19</v>
      </c>
      <c r="AKJ14" s="6" t="s">
        <v>13</v>
      </c>
      <c r="AKK14" s="6" t="s">
        <v>13</v>
      </c>
      <c r="AKL14" s="6" t="s">
        <v>19</v>
      </c>
      <c r="AKM14" s="6" t="s">
        <v>13</v>
      </c>
      <c r="AKN14" s="6" t="s">
        <v>13</v>
      </c>
      <c r="AKO14" s="6" t="s">
        <v>13</v>
      </c>
      <c r="AKP14" s="6" t="s">
        <v>19</v>
      </c>
      <c r="AKQ14" s="6" t="s">
        <v>13</v>
      </c>
      <c r="AKR14" s="6" t="s">
        <v>13</v>
      </c>
      <c r="AKS14" s="6" t="s">
        <v>13</v>
      </c>
      <c r="AKT14" s="6" t="s">
        <v>13</v>
      </c>
      <c r="AKU14" s="6" t="s">
        <v>13</v>
      </c>
      <c r="AKV14" s="6" t="s">
        <v>105</v>
      </c>
      <c r="AKW14" s="6" t="s">
        <v>13</v>
      </c>
      <c r="AKX14" s="6" t="s">
        <v>13</v>
      </c>
      <c r="AKY14" s="6" t="s">
        <v>13</v>
      </c>
      <c r="AKZ14" s="6" t="s">
        <v>13</v>
      </c>
      <c r="ALA14" s="6" t="s">
        <v>13</v>
      </c>
      <c r="ALB14" s="6" t="s">
        <v>19</v>
      </c>
      <c r="ALC14" s="6" t="s">
        <v>13</v>
      </c>
      <c r="ALD14" s="6" t="s">
        <v>19</v>
      </c>
      <c r="ALE14" s="6" t="s">
        <v>13</v>
      </c>
      <c r="ALF14" s="6" t="s">
        <v>19</v>
      </c>
      <c r="ALG14" s="6" t="s">
        <v>19</v>
      </c>
      <c r="ALH14" s="6" t="s">
        <v>13</v>
      </c>
      <c r="ALI14" s="6" t="s">
        <v>19</v>
      </c>
      <c r="ALJ14" s="6" t="s">
        <v>19</v>
      </c>
      <c r="ALK14" s="6" t="s">
        <v>19</v>
      </c>
      <c r="ALL14" s="6" t="s">
        <v>19</v>
      </c>
      <c r="ALM14" s="6" t="s">
        <v>13</v>
      </c>
      <c r="ALN14" s="6" t="s">
        <v>19</v>
      </c>
      <c r="ALO14" s="6" t="s">
        <v>19</v>
      </c>
      <c r="ALP14" s="6" t="s">
        <v>19</v>
      </c>
      <c r="ALQ14" s="6" t="s">
        <v>13</v>
      </c>
      <c r="ALR14" s="6" t="s">
        <v>13</v>
      </c>
      <c r="ALS14" s="6" t="s">
        <v>13</v>
      </c>
      <c r="ALT14" s="6" t="s">
        <v>19</v>
      </c>
      <c r="ALU14" s="6" t="s">
        <v>19</v>
      </c>
      <c r="ALV14" s="6" t="s">
        <v>19</v>
      </c>
      <c r="ALW14" s="6" t="s">
        <v>13</v>
      </c>
      <c r="ALX14" s="6" t="s">
        <v>19</v>
      </c>
    </row>
    <row r="15" spans="1:1012" x14ac:dyDescent="0.3">
      <c r="A15" s="6" t="s">
        <v>50</v>
      </c>
      <c r="B15" s="6" t="s">
        <v>31</v>
      </c>
      <c r="C15" s="7">
        <v>37</v>
      </c>
      <c r="D15" s="5" t="s">
        <v>12</v>
      </c>
      <c r="E15" s="6" t="s">
        <v>13</v>
      </c>
      <c r="F15" s="6" t="s">
        <v>33</v>
      </c>
      <c r="G15" s="5">
        <v>31</v>
      </c>
      <c r="H15" s="8">
        <v>44344</v>
      </c>
      <c r="I15" s="6" t="s">
        <v>39</v>
      </c>
      <c r="J15" s="6" t="s">
        <v>27</v>
      </c>
      <c r="L15" s="14" t="s">
        <v>5</v>
      </c>
      <c r="M15" s="6" t="s">
        <v>14</v>
      </c>
      <c r="N15" s="6" t="s">
        <v>20</v>
      </c>
      <c r="O15" s="6" t="s">
        <v>25</v>
      </c>
      <c r="P15" s="6" t="s">
        <v>20</v>
      </c>
      <c r="Q15" s="6" t="s">
        <v>33</v>
      </c>
      <c r="R15" s="6" t="s">
        <v>36</v>
      </c>
      <c r="S15" s="6" t="s">
        <v>38</v>
      </c>
      <c r="T15" s="6" t="s">
        <v>14</v>
      </c>
      <c r="U15" s="6" t="s">
        <v>20</v>
      </c>
      <c r="V15" s="6" t="s">
        <v>20</v>
      </c>
      <c r="W15" s="6" t="s">
        <v>33</v>
      </c>
      <c r="X15" s="6" t="s">
        <v>38</v>
      </c>
      <c r="Y15" s="6" t="s">
        <v>36</v>
      </c>
      <c r="Z15" s="6" t="s">
        <v>33</v>
      </c>
      <c r="AA15" s="6" t="s">
        <v>20</v>
      </c>
      <c r="AB15" s="6" t="s">
        <v>36</v>
      </c>
      <c r="AC15" s="6" t="s">
        <v>54</v>
      </c>
      <c r="AD15" s="6" t="s">
        <v>56</v>
      </c>
      <c r="AE15" s="6" t="s">
        <v>56</v>
      </c>
      <c r="AF15" s="6" t="s">
        <v>54</v>
      </c>
      <c r="AG15" s="6" t="s">
        <v>14</v>
      </c>
      <c r="AH15" s="6" t="s">
        <v>56</v>
      </c>
      <c r="AI15" s="6" t="s">
        <v>64</v>
      </c>
      <c r="AJ15" s="6" t="s">
        <v>20</v>
      </c>
      <c r="AK15" s="6" t="s">
        <v>64</v>
      </c>
      <c r="AL15" s="6" t="s">
        <v>14</v>
      </c>
      <c r="AM15" s="6" t="s">
        <v>20</v>
      </c>
      <c r="AN15" s="6" t="s">
        <v>20</v>
      </c>
      <c r="AO15" s="6" t="s">
        <v>20</v>
      </c>
      <c r="AP15" s="6" t="s">
        <v>20</v>
      </c>
      <c r="AQ15" s="6" t="s">
        <v>25</v>
      </c>
      <c r="AR15" s="6" t="s">
        <v>36</v>
      </c>
      <c r="AS15" s="6" t="s">
        <v>36</v>
      </c>
      <c r="AT15" s="6" t="s">
        <v>20</v>
      </c>
      <c r="AU15" s="6" t="s">
        <v>64</v>
      </c>
      <c r="AV15" s="6" t="s">
        <v>64</v>
      </c>
      <c r="AW15" s="6" t="s">
        <v>14</v>
      </c>
      <c r="AX15" s="6" t="s">
        <v>54</v>
      </c>
      <c r="AY15" s="6" t="s">
        <v>64</v>
      </c>
      <c r="AZ15" s="6" t="s">
        <v>56</v>
      </c>
      <c r="BA15" s="6" t="s">
        <v>33</v>
      </c>
      <c r="BB15" s="6" t="s">
        <v>25</v>
      </c>
      <c r="BC15" s="6" t="s">
        <v>33</v>
      </c>
      <c r="BD15" s="6" t="s">
        <v>33</v>
      </c>
      <c r="BE15" s="6" t="s">
        <v>88</v>
      </c>
      <c r="BF15" s="6" t="s">
        <v>36</v>
      </c>
      <c r="BG15" s="6" t="s">
        <v>88</v>
      </c>
      <c r="BH15" s="6" t="s">
        <v>25</v>
      </c>
      <c r="BI15" s="6" t="s">
        <v>14</v>
      </c>
      <c r="BJ15" s="6" t="s">
        <v>38</v>
      </c>
      <c r="BK15" s="6" t="s">
        <v>25</v>
      </c>
      <c r="BL15" s="6" t="s">
        <v>36</v>
      </c>
      <c r="BM15" s="6" t="s">
        <v>36</v>
      </c>
      <c r="BN15" s="6" t="s">
        <v>33</v>
      </c>
      <c r="BO15" s="6" t="s">
        <v>33</v>
      </c>
      <c r="BP15" s="6" t="s">
        <v>36</v>
      </c>
      <c r="BQ15" s="6" t="s">
        <v>25</v>
      </c>
      <c r="BR15" s="6" t="s">
        <v>20</v>
      </c>
      <c r="BS15" s="6" t="s">
        <v>54</v>
      </c>
      <c r="BT15" s="6" t="s">
        <v>88</v>
      </c>
      <c r="BU15" s="6" t="s">
        <v>38</v>
      </c>
      <c r="BV15" s="6" t="s">
        <v>88</v>
      </c>
      <c r="BW15" s="6" t="s">
        <v>36</v>
      </c>
      <c r="BX15" s="6" t="s">
        <v>64</v>
      </c>
      <c r="BY15" s="6" t="s">
        <v>14</v>
      </c>
      <c r="BZ15" s="6" t="s">
        <v>88</v>
      </c>
      <c r="CA15" s="6" t="s">
        <v>36</v>
      </c>
      <c r="CB15" s="6" t="s">
        <v>36</v>
      </c>
      <c r="CC15" s="6" t="s">
        <v>14</v>
      </c>
      <c r="CD15" s="6" t="s">
        <v>64</v>
      </c>
      <c r="CE15" s="6" t="s">
        <v>56</v>
      </c>
      <c r="CF15" s="6" t="s">
        <v>88</v>
      </c>
      <c r="CG15" s="6" t="s">
        <v>25</v>
      </c>
      <c r="CH15" s="6" t="s">
        <v>38</v>
      </c>
      <c r="CI15" s="6" t="s">
        <v>36</v>
      </c>
      <c r="CJ15" s="6" t="s">
        <v>38</v>
      </c>
      <c r="CK15" s="6" t="s">
        <v>36</v>
      </c>
      <c r="CL15" s="6" t="s">
        <v>64</v>
      </c>
      <c r="CM15" s="6" t="s">
        <v>20</v>
      </c>
      <c r="CN15" s="6" t="s">
        <v>54</v>
      </c>
      <c r="CO15" s="6" t="s">
        <v>88</v>
      </c>
      <c r="CP15" s="6" t="s">
        <v>64</v>
      </c>
      <c r="CQ15" s="6" t="s">
        <v>56</v>
      </c>
      <c r="CR15" s="6" t="s">
        <v>56</v>
      </c>
      <c r="CS15" s="6" t="s">
        <v>64</v>
      </c>
      <c r="CT15" s="6" t="s">
        <v>54</v>
      </c>
      <c r="CU15" s="6" t="s">
        <v>88</v>
      </c>
      <c r="CV15" s="6" t="s">
        <v>38</v>
      </c>
      <c r="CW15" s="6" t="s">
        <v>38</v>
      </c>
      <c r="CX15" s="6" t="s">
        <v>56</v>
      </c>
      <c r="CY15" s="6" t="s">
        <v>64</v>
      </c>
      <c r="CZ15" s="6" t="s">
        <v>20</v>
      </c>
      <c r="DA15" s="6" t="s">
        <v>54</v>
      </c>
      <c r="DB15" s="6" t="s">
        <v>36</v>
      </c>
      <c r="DC15" s="6" t="s">
        <v>54</v>
      </c>
      <c r="DD15" s="6" t="s">
        <v>33</v>
      </c>
      <c r="DE15" s="6" t="s">
        <v>38</v>
      </c>
      <c r="DF15" s="6" t="s">
        <v>33</v>
      </c>
      <c r="DG15" s="6" t="s">
        <v>33</v>
      </c>
      <c r="DH15" s="6" t="s">
        <v>33</v>
      </c>
      <c r="DI15" s="6" t="s">
        <v>56</v>
      </c>
      <c r="DJ15" s="6" t="s">
        <v>25</v>
      </c>
      <c r="DK15" s="6" t="s">
        <v>56</v>
      </c>
      <c r="DL15" s="6" t="s">
        <v>64</v>
      </c>
      <c r="DM15" s="6" t="s">
        <v>56</v>
      </c>
      <c r="DN15" s="6" t="s">
        <v>38</v>
      </c>
      <c r="DO15" s="6" t="s">
        <v>20</v>
      </c>
      <c r="DP15" s="6" t="s">
        <v>54</v>
      </c>
      <c r="DQ15" s="6" t="s">
        <v>54</v>
      </c>
      <c r="DR15" s="6" t="s">
        <v>38</v>
      </c>
      <c r="DS15" s="6" t="s">
        <v>33</v>
      </c>
      <c r="DT15" s="6" t="s">
        <v>14</v>
      </c>
      <c r="DU15" s="6" t="s">
        <v>88</v>
      </c>
      <c r="DV15" s="6" t="s">
        <v>14</v>
      </c>
      <c r="DW15" s="6" t="s">
        <v>56</v>
      </c>
      <c r="DX15" s="6" t="s">
        <v>54</v>
      </c>
      <c r="DY15" s="6" t="s">
        <v>88</v>
      </c>
      <c r="DZ15" s="6" t="s">
        <v>64</v>
      </c>
      <c r="EA15" s="6" t="s">
        <v>56</v>
      </c>
      <c r="EB15" s="6" t="s">
        <v>88</v>
      </c>
      <c r="EC15" s="6" t="s">
        <v>64</v>
      </c>
      <c r="ED15" s="6" t="s">
        <v>88</v>
      </c>
      <c r="EE15" s="6" t="s">
        <v>36</v>
      </c>
      <c r="EF15" s="6" t="s">
        <v>14</v>
      </c>
      <c r="EG15" s="6" t="s">
        <v>14</v>
      </c>
      <c r="EH15" s="6" t="s">
        <v>14</v>
      </c>
      <c r="EI15" s="6" t="s">
        <v>38</v>
      </c>
      <c r="EJ15" s="6" t="s">
        <v>14</v>
      </c>
      <c r="EK15" s="6" t="s">
        <v>64</v>
      </c>
      <c r="EL15" s="6" t="s">
        <v>36</v>
      </c>
      <c r="EM15" s="6" t="s">
        <v>88</v>
      </c>
      <c r="EN15" s="6" t="s">
        <v>56</v>
      </c>
      <c r="EO15" s="6" t="s">
        <v>14</v>
      </c>
      <c r="EP15" s="6" t="s">
        <v>88</v>
      </c>
      <c r="EQ15" s="6" t="s">
        <v>20</v>
      </c>
      <c r="ER15" s="6" t="s">
        <v>25</v>
      </c>
      <c r="ES15" s="6" t="s">
        <v>64</v>
      </c>
      <c r="ET15" s="6" t="s">
        <v>20</v>
      </c>
      <c r="EU15" s="6" t="s">
        <v>38</v>
      </c>
      <c r="EV15" s="6" t="s">
        <v>20</v>
      </c>
      <c r="EW15" s="6" t="s">
        <v>54</v>
      </c>
      <c r="EX15" s="6" t="s">
        <v>33</v>
      </c>
      <c r="EY15" s="6" t="s">
        <v>54</v>
      </c>
      <c r="EZ15" s="6" t="s">
        <v>88</v>
      </c>
      <c r="FA15" s="6" t="s">
        <v>88</v>
      </c>
      <c r="FB15" s="6" t="s">
        <v>36</v>
      </c>
      <c r="FC15" s="6" t="s">
        <v>20</v>
      </c>
      <c r="FD15" s="6" t="s">
        <v>54</v>
      </c>
      <c r="FE15" s="6" t="s">
        <v>56</v>
      </c>
      <c r="FF15" s="6" t="s">
        <v>54</v>
      </c>
      <c r="FG15" s="6" t="s">
        <v>38</v>
      </c>
      <c r="FH15" s="6" t="s">
        <v>33</v>
      </c>
      <c r="FI15" s="6" t="s">
        <v>20</v>
      </c>
      <c r="FJ15" s="6" t="s">
        <v>38</v>
      </c>
      <c r="FK15" s="6" t="s">
        <v>20</v>
      </c>
      <c r="FL15" s="6" t="s">
        <v>64</v>
      </c>
      <c r="FM15" s="6" t="s">
        <v>33</v>
      </c>
      <c r="FN15" s="6" t="s">
        <v>36</v>
      </c>
      <c r="FO15" s="6" t="s">
        <v>88</v>
      </c>
      <c r="FP15" s="6" t="s">
        <v>14</v>
      </c>
      <c r="FQ15" s="6" t="s">
        <v>20</v>
      </c>
      <c r="FR15" s="6" t="s">
        <v>88</v>
      </c>
      <c r="FS15" s="6" t="s">
        <v>54</v>
      </c>
      <c r="FT15" s="6" t="s">
        <v>88</v>
      </c>
      <c r="FU15" s="6" t="s">
        <v>54</v>
      </c>
      <c r="FV15" s="6" t="s">
        <v>38</v>
      </c>
      <c r="FW15" s="6" t="s">
        <v>88</v>
      </c>
      <c r="FX15" s="6" t="s">
        <v>38</v>
      </c>
      <c r="FY15" s="6" t="s">
        <v>38</v>
      </c>
      <c r="FZ15" s="6" t="s">
        <v>54</v>
      </c>
      <c r="GA15" s="6" t="s">
        <v>64</v>
      </c>
      <c r="GB15" s="6" t="s">
        <v>36</v>
      </c>
      <c r="GC15" s="6" t="s">
        <v>20</v>
      </c>
      <c r="GD15" s="6" t="s">
        <v>64</v>
      </c>
      <c r="GE15" s="6" t="s">
        <v>38</v>
      </c>
      <c r="GF15" s="6" t="s">
        <v>14</v>
      </c>
      <c r="GG15" s="6" t="s">
        <v>38</v>
      </c>
      <c r="GH15" s="6" t="s">
        <v>36</v>
      </c>
      <c r="GI15" s="6" t="s">
        <v>54</v>
      </c>
      <c r="GJ15" s="6" t="s">
        <v>38</v>
      </c>
      <c r="GK15" s="6" t="s">
        <v>64</v>
      </c>
      <c r="GL15" s="6" t="s">
        <v>20</v>
      </c>
      <c r="GM15" s="6" t="s">
        <v>14</v>
      </c>
      <c r="GN15" s="6" t="s">
        <v>20</v>
      </c>
      <c r="GO15" s="6" t="s">
        <v>36</v>
      </c>
      <c r="GP15" s="6" t="s">
        <v>33</v>
      </c>
      <c r="GQ15" s="6" t="s">
        <v>64</v>
      </c>
      <c r="GR15" s="6" t="s">
        <v>33</v>
      </c>
      <c r="GS15" s="6" t="s">
        <v>38</v>
      </c>
      <c r="GT15" s="6" t="s">
        <v>25</v>
      </c>
      <c r="GU15" s="6" t="s">
        <v>88</v>
      </c>
      <c r="GV15" s="6" t="s">
        <v>36</v>
      </c>
      <c r="GW15" s="6" t="s">
        <v>54</v>
      </c>
      <c r="GX15" s="6" t="s">
        <v>25</v>
      </c>
      <c r="GY15" s="6" t="s">
        <v>25</v>
      </c>
      <c r="GZ15" s="6" t="s">
        <v>38</v>
      </c>
      <c r="HA15" s="6" t="s">
        <v>88</v>
      </c>
      <c r="HB15" s="6" t="s">
        <v>33</v>
      </c>
      <c r="HC15" s="6" t="s">
        <v>88</v>
      </c>
      <c r="HD15" s="6" t="s">
        <v>36</v>
      </c>
      <c r="HE15" s="6" t="s">
        <v>36</v>
      </c>
      <c r="HF15" s="6" t="s">
        <v>36</v>
      </c>
      <c r="HG15" s="6" t="s">
        <v>54</v>
      </c>
      <c r="HH15" s="6" t="s">
        <v>54</v>
      </c>
      <c r="HI15" s="6" t="s">
        <v>36</v>
      </c>
      <c r="HJ15" s="6" t="s">
        <v>56</v>
      </c>
      <c r="HK15" s="6" t="s">
        <v>54</v>
      </c>
      <c r="HL15" s="6" t="s">
        <v>14</v>
      </c>
      <c r="HM15" s="6" t="s">
        <v>38</v>
      </c>
      <c r="HN15" s="6" t="s">
        <v>38</v>
      </c>
      <c r="HO15" s="6" t="s">
        <v>20</v>
      </c>
      <c r="HP15" s="6" t="s">
        <v>88</v>
      </c>
      <c r="HQ15" s="6" t="s">
        <v>14</v>
      </c>
      <c r="HR15" s="6" t="s">
        <v>14</v>
      </c>
      <c r="HS15" s="6" t="s">
        <v>36</v>
      </c>
      <c r="HT15" s="6" t="s">
        <v>64</v>
      </c>
      <c r="HU15" s="6" t="s">
        <v>88</v>
      </c>
      <c r="HV15" s="6" t="s">
        <v>88</v>
      </c>
      <c r="HW15" s="6" t="s">
        <v>38</v>
      </c>
      <c r="HX15" s="6" t="s">
        <v>36</v>
      </c>
      <c r="HY15" s="6" t="s">
        <v>56</v>
      </c>
      <c r="HZ15" s="6" t="s">
        <v>38</v>
      </c>
      <c r="IA15" s="6" t="s">
        <v>33</v>
      </c>
      <c r="IB15" s="6" t="s">
        <v>38</v>
      </c>
      <c r="IC15" s="6" t="s">
        <v>64</v>
      </c>
      <c r="ID15" s="6" t="s">
        <v>54</v>
      </c>
      <c r="IE15" s="6" t="s">
        <v>33</v>
      </c>
      <c r="IF15" s="6" t="s">
        <v>14</v>
      </c>
      <c r="IG15" s="6" t="s">
        <v>14</v>
      </c>
      <c r="IH15" s="6" t="s">
        <v>14</v>
      </c>
      <c r="II15" s="6" t="s">
        <v>56</v>
      </c>
      <c r="IJ15" s="6" t="s">
        <v>33</v>
      </c>
      <c r="IK15" s="6" t="s">
        <v>38</v>
      </c>
      <c r="IL15" s="6" t="s">
        <v>64</v>
      </c>
      <c r="IM15" s="6" t="s">
        <v>20</v>
      </c>
      <c r="IN15" s="6" t="s">
        <v>54</v>
      </c>
      <c r="IO15" s="6" t="s">
        <v>25</v>
      </c>
      <c r="IP15" s="6" t="s">
        <v>54</v>
      </c>
      <c r="IQ15" s="6" t="s">
        <v>88</v>
      </c>
      <c r="IR15" s="6" t="s">
        <v>38</v>
      </c>
      <c r="IS15" s="6" t="s">
        <v>14</v>
      </c>
      <c r="IT15" s="6" t="s">
        <v>56</v>
      </c>
      <c r="IU15" s="6" t="s">
        <v>54</v>
      </c>
      <c r="IV15" s="6" t="s">
        <v>36</v>
      </c>
      <c r="IW15" s="6" t="s">
        <v>88</v>
      </c>
      <c r="IX15" s="6" t="s">
        <v>36</v>
      </c>
      <c r="IY15" s="6" t="s">
        <v>36</v>
      </c>
      <c r="IZ15" s="6" t="s">
        <v>33</v>
      </c>
      <c r="JA15" s="6" t="s">
        <v>20</v>
      </c>
      <c r="JB15" s="6" t="s">
        <v>20</v>
      </c>
      <c r="JC15" s="6" t="s">
        <v>36</v>
      </c>
      <c r="JD15" s="6" t="s">
        <v>54</v>
      </c>
      <c r="JE15" s="6" t="s">
        <v>64</v>
      </c>
      <c r="JF15" s="6" t="s">
        <v>54</v>
      </c>
      <c r="JG15" s="6" t="s">
        <v>25</v>
      </c>
      <c r="JH15" s="6" t="s">
        <v>56</v>
      </c>
      <c r="JI15" s="6" t="s">
        <v>64</v>
      </c>
      <c r="JJ15" s="6" t="s">
        <v>56</v>
      </c>
      <c r="JK15" s="6" t="s">
        <v>33</v>
      </c>
      <c r="JL15" s="6" t="s">
        <v>88</v>
      </c>
      <c r="JM15" s="6" t="s">
        <v>56</v>
      </c>
      <c r="JN15" s="6" t="s">
        <v>20</v>
      </c>
      <c r="JO15" s="6" t="s">
        <v>20</v>
      </c>
      <c r="JP15" s="6" t="s">
        <v>33</v>
      </c>
      <c r="JQ15" s="6" t="s">
        <v>14</v>
      </c>
      <c r="JR15" s="6" t="s">
        <v>14</v>
      </c>
      <c r="JS15" s="6" t="s">
        <v>54</v>
      </c>
      <c r="JT15" s="6" t="s">
        <v>64</v>
      </c>
      <c r="JU15" s="6" t="s">
        <v>33</v>
      </c>
      <c r="JV15" s="6" t="s">
        <v>88</v>
      </c>
      <c r="JW15" s="6" t="s">
        <v>54</v>
      </c>
      <c r="JX15" s="6" t="s">
        <v>38</v>
      </c>
      <c r="JY15" s="6" t="s">
        <v>54</v>
      </c>
      <c r="JZ15" s="6" t="s">
        <v>54</v>
      </c>
      <c r="KA15" s="6" t="s">
        <v>20</v>
      </c>
      <c r="KB15" s="6" t="s">
        <v>88</v>
      </c>
      <c r="KC15" s="6" t="s">
        <v>88</v>
      </c>
      <c r="KD15" s="6" t="s">
        <v>38</v>
      </c>
      <c r="KE15" s="6" t="s">
        <v>54</v>
      </c>
      <c r="KF15" s="6" t="s">
        <v>64</v>
      </c>
      <c r="KG15" s="6" t="s">
        <v>25</v>
      </c>
      <c r="KH15" s="6" t="s">
        <v>54</v>
      </c>
      <c r="KI15" s="6" t="s">
        <v>56</v>
      </c>
      <c r="KJ15" s="6" t="s">
        <v>38</v>
      </c>
      <c r="KK15" s="6" t="s">
        <v>64</v>
      </c>
      <c r="KL15" s="6" t="s">
        <v>38</v>
      </c>
      <c r="KM15" s="6" t="s">
        <v>54</v>
      </c>
      <c r="KN15" s="6" t="s">
        <v>54</v>
      </c>
      <c r="KO15" s="6" t="s">
        <v>25</v>
      </c>
      <c r="KP15" s="6" t="s">
        <v>56</v>
      </c>
      <c r="KQ15" s="6" t="s">
        <v>14</v>
      </c>
      <c r="KR15" s="6" t="s">
        <v>38</v>
      </c>
      <c r="KS15" s="6" t="s">
        <v>56</v>
      </c>
      <c r="KT15" s="6" t="s">
        <v>20</v>
      </c>
      <c r="KU15" s="6" t="s">
        <v>88</v>
      </c>
      <c r="KV15" s="6" t="s">
        <v>36</v>
      </c>
      <c r="KW15" s="6" t="s">
        <v>56</v>
      </c>
      <c r="KX15" s="6" t="s">
        <v>54</v>
      </c>
      <c r="KY15" s="6" t="s">
        <v>64</v>
      </c>
      <c r="KZ15" s="6" t="s">
        <v>38</v>
      </c>
      <c r="LA15" s="6" t="s">
        <v>14</v>
      </c>
      <c r="LB15" s="6" t="s">
        <v>64</v>
      </c>
      <c r="LC15" s="6" t="s">
        <v>36</v>
      </c>
      <c r="LD15" s="6" t="s">
        <v>64</v>
      </c>
      <c r="LE15" s="6" t="s">
        <v>56</v>
      </c>
      <c r="LF15" s="6" t="s">
        <v>33</v>
      </c>
      <c r="LG15" s="6" t="s">
        <v>14</v>
      </c>
      <c r="LH15" s="6" t="s">
        <v>64</v>
      </c>
      <c r="LI15" s="6" t="s">
        <v>33</v>
      </c>
      <c r="LJ15" s="6" t="s">
        <v>25</v>
      </c>
      <c r="LK15" s="6" t="s">
        <v>25</v>
      </c>
      <c r="LL15" s="6" t="s">
        <v>20</v>
      </c>
      <c r="LM15" s="6" t="s">
        <v>25</v>
      </c>
      <c r="LN15" s="6" t="s">
        <v>88</v>
      </c>
      <c r="LO15" s="6" t="s">
        <v>25</v>
      </c>
      <c r="LP15" s="6" t="s">
        <v>25</v>
      </c>
      <c r="LQ15" s="6" t="s">
        <v>54</v>
      </c>
      <c r="LR15" s="6" t="s">
        <v>33</v>
      </c>
      <c r="LS15" s="6" t="s">
        <v>20</v>
      </c>
      <c r="LT15" s="6" t="s">
        <v>20</v>
      </c>
      <c r="LU15" s="6" t="s">
        <v>14</v>
      </c>
      <c r="LV15" s="6" t="s">
        <v>88</v>
      </c>
      <c r="LW15" s="6" t="s">
        <v>56</v>
      </c>
      <c r="LX15" s="6" t="s">
        <v>64</v>
      </c>
      <c r="LY15" s="6" t="s">
        <v>33</v>
      </c>
      <c r="LZ15" s="6" t="s">
        <v>20</v>
      </c>
      <c r="MA15" s="6" t="s">
        <v>25</v>
      </c>
      <c r="MB15" s="6" t="s">
        <v>56</v>
      </c>
      <c r="MC15" s="6" t="s">
        <v>56</v>
      </c>
      <c r="MD15" s="6" t="s">
        <v>33</v>
      </c>
      <c r="ME15" s="6" t="s">
        <v>14</v>
      </c>
      <c r="MF15" s="6" t="s">
        <v>20</v>
      </c>
      <c r="MG15" s="6" t="s">
        <v>88</v>
      </c>
      <c r="MH15" s="6" t="s">
        <v>25</v>
      </c>
      <c r="MI15" s="6" t="s">
        <v>88</v>
      </c>
      <c r="MJ15" s="6" t="s">
        <v>56</v>
      </c>
      <c r="MK15" s="6" t="s">
        <v>64</v>
      </c>
      <c r="ML15" s="6" t="s">
        <v>14</v>
      </c>
      <c r="MM15" s="6" t="s">
        <v>54</v>
      </c>
      <c r="MN15" s="6" t="s">
        <v>88</v>
      </c>
      <c r="MO15" s="6" t="s">
        <v>54</v>
      </c>
      <c r="MP15" s="6" t="s">
        <v>36</v>
      </c>
      <c r="MQ15" s="6" t="s">
        <v>25</v>
      </c>
      <c r="MR15" s="6" t="s">
        <v>64</v>
      </c>
      <c r="MS15" s="6" t="s">
        <v>64</v>
      </c>
      <c r="MT15" s="6" t="s">
        <v>38</v>
      </c>
      <c r="MU15" s="6" t="s">
        <v>54</v>
      </c>
      <c r="MV15" s="6" t="s">
        <v>36</v>
      </c>
      <c r="MW15" s="6" t="s">
        <v>20</v>
      </c>
      <c r="MX15" s="6" t="s">
        <v>14</v>
      </c>
      <c r="MY15" s="6" t="s">
        <v>36</v>
      </c>
      <c r="MZ15" s="6" t="s">
        <v>88</v>
      </c>
      <c r="NA15" s="6" t="s">
        <v>88</v>
      </c>
      <c r="NB15" s="6" t="s">
        <v>25</v>
      </c>
      <c r="NC15" s="6" t="s">
        <v>54</v>
      </c>
      <c r="ND15" s="6" t="s">
        <v>64</v>
      </c>
      <c r="NE15" s="6" t="s">
        <v>25</v>
      </c>
      <c r="NF15" s="6" t="s">
        <v>36</v>
      </c>
      <c r="NG15" s="6" t="s">
        <v>36</v>
      </c>
      <c r="NH15" s="6" t="s">
        <v>14</v>
      </c>
      <c r="NI15" s="6" t="s">
        <v>36</v>
      </c>
      <c r="NJ15" s="6" t="s">
        <v>20</v>
      </c>
      <c r="NK15" s="6" t="s">
        <v>88</v>
      </c>
      <c r="NL15" s="6" t="s">
        <v>14</v>
      </c>
      <c r="NM15" s="6" t="s">
        <v>25</v>
      </c>
      <c r="NN15" s="6" t="s">
        <v>14</v>
      </c>
      <c r="NO15" s="6" t="s">
        <v>56</v>
      </c>
      <c r="NP15" s="6" t="s">
        <v>38</v>
      </c>
      <c r="NQ15" s="6" t="s">
        <v>54</v>
      </c>
      <c r="NR15" s="6" t="s">
        <v>56</v>
      </c>
      <c r="NS15" s="6" t="s">
        <v>25</v>
      </c>
      <c r="NT15" s="6" t="s">
        <v>54</v>
      </c>
      <c r="NU15" s="6" t="s">
        <v>88</v>
      </c>
      <c r="NV15" s="6" t="s">
        <v>56</v>
      </c>
      <c r="NW15" s="6" t="s">
        <v>88</v>
      </c>
      <c r="NX15" s="6" t="s">
        <v>36</v>
      </c>
      <c r="NY15" s="6" t="s">
        <v>25</v>
      </c>
      <c r="NZ15" s="6" t="s">
        <v>88</v>
      </c>
      <c r="OA15" s="6" t="s">
        <v>54</v>
      </c>
      <c r="OB15" s="6" t="s">
        <v>54</v>
      </c>
      <c r="OC15" s="6" t="s">
        <v>36</v>
      </c>
      <c r="OD15" s="6" t="s">
        <v>14</v>
      </c>
      <c r="OE15" s="6" t="s">
        <v>33</v>
      </c>
      <c r="OF15" s="6" t="s">
        <v>38</v>
      </c>
      <c r="OG15" s="6" t="s">
        <v>14</v>
      </c>
      <c r="OH15" s="6" t="s">
        <v>36</v>
      </c>
      <c r="OI15" s="6" t="s">
        <v>36</v>
      </c>
      <c r="OJ15" s="6" t="s">
        <v>38</v>
      </c>
      <c r="OK15" s="6" t="s">
        <v>56</v>
      </c>
      <c r="OL15" s="6" t="s">
        <v>36</v>
      </c>
      <c r="OM15" s="6" t="s">
        <v>25</v>
      </c>
      <c r="ON15" s="6" t="s">
        <v>38</v>
      </c>
      <c r="OO15" s="6" t="s">
        <v>54</v>
      </c>
      <c r="OP15" s="6" t="s">
        <v>88</v>
      </c>
      <c r="OQ15" s="6" t="s">
        <v>88</v>
      </c>
      <c r="OR15" s="6" t="s">
        <v>36</v>
      </c>
      <c r="OS15" s="6" t="s">
        <v>14</v>
      </c>
      <c r="OT15" s="6" t="s">
        <v>38</v>
      </c>
      <c r="OU15" s="6" t="s">
        <v>25</v>
      </c>
      <c r="OV15" s="6" t="s">
        <v>56</v>
      </c>
      <c r="OW15" s="6" t="s">
        <v>54</v>
      </c>
      <c r="OX15" s="6" t="s">
        <v>14</v>
      </c>
      <c r="OY15" s="6" t="s">
        <v>36</v>
      </c>
      <c r="OZ15" s="6" t="s">
        <v>36</v>
      </c>
      <c r="PA15" s="6" t="s">
        <v>56</v>
      </c>
      <c r="PB15" s="6" t="s">
        <v>56</v>
      </c>
      <c r="PC15" s="6" t="s">
        <v>38</v>
      </c>
      <c r="PD15" s="6" t="s">
        <v>33</v>
      </c>
      <c r="PE15" s="6" t="s">
        <v>64</v>
      </c>
      <c r="PF15" s="6" t="s">
        <v>38</v>
      </c>
      <c r="PG15" s="6" t="s">
        <v>14</v>
      </c>
      <c r="PH15" s="6" t="s">
        <v>56</v>
      </c>
      <c r="PI15" s="6" t="s">
        <v>25</v>
      </c>
      <c r="PJ15" s="6" t="s">
        <v>25</v>
      </c>
      <c r="PK15" s="6" t="s">
        <v>36</v>
      </c>
      <c r="PL15" s="6" t="s">
        <v>54</v>
      </c>
      <c r="PM15" s="6" t="s">
        <v>20</v>
      </c>
      <c r="PN15" s="6" t="s">
        <v>25</v>
      </c>
      <c r="PO15" s="6" t="s">
        <v>36</v>
      </c>
      <c r="PP15" s="6" t="s">
        <v>88</v>
      </c>
      <c r="PQ15" s="6" t="s">
        <v>88</v>
      </c>
      <c r="PR15" s="6" t="s">
        <v>20</v>
      </c>
      <c r="PS15" s="6" t="s">
        <v>33</v>
      </c>
      <c r="PT15" s="6" t="s">
        <v>14</v>
      </c>
      <c r="PU15" s="6" t="s">
        <v>38</v>
      </c>
      <c r="PV15" s="6" t="s">
        <v>88</v>
      </c>
      <c r="PW15" s="6" t="s">
        <v>36</v>
      </c>
      <c r="PX15" s="6" t="s">
        <v>38</v>
      </c>
      <c r="PY15" s="6" t="s">
        <v>38</v>
      </c>
      <c r="PZ15" s="6" t="s">
        <v>20</v>
      </c>
      <c r="QA15" s="6" t="s">
        <v>36</v>
      </c>
      <c r="QB15" s="6" t="s">
        <v>36</v>
      </c>
      <c r="QC15" s="6" t="s">
        <v>64</v>
      </c>
      <c r="QD15" s="6" t="s">
        <v>88</v>
      </c>
      <c r="QE15" s="6" t="s">
        <v>64</v>
      </c>
      <c r="QF15" s="6" t="s">
        <v>25</v>
      </c>
      <c r="QG15" s="6" t="s">
        <v>20</v>
      </c>
      <c r="QH15" s="6" t="s">
        <v>25</v>
      </c>
      <c r="QI15" s="6" t="s">
        <v>88</v>
      </c>
      <c r="QJ15" s="6" t="s">
        <v>56</v>
      </c>
      <c r="QK15" s="6" t="s">
        <v>38</v>
      </c>
      <c r="QL15" s="6" t="s">
        <v>64</v>
      </c>
      <c r="QM15" s="6" t="s">
        <v>38</v>
      </c>
      <c r="QN15" s="6" t="s">
        <v>33</v>
      </c>
      <c r="QO15" s="6" t="s">
        <v>33</v>
      </c>
      <c r="QP15" s="6" t="s">
        <v>88</v>
      </c>
      <c r="QQ15" s="6" t="s">
        <v>14</v>
      </c>
      <c r="QR15" s="6" t="s">
        <v>25</v>
      </c>
      <c r="QS15" s="6" t="s">
        <v>38</v>
      </c>
      <c r="QT15" s="6" t="s">
        <v>33</v>
      </c>
      <c r="QU15" s="6" t="s">
        <v>20</v>
      </c>
      <c r="QV15" s="6" t="s">
        <v>56</v>
      </c>
      <c r="QW15" s="6" t="s">
        <v>56</v>
      </c>
      <c r="QX15" s="6" t="s">
        <v>54</v>
      </c>
      <c r="QY15" s="6" t="s">
        <v>38</v>
      </c>
      <c r="QZ15" s="6" t="s">
        <v>54</v>
      </c>
      <c r="RA15" s="6" t="s">
        <v>54</v>
      </c>
      <c r="RB15" s="6" t="s">
        <v>88</v>
      </c>
      <c r="RC15" s="6" t="s">
        <v>25</v>
      </c>
      <c r="RD15" s="6" t="s">
        <v>64</v>
      </c>
      <c r="RE15" s="6" t="s">
        <v>88</v>
      </c>
      <c r="RF15" s="6" t="s">
        <v>56</v>
      </c>
      <c r="RG15" s="6" t="s">
        <v>54</v>
      </c>
      <c r="RH15" s="6" t="s">
        <v>36</v>
      </c>
      <c r="RI15" s="6" t="s">
        <v>54</v>
      </c>
      <c r="RJ15" s="6" t="s">
        <v>33</v>
      </c>
      <c r="RK15" s="6" t="s">
        <v>20</v>
      </c>
      <c r="RL15" s="6" t="s">
        <v>38</v>
      </c>
      <c r="RM15" s="6" t="s">
        <v>88</v>
      </c>
      <c r="RN15" s="6" t="s">
        <v>20</v>
      </c>
      <c r="RO15" s="6" t="s">
        <v>38</v>
      </c>
      <c r="RP15" s="6" t="s">
        <v>56</v>
      </c>
      <c r="RQ15" s="6" t="s">
        <v>14</v>
      </c>
      <c r="RR15" s="6" t="s">
        <v>88</v>
      </c>
      <c r="RS15" s="6" t="s">
        <v>88</v>
      </c>
      <c r="RT15" s="6" t="s">
        <v>54</v>
      </c>
      <c r="RU15" s="6" t="s">
        <v>54</v>
      </c>
      <c r="RV15" s="6" t="s">
        <v>14</v>
      </c>
      <c r="RW15" s="6" t="s">
        <v>64</v>
      </c>
      <c r="RX15" s="6" t="s">
        <v>36</v>
      </c>
      <c r="RY15" s="6" t="s">
        <v>54</v>
      </c>
      <c r="RZ15" s="6" t="s">
        <v>56</v>
      </c>
      <c r="SA15" s="6" t="s">
        <v>36</v>
      </c>
      <c r="SB15" s="6" t="s">
        <v>14</v>
      </c>
      <c r="SC15" s="6" t="s">
        <v>38</v>
      </c>
      <c r="SD15" s="6" t="s">
        <v>54</v>
      </c>
      <c r="SE15" s="6" t="s">
        <v>64</v>
      </c>
      <c r="SF15" s="6" t="s">
        <v>36</v>
      </c>
      <c r="SG15" s="6" t="s">
        <v>25</v>
      </c>
      <c r="SH15" s="6" t="s">
        <v>64</v>
      </c>
      <c r="SI15" s="6" t="s">
        <v>54</v>
      </c>
      <c r="SJ15" s="6" t="s">
        <v>64</v>
      </c>
      <c r="SK15" s="6" t="s">
        <v>88</v>
      </c>
      <c r="SL15" s="6" t="s">
        <v>56</v>
      </c>
      <c r="SM15" s="6" t="s">
        <v>64</v>
      </c>
      <c r="SN15" s="6" t="s">
        <v>33</v>
      </c>
      <c r="SO15" s="6" t="s">
        <v>56</v>
      </c>
      <c r="SP15" s="6" t="s">
        <v>56</v>
      </c>
      <c r="SQ15" s="6" t="s">
        <v>54</v>
      </c>
      <c r="SR15" s="6" t="s">
        <v>25</v>
      </c>
      <c r="SS15" s="6" t="s">
        <v>33</v>
      </c>
      <c r="ST15" s="6" t="s">
        <v>64</v>
      </c>
      <c r="SU15" s="6" t="s">
        <v>56</v>
      </c>
      <c r="SV15" s="6" t="s">
        <v>33</v>
      </c>
      <c r="SW15" s="6" t="s">
        <v>54</v>
      </c>
      <c r="SX15" s="6" t="s">
        <v>25</v>
      </c>
      <c r="SY15" s="6" t="s">
        <v>88</v>
      </c>
      <c r="SZ15" s="6" t="s">
        <v>56</v>
      </c>
      <c r="TA15" s="6" t="s">
        <v>25</v>
      </c>
      <c r="TB15" s="6" t="s">
        <v>36</v>
      </c>
      <c r="TC15" s="6" t="s">
        <v>14</v>
      </c>
      <c r="TD15" s="6" t="s">
        <v>64</v>
      </c>
      <c r="TE15" s="6" t="s">
        <v>20</v>
      </c>
      <c r="TF15" s="6" t="s">
        <v>56</v>
      </c>
      <c r="TG15" s="6" t="s">
        <v>56</v>
      </c>
      <c r="TH15" s="6" t="s">
        <v>88</v>
      </c>
      <c r="TI15" s="6" t="s">
        <v>36</v>
      </c>
      <c r="TJ15" s="6" t="s">
        <v>25</v>
      </c>
      <c r="TK15" s="6" t="s">
        <v>56</v>
      </c>
      <c r="TL15" s="6" t="s">
        <v>88</v>
      </c>
      <c r="TM15" s="6" t="s">
        <v>56</v>
      </c>
      <c r="TN15" s="6" t="s">
        <v>56</v>
      </c>
      <c r="TO15" s="6" t="s">
        <v>25</v>
      </c>
      <c r="TP15" s="6" t="s">
        <v>25</v>
      </c>
      <c r="TQ15" s="6" t="s">
        <v>33</v>
      </c>
      <c r="TR15" s="6" t="s">
        <v>54</v>
      </c>
      <c r="TS15" s="6" t="s">
        <v>88</v>
      </c>
      <c r="TT15" s="6" t="s">
        <v>36</v>
      </c>
      <c r="TU15" s="6" t="s">
        <v>14</v>
      </c>
      <c r="TV15" s="6" t="s">
        <v>56</v>
      </c>
      <c r="TW15" s="6" t="s">
        <v>56</v>
      </c>
      <c r="TX15" s="6" t="s">
        <v>38</v>
      </c>
      <c r="TY15" s="6" t="s">
        <v>14</v>
      </c>
      <c r="TZ15" s="6" t="s">
        <v>20</v>
      </c>
      <c r="UA15" s="6" t="s">
        <v>36</v>
      </c>
      <c r="UB15" s="6" t="s">
        <v>33</v>
      </c>
      <c r="UC15" s="6" t="s">
        <v>20</v>
      </c>
      <c r="UD15" s="6" t="s">
        <v>20</v>
      </c>
      <c r="UE15" s="6" t="s">
        <v>64</v>
      </c>
      <c r="UF15" s="6" t="s">
        <v>36</v>
      </c>
      <c r="UG15" s="6" t="s">
        <v>36</v>
      </c>
      <c r="UH15" s="6" t="s">
        <v>20</v>
      </c>
      <c r="UI15" s="6" t="s">
        <v>38</v>
      </c>
      <c r="UJ15" s="6" t="s">
        <v>38</v>
      </c>
      <c r="UK15" s="6" t="s">
        <v>38</v>
      </c>
      <c r="UL15" s="6" t="s">
        <v>25</v>
      </c>
      <c r="UM15" s="6" t="s">
        <v>25</v>
      </c>
      <c r="UN15" s="6" t="s">
        <v>20</v>
      </c>
      <c r="UO15" s="6" t="s">
        <v>14</v>
      </c>
      <c r="UP15" s="6" t="s">
        <v>56</v>
      </c>
      <c r="UQ15" s="6" t="s">
        <v>33</v>
      </c>
      <c r="UR15" s="6" t="s">
        <v>14</v>
      </c>
      <c r="US15" s="6" t="s">
        <v>64</v>
      </c>
      <c r="UT15" s="6" t="s">
        <v>54</v>
      </c>
      <c r="UU15" s="6" t="s">
        <v>38</v>
      </c>
      <c r="UV15" s="6" t="s">
        <v>56</v>
      </c>
      <c r="UW15" s="6" t="s">
        <v>88</v>
      </c>
      <c r="UX15" s="6" t="s">
        <v>25</v>
      </c>
      <c r="UY15" s="6" t="s">
        <v>38</v>
      </c>
      <c r="UZ15" s="6" t="s">
        <v>36</v>
      </c>
      <c r="VA15" s="6" t="s">
        <v>38</v>
      </c>
      <c r="VB15" s="6" t="s">
        <v>14</v>
      </c>
      <c r="VC15" s="6" t="s">
        <v>54</v>
      </c>
      <c r="VD15" s="6" t="s">
        <v>38</v>
      </c>
      <c r="VE15" s="6" t="s">
        <v>38</v>
      </c>
      <c r="VF15" s="6" t="s">
        <v>20</v>
      </c>
      <c r="VG15" s="6" t="s">
        <v>56</v>
      </c>
      <c r="VH15" s="6" t="s">
        <v>14</v>
      </c>
      <c r="VI15" s="6" t="s">
        <v>88</v>
      </c>
      <c r="VJ15" s="6" t="s">
        <v>88</v>
      </c>
      <c r="VK15" s="6" t="s">
        <v>38</v>
      </c>
      <c r="VL15" s="6" t="s">
        <v>36</v>
      </c>
      <c r="VM15" s="6" t="s">
        <v>14</v>
      </c>
      <c r="VN15" s="6" t="s">
        <v>88</v>
      </c>
      <c r="VO15" s="6" t="s">
        <v>56</v>
      </c>
      <c r="VP15" s="6" t="s">
        <v>88</v>
      </c>
      <c r="VQ15" s="6" t="s">
        <v>36</v>
      </c>
      <c r="VR15" s="6" t="s">
        <v>14</v>
      </c>
      <c r="VS15" s="6" t="s">
        <v>36</v>
      </c>
      <c r="VT15" s="6" t="s">
        <v>54</v>
      </c>
      <c r="VU15" s="6" t="s">
        <v>36</v>
      </c>
      <c r="VV15" s="6" t="s">
        <v>36</v>
      </c>
      <c r="VW15" s="6" t="s">
        <v>38</v>
      </c>
      <c r="VX15" s="6" t="s">
        <v>38</v>
      </c>
      <c r="VY15" s="6" t="s">
        <v>25</v>
      </c>
      <c r="VZ15" s="6" t="s">
        <v>54</v>
      </c>
      <c r="WA15" s="6" t="s">
        <v>54</v>
      </c>
      <c r="WB15" s="6" t="s">
        <v>54</v>
      </c>
      <c r="WC15" s="6" t="s">
        <v>88</v>
      </c>
      <c r="WD15" s="6" t="s">
        <v>20</v>
      </c>
      <c r="WE15" s="6" t="s">
        <v>25</v>
      </c>
      <c r="WF15" s="6" t="s">
        <v>54</v>
      </c>
      <c r="WG15" s="6" t="s">
        <v>36</v>
      </c>
      <c r="WH15" s="6" t="s">
        <v>38</v>
      </c>
      <c r="WI15" s="6" t="s">
        <v>33</v>
      </c>
      <c r="WJ15" s="6" t="s">
        <v>33</v>
      </c>
      <c r="WK15" s="6" t="s">
        <v>54</v>
      </c>
      <c r="WL15" s="6" t="s">
        <v>14</v>
      </c>
      <c r="WM15" s="6" t="s">
        <v>64</v>
      </c>
      <c r="WN15" s="6" t="s">
        <v>56</v>
      </c>
      <c r="WO15" s="6" t="s">
        <v>54</v>
      </c>
      <c r="WP15" s="6" t="s">
        <v>64</v>
      </c>
      <c r="WQ15" s="6" t="s">
        <v>36</v>
      </c>
      <c r="WR15" s="6" t="s">
        <v>38</v>
      </c>
      <c r="WS15" s="6" t="s">
        <v>38</v>
      </c>
      <c r="WT15" s="6" t="s">
        <v>56</v>
      </c>
      <c r="WU15" s="6" t="s">
        <v>14</v>
      </c>
      <c r="WV15" s="6" t="s">
        <v>38</v>
      </c>
      <c r="WW15" s="6" t="s">
        <v>20</v>
      </c>
      <c r="WX15" s="6" t="s">
        <v>38</v>
      </c>
      <c r="WY15" s="6" t="s">
        <v>64</v>
      </c>
      <c r="WZ15" s="6" t="s">
        <v>33</v>
      </c>
      <c r="XA15" s="6" t="s">
        <v>14</v>
      </c>
      <c r="XB15" s="6" t="s">
        <v>14</v>
      </c>
      <c r="XC15" s="6" t="s">
        <v>88</v>
      </c>
      <c r="XD15" s="6" t="s">
        <v>20</v>
      </c>
      <c r="XE15" s="6" t="s">
        <v>54</v>
      </c>
      <c r="XF15" s="6" t="s">
        <v>64</v>
      </c>
      <c r="XG15" s="6" t="s">
        <v>56</v>
      </c>
      <c r="XH15" s="6" t="s">
        <v>25</v>
      </c>
      <c r="XI15" s="6" t="s">
        <v>38</v>
      </c>
      <c r="XJ15" s="6" t="s">
        <v>33</v>
      </c>
      <c r="XK15" s="6" t="s">
        <v>38</v>
      </c>
      <c r="XL15" s="6" t="s">
        <v>56</v>
      </c>
      <c r="XM15" s="6" t="s">
        <v>33</v>
      </c>
      <c r="XN15" s="6" t="s">
        <v>54</v>
      </c>
      <c r="XO15" s="6" t="s">
        <v>54</v>
      </c>
      <c r="XP15" s="6" t="s">
        <v>88</v>
      </c>
      <c r="XQ15" s="6" t="s">
        <v>25</v>
      </c>
      <c r="XR15" s="6" t="s">
        <v>64</v>
      </c>
      <c r="XS15" s="6" t="s">
        <v>36</v>
      </c>
      <c r="XT15" s="6" t="s">
        <v>14</v>
      </c>
      <c r="XU15" s="6" t="s">
        <v>36</v>
      </c>
      <c r="XV15" s="6" t="s">
        <v>56</v>
      </c>
      <c r="XW15" s="6" t="s">
        <v>20</v>
      </c>
      <c r="XX15" s="6" t="s">
        <v>25</v>
      </c>
      <c r="XY15" s="6" t="s">
        <v>38</v>
      </c>
      <c r="XZ15" s="6" t="s">
        <v>36</v>
      </c>
      <c r="YA15" s="6" t="s">
        <v>56</v>
      </c>
      <c r="YB15" s="6" t="s">
        <v>88</v>
      </c>
      <c r="YC15" s="6" t="s">
        <v>64</v>
      </c>
      <c r="YD15" s="6" t="s">
        <v>88</v>
      </c>
      <c r="YE15" s="6" t="s">
        <v>38</v>
      </c>
      <c r="YF15" s="6" t="s">
        <v>54</v>
      </c>
      <c r="YG15" s="6" t="s">
        <v>88</v>
      </c>
      <c r="YH15" s="6" t="s">
        <v>64</v>
      </c>
      <c r="YI15" s="6" t="s">
        <v>54</v>
      </c>
      <c r="YJ15" s="6" t="s">
        <v>36</v>
      </c>
      <c r="YK15" s="6" t="s">
        <v>64</v>
      </c>
      <c r="YL15" s="6" t="s">
        <v>33</v>
      </c>
      <c r="YM15" s="6" t="s">
        <v>36</v>
      </c>
      <c r="YN15" s="6" t="s">
        <v>56</v>
      </c>
      <c r="YO15" s="6" t="s">
        <v>54</v>
      </c>
      <c r="YP15" s="6" t="s">
        <v>14</v>
      </c>
      <c r="YQ15" s="6" t="s">
        <v>54</v>
      </c>
      <c r="YR15" s="6" t="s">
        <v>88</v>
      </c>
      <c r="YS15" s="6" t="s">
        <v>25</v>
      </c>
      <c r="YT15" s="6" t="s">
        <v>25</v>
      </c>
      <c r="YU15" s="6" t="s">
        <v>38</v>
      </c>
      <c r="YV15" s="6" t="s">
        <v>33</v>
      </c>
      <c r="YW15" s="6" t="s">
        <v>64</v>
      </c>
      <c r="YX15" s="6" t="s">
        <v>88</v>
      </c>
      <c r="YY15" s="6" t="s">
        <v>25</v>
      </c>
      <c r="YZ15" s="6" t="s">
        <v>38</v>
      </c>
      <c r="ZA15" s="6" t="s">
        <v>88</v>
      </c>
      <c r="ZB15" s="6" t="s">
        <v>36</v>
      </c>
      <c r="ZC15" s="6" t="s">
        <v>38</v>
      </c>
      <c r="ZD15" s="6" t="s">
        <v>33</v>
      </c>
      <c r="ZE15" s="6" t="s">
        <v>38</v>
      </c>
      <c r="ZF15" s="6" t="s">
        <v>36</v>
      </c>
      <c r="ZG15" s="6" t="s">
        <v>36</v>
      </c>
      <c r="ZH15" s="6" t="s">
        <v>56</v>
      </c>
      <c r="ZI15" s="6" t="s">
        <v>38</v>
      </c>
      <c r="ZJ15" s="6" t="s">
        <v>25</v>
      </c>
      <c r="ZK15" s="6" t="s">
        <v>20</v>
      </c>
      <c r="ZL15" s="6" t="s">
        <v>14</v>
      </c>
      <c r="ZM15" s="6" t="s">
        <v>20</v>
      </c>
      <c r="ZN15" s="6" t="s">
        <v>25</v>
      </c>
      <c r="ZO15" s="6" t="s">
        <v>38</v>
      </c>
      <c r="ZP15" s="6" t="s">
        <v>88</v>
      </c>
      <c r="ZQ15" s="6" t="s">
        <v>20</v>
      </c>
      <c r="ZR15" s="6" t="s">
        <v>88</v>
      </c>
      <c r="ZS15" s="6" t="s">
        <v>54</v>
      </c>
      <c r="ZT15" s="6" t="s">
        <v>14</v>
      </c>
      <c r="ZU15" s="6" t="s">
        <v>20</v>
      </c>
      <c r="ZV15" s="6" t="s">
        <v>56</v>
      </c>
      <c r="ZW15" s="6" t="s">
        <v>38</v>
      </c>
      <c r="ZX15" s="6" t="s">
        <v>38</v>
      </c>
      <c r="ZY15" s="6" t="s">
        <v>36</v>
      </c>
      <c r="ZZ15" s="6" t="s">
        <v>88</v>
      </c>
      <c r="AAA15" s="6" t="s">
        <v>25</v>
      </c>
      <c r="AAB15" s="6" t="s">
        <v>38</v>
      </c>
      <c r="AAC15" s="6" t="s">
        <v>20</v>
      </c>
      <c r="AAD15" s="6" t="s">
        <v>64</v>
      </c>
      <c r="AAE15" s="6" t="s">
        <v>36</v>
      </c>
      <c r="AAF15" s="6" t="s">
        <v>54</v>
      </c>
      <c r="AAG15" s="6" t="s">
        <v>56</v>
      </c>
      <c r="AAH15" s="6" t="s">
        <v>20</v>
      </c>
      <c r="AAI15" s="6" t="s">
        <v>54</v>
      </c>
      <c r="AAJ15" s="6" t="s">
        <v>20</v>
      </c>
      <c r="AAK15" s="6" t="s">
        <v>33</v>
      </c>
      <c r="AAL15" s="6" t="s">
        <v>54</v>
      </c>
      <c r="AAM15" s="6" t="s">
        <v>14</v>
      </c>
      <c r="AAN15" s="6" t="s">
        <v>64</v>
      </c>
      <c r="AAO15" s="6" t="s">
        <v>25</v>
      </c>
      <c r="AAP15" s="6" t="s">
        <v>36</v>
      </c>
      <c r="AAQ15" s="6" t="s">
        <v>64</v>
      </c>
      <c r="AAR15" s="6" t="s">
        <v>33</v>
      </c>
      <c r="AAS15" s="6" t="s">
        <v>54</v>
      </c>
      <c r="AAT15" s="6" t="s">
        <v>33</v>
      </c>
      <c r="AAU15" s="6" t="s">
        <v>14</v>
      </c>
      <c r="AAV15" s="6" t="s">
        <v>14</v>
      </c>
      <c r="AAW15" s="6" t="s">
        <v>33</v>
      </c>
      <c r="AAX15" s="6" t="s">
        <v>25</v>
      </c>
      <c r="AAY15" s="6" t="s">
        <v>20</v>
      </c>
      <c r="AAZ15" s="6" t="s">
        <v>88</v>
      </c>
      <c r="ABA15" s="6" t="s">
        <v>25</v>
      </c>
      <c r="ABB15" s="6" t="s">
        <v>25</v>
      </c>
      <c r="ABC15" s="6" t="s">
        <v>56</v>
      </c>
      <c r="ABD15" s="6" t="s">
        <v>14</v>
      </c>
      <c r="ABE15" s="6" t="s">
        <v>88</v>
      </c>
      <c r="ABF15" s="6" t="s">
        <v>38</v>
      </c>
      <c r="ABG15" s="6" t="s">
        <v>88</v>
      </c>
      <c r="ABH15" s="6" t="s">
        <v>38</v>
      </c>
      <c r="ABI15" s="6" t="s">
        <v>14</v>
      </c>
      <c r="ABJ15" s="6" t="s">
        <v>36</v>
      </c>
      <c r="ABK15" s="6" t="s">
        <v>14</v>
      </c>
      <c r="ABL15" s="6" t="s">
        <v>36</v>
      </c>
      <c r="ABM15" s="6" t="s">
        <v>33</v>
      </c>
      <c r="ABN15" s="6" t="s">
        <v>54</v>
      </c>
      <c r="ABO15" s="6" t="s">
        <v>88</v>
      </c>
      <c r="ABP15" s="6" t="s">
        <v>36</v>
      </c>
      <c r="ABQ15" s="6" t="s">
        <v>64</v>
      </c>
      <c r="ABR15" s="6" t="s">
        <v>33</v>
      </c>
      <c r="ABS15" s="6" t="s">
        <v>25</v>
      </c>
      <c r="ABT15" s="6" t="s">
        <v>20</v>
      </c>
      <c r="ABU15" s="6" t="s">
        <v>14</v>
      </c>
      <c r="ABV15" s="6" t="s">
        <v>36</v>
      </c>
      <c r="ABW15" s="6" t="s">
        <v>20</v>
      </c>
      <c r="ABX15" s="6" t="s">
        <v>36</v>
      </c>
      <c r="ABY15" s="6" t="s">
        <v>33</v>
      </c>
      <c r="ABZ15" s="6" t="s">
        <v>20</v>
      </c>
      <c r="ACA15" s="6" t="s">
        <v>14</v>
      </c>
      <c r="ACB15" s="6" t="s">
        <v>64</v>
      </c>
      <c r="ACC15" s="6" t="s">
        <v>36</v>
      </c>
      <c r="ACD15" s="6" t="s">
        <v>36</v>
      </c>
      <c r="ACE15" s="6" t="s">
        <v>38</v>
      </c>
      <c r="ACF15" s="6" t="s">
        <v>64</v>
      </c>
      <c r="ACG15" s="6" t="s">
        <v>56</v>
      </c>
      <c r="ACH15" s="6" t="s">
        <v>38</v>
      </c>
      <c r="ACI15" s="6" t="s">
        <v>33</v>
      </c>
      <c r="ACJ15" s="6" t="s">
        <v>54</v>
      </c>
      <c r="ACK15" s="6" t="s">
        <v>25</v>
      </c>
      <c r="ACL15" s="6" t="s">
        <v>88</v>
      </c>
      <c r="ACM15" s="6" t="s">
        <v>56</v>
      </c>
      <c r="ACN15" s="6" t="s">
        <v>25</v>
      </c>
      <c r="ACO15" s="6" t="s">
        <v>56</v>
      </c>
      <c r="ACP15" s="6" t="s">
        <v>38</v>
      </c>
      <c r="ACQ15" s="6" t="s">
        <v>54</v>
      </c>
      <c r="ACR15" s="6" t="s">
        <v>64</v>
      </c>
      <c r="ACS15" s="6" t="s">
        <v>38</v>
      </c>
      <c r="ACT15" s="6" t="s">
        <v>33</v>
      </c>
      <c r="ACU15" s="6" t="s">
        <v>64</v>
      </c>
      <c r="ACV15" s="6" t="s">
        <v>25</v>
      </c>
      <c r="ACW15" s="6" t="s">
        <v>25</v>
      </c>
      <c r="ACX15" s="6" t="s">
        <v>14</v>
      </c>
      <c r="ACY15" s="6" t="s">
        <v>36</v>
      </c>
      <c r="ACZ15" s="6" t="s">
        <v>33</v>
      </c>
      <c r="ADA15" s="6" t="s">
        <v>25</v>
      </c>
      <c r="ADB15" s="6" t="s">
        <v>88</v>
      </c>
      <c r="ADC15" s="6" t="s">
        <v>33</v>
      </c>
      <c r="ADD15" s="6" t="s">
        <v>54</v>
      </c>
      <c r="ADE15" s="6" t="s">
        <v>20</v>
      </c>
      <c r="ADF15" s="6" t="s">
        <v>64</v>
      </c>
      <c r="ADG15" s="6" t="s">
        <v>38</v>
      </c>
      <c r="ADH15" s="6" t="s">
        <v>20</v>
      </c>
      <c r="ADI15" s="6" t="s">
        <v>54</v>
      </c>
      <c r="ADJ15" s="6" t="s">
        <v>36</v>
      </c>
      <c r="ADK15" s="6" t="s">
        <v>56</v>
      </c>
      <c r="ADL15" s="6" t="s">
        <v>88</v>
      </c>
      <c r="ADM15" s="6" t="s">
        <v>54</v>
      </c>
      <c r="ADN15" s="6" t="s">
        <v>64</v>
      </c>
      <c r="ADO15" s="6" t="s">
        <v>38</v>
      </c>
      <c r="ADP15" s="6" t="s">
        <v>88</v>
      </c>
      <c r="ADQ15" s="6" t="s">
        <v>25</v>
      </c>
      <c r="ADR15" s="6" t="s">
        <v>20</v>
      </c>
      <c r="ADS15" s="6" t="s">
        <v>56</v>
      </c>
      <c r="ADT15" s="6" t="s">
        <v>56</v>
      </c>
      <c r="ADU15" s="6" t="s">
        <v>25</v>
      </c>
      <c r="ADV15" s="6" t="s">
        <v>54</v>
      </c>
      <c r="ADW15" s="6" t="s">
        <v>33</v>
      </c>
      <c r="ADX15" s="6" t="s">
        <v>38</v>
      </c>
      <c r="ADY15" s="6" t="s">
        <v>88</v>
      </c>
      <c r="ADZ15" s="6" t="s">
        <v>54</v>
      </c>
      <c r="AEA15" s="6" t="s">
        <v>88</v>
      </c>
      <c r="AEB15" s="6" t="s">
        <v>14</v>
      </c>
      <c r="AEC15" s="6" t="s">
        <v>33</v>
      </c>
      <c r="AED15" s="6" t="s">
        <v>36</v>
      </c>
      <c r="AEE15" s="6" t="s">
        <v>25</v>
      </c>
      <c r="AEF15" s="6" t="s">
        <v>54</v>
      </c>
      <c r="AEG15" s="6" t="s">
        <v>88</v>
      </c>
      <c r="AEH15" s="6" t="s">
        <v>38</v>
      </c>
      <c r="AEI15" s="6" t="s">
        <v>33</v>
      </c>
      <c r="AEJ15" s="6" t="s">
        <v>20</v>
      </c>
      <c r="AEK15" s="6" t="s">
        <v>54</v>
      </c>
      <c r="AEL15" s="6" t="s">
        <v>33</v>
      </c>
      <c r="AEM15" s="6" t="s">
        <v>25</v>
      </c>
      <c r="AEN15" s="6" t="s">
        <v>36</v>
      </c>
      <c r="AEO15" s="6" t="s">
        <v>54</v>
      </c>
      <c r="AEP15" s="6" t="s">
        <v>64</v>
      </c>
      <c r="AEQ15" s="6" t="s">
        <v>14</v>
      </c>
      <c r="AER15" s="6" t="s">
        <v>54</v>
      </c>
      <c r="AES15" s="6" t="s">
        <v>88</v>
      </c>
      <c r="AET15" s="6" t="s">
        <v>36</v>
      </c>
      <c r="AEU15" s="6" t="s">
        <v>64</v>
      </c>
      <c r="AEV15" s="6" t="s">
        <v>38</v>
      </c>
      <c r="AEW15" s="6" t="s">
        <v>25</v>
      </c>
      <c r="AEX15" s="6" t="s">
        <v>56</v>
      </c>
      <c r="AEY15" s="6" t="s">
        <v>88</v>
      </c>
      <c r="AEZ15" s="6" t="s">
        <v>64</v>
      </c>
      <c r="AFA15" s="6" t="s">
        <v>20</v>
      </c>
      <c r="AFB15" s="6" t="s">
        <v>38</v>
      </c>
      <c r="AFC15" s="6" t="s">
        <v>64</v>
      </c>
      <c r="AFD15" s="6" t="s">
        <v>33</v>
      </c>
      <c r="AFE15" s="6" t="s">
        <v>36</v>
      </c>
      <c r="AFF15" s="6" t="s">
        <v>64</v>
      </c>
      <c r="AFG15" s="6" t="s">
        <v>20</v>
      </c>
      <c r="AFH15" s="6" t="s">
        <v>64</v>
      </c>
      <c r="AFI15" s="6" t="s">
        <v>33</v>
      </c>
      <c r="AFJ15" s="6" t="s">
        <v>25</v>
      </c>
      <c r="AFK15" s="6" t="s">
        <v>54</v>
      </c>
      <c r="AFL15" s="6" t="s">
        <v>88</v>
      </c>
      <c r="AFM15" s="6" t="s">
        <v>20</v>
      </c>
      <c r="AFN15" s="6" t="s">
        <v>20</v>
      </c>
      <c r="AFO15" s="6" t="s">
        <v>56</v>
      </c>
      <c r="AFP15" s="6" t="s">
        <v>36</v>
      </c>
      <c r="AFQ15" s="6" t="s">
        <v>56</v>
      </c>
      <c r="AFR15" s="6" t="s">
        <v>20</v>
      </c>
      <c r="AFS15" s="6" t="s">
        <v>54</v>
      </c>
      <c r="AFT15" s="6" t="s">
        <v>20</v>
      </c>
      <c r="AFU15" s="6" t="s">
        <v>20</v>
      </c>
      <c r="AFV15" s="6" t="s">
        <v>38</v>
      </c>
      <c r="AFW15" s="6" t="s">
        <v>20</v>
      </c>
      <c r="AFX15" s="6" t="s">
        <v>14</v>
      </c>
      <c r="AFY15" s="6" t="s">
        <v>38</v>
      </c>
      <c r="AFZ15" s="6" t="s">
        <v>20</v>
      </c>
      <c r="AGA15" s="6" t="s">
        <v>25</v>
      </c>
      <c r="AGB15" s="6" t="s">
        <v>25</v>
      </c>
      <c r="AGC15" s="6" t="s">
        <v>38</v>
      </c>
      <c r="AGD15" s="6" t="s">
        <v>14</v>
      </c>
      <c r="AGE15" s="6" t="s">
        <v>33</v>
      </c>
      <c r="AGF15" s="6" t="s">
        <v>64</v>
      </c>
      <c r="AGG15" s="6" t="s">
        <v>20</v>
      </c>
      <c r="AGH15" s="6" t="s">
        <v>33</v>
      </c>
      <c r="AGI15" s="6" t="s">
        <v>38</v>
      </c>
      <c r="AGJ15" s="6" t="s">
        <v>56</v>
      </c>
      <c r="AGK15" s="6" t="s">
        <v>56</v>
      </c>
      <c r="AGL15" s="6" t="s">
        <v>20</v>
      </c>
      <c r="AGM15" s="6" t="s">
        <v>88</v>
      </c>
      <c r="AGN15" s="6" t="s">
        <v>36</v>
      </c>
      <c r="AGO15" s="6" t="s">
        <v>64</v>
      </c>
      <c r="AGP15" s="6" t="s">
        <v>56</v>
      </c>
      <c r="AGQ15" s="6" t="s">
        <v>54</v>
      </c>
      <c r="AGR15" s="6" t="s">
        <v>25</v>
      </c>
      <c r="AGS15" s="6" t="s">
        <v>88</v>
      </c>
      <c r="AGT15" s="6" t="s">
        <v>64</v>
      </c>
      <c r="AGU15" s="6" t="s">
        <v>88</v>
      </c>
      <c r="AGV15" s="6" t="s">
        <v>38</v>
      </c>
      <c r="AGW15" s="6" t="s">
        <v>88</v>
      </c>
      <c r="AGX15" s="6" t="s">
        <v>54</v>
      </c>
      <c r="AGY15" s="6" t="s">
        <v>64</v>
      </c>
      <c r="AGZ15" s="6" t="s">
        <v>20</v>
      </c>
      <c r="AHA15" s="6" t="s">
        <v>20</v>
      </c>
      <c r="AHB15" s="6" t="s">
        <v>33</v>
      </c>
      <c r="AHC15" s="6" t="s">
        <v>20</v>
      </c>
      <c r="AHD15" s="6" t="s">
        <v>88</v>
      </c>
      <c r="AHE15" s="6" t="s">
        <v>14</v>
      </c>
      <c r="AHF15" s="6" t="s">
        <v>38</v>
      </c>
      <c r="AHG15" s="6" t="s">
        <v>56</v>
      </c>
      <c r="AHH15" s="6" t="s">
        <v>36</v>
      </c>
      <c r="AHI15" s="6" t="s">
        <v>20</v>
      </c>
      <c r="AHJ15" s="6" t="s">
        <v>64</v>
      </c>
      <c r="AHK15" s="6" t="s">
        <v>20</v>
      </c>
      <c r="AHL15" s="6" t="s">
        <v>36</v>
      </c>
      <c r="AHM15" s="6" t="s">
        <v>88</v>
      </c>
      <c r="AHN15" s="6" t="s">
        <v>25</v>
      </c>
      <c r="AHO15" s="6" t="s">
        <v>38</v>
      </c>
      <c r="AHP15" s="6" t="s">
        <v>33</v>
      </c>
      <c r="AHQ15" s="6" t="s">
        <v>25</v>
      </c>
      <c r="AHR15" s="6" t="s">
        <v>64</v>
      </c>
      <c r="AHS15" s="6" t="s">
        <v>54</v>
      </c>
      <c r="AHT15" s="6" t="s">
        <v>14</v>
      </c>
      <c r="AHU15" s="6" t="s">
        <v>14</v>
      </c>
      <c r="AHV15" s="6" t="s">
        <v>38</v>
      </c>
      <c r="AHW15" s="6" t="s">
        <v>25</v>
      </c>
      <c r="AHX15" s="6" t="s">
        <v>54</v>
      </c>
      <c r="AHY15" s="6" t="s">
        <v>36</v>
      </c>
      <c r="AHZ15" s="6" t="s">
        <v>38</v>
      </c>
      <c r="AIA15" s="6" t="s">
        <v>20</v>
      </c>
      <c r="AIB15" s="6" t="s">
        <v>36</v>
      </c>
      <c r="AIC15" s="6" t="s">
        <v>36</v>
      </c>
      <c r="AID15" s="6" t="s">
        <v>36</v>
      </c>
      <c r="AIE15" s="6" t="s">
        <v>88</v>
      </c>
      <c r="AIF15" s="6" t="s">
        <v>64</v>
      </c>
      <c r="AIG15" s="6" t="s">
        <v>25</v>
      </c>
      <c r="AIH15" s="6" t="s">
        <v>38</v>
      </c>
      <c r="AII15" s="6" t="s">
        <v>54</v>
      </c>
      <c r="AIJ15" s="6" t="s">
        <v>36</v>
      </c>
      <c r="AIK15" s="6" t="s">
        <v>14</v>
      </c>
      <c r="AIL15" s="6" t="s">
        <v>20</v>
      </c>
      <c r="AIM15" s="6" t="s">
        <v>33</v>
      </c>
      <c r="AIN15" s="6" t="s">
        <v>54</v>
      </c>
      <c r="AIO15" s="6" t="s">
        <v>54</v>
      </c>
      <c r="AIP15" s="6" t="s">
        <v>33</v>
      </c>
      <c r="AIQ15" s="6" t="s">
        <v>33</v>
      </c>
      <c r="AIR15" s="6" t="s">
        <v>14</v>
      </c>
      <c r="AIS15" s="6" t="s">
        <v>64</v>
      </c>
      <c r="AIT15" s="6" t="s">
        <v>64</v>
      </c>
      <c r="AIU15" s="6" t="s">
        <v>88</v>
      </c>
      <c r="AIV15" s="6" t="s">
        <v>20</v>
      </c>
      <c r="AIW15" s="6" t="s">
        <v>20</v>
      </c>
      <c r="AIX15" s="6" t="s">
        <v>20</v>
      </c>
      <c r="AIY15" s="6" t="s">
        <v>25</v>
      </c>
      <c r="AIZ15" s="6" t="s">
        <v>64</v>
      </c>
      <c r="AJA15" s="6" t="s">
        <v>14</v>
      </c>
      <c r="AJB15" s="6" t="s">
        <v>25</v>
      </c>
      <c r="AJC15" s="6" t="s">
        <v>56</v>
      </c>
      <c r="AJD15" s="6" t="s">
        <v>33</v>
      </c>
      <c r="AJE15" s="6" t="s">
        <v>64</v>
      </c>
      <c r="AJF15" s="6" t="s">
        <v>38</v>
      </c>
      <c r="AJG15" s="6" t="s">
        <v>25</v>
      </c>
      <c r="AJH15" s="6" t="s">
        <v>25</v>
      </c>
      <c r="AJI15" s="6" t="s">
        <v>14</v>
      </c>
      <c r="AJJ15" s="6" t="s">
        <v>88</v>
      </c>
      <c r="AJK15" s="6" t="s">
        <v>38</v>
      </c>
      <c r="AJL15" s="6" t="s">
        <v>33</v>
      </c>
      <c r="AJM15" s="6" t="s">
        <v>54</v>
      </c>
      <c r="AJN15" s="6" t="s">
        <v>25</v>
      </c>
      <c r="AJO15" s="6" t="s">
        <v>36</v>
      </c>
      <c r="AJP15" s="6" t="s">
        <v>14</v>
      </c>
      <c r="AJQ15" s="6" t="s">
        <v>14</v>
      </c>
      <c r="AJR15" s="6" t="s">
        <v>14</v>
      </c>
      <c r="AJS15" s="6" t="s">
        <v>33</v>
      </c>
      <c r="AJT15" s="6" t="s">
        <v>20</v>
      </c>
      <c r="AJU15" s="6" t="s">
        <v>88</v>
      </c>
      <c r="AJV15" s="6" t="s">
        <v>54</v>
      </c>
      <c r="AJW15" s="6" t="s">
        <v>88</v>
      </c>
      <c r="AJX15" s="6" t="s">
        <v>14</v>
      </c>
      <c r="AJY15" s="6" t="s">
        <v>20</v>
      </c>
      <c r="AJZ15" s="6" t="s">
        <v>20</v>
      </c>
      <c r="AKA15" s="6" t="s">
        <v>64</v>
      </c>
      <c r="AKB15" s="6" t="s">
        <v>64</v>
      </c>
      <c r="AKC15" s="6" t="s">
        <v>64</v>
      </c>
      <c r="AKD15" s="6" t="s">
        <v>56</v>
      </c>
      <c r="AKE15" s="6" t="s">
        <v>14</v>
      </c>
      <c r="AKF15" s="6" t="s">
        <v>64</v>
      </c>
      <c r="AKG15" s="6" t="s">
        <v>64</v>
      </c>
      <c r="AKH15" s="6" t="s">
        <v>20</v>
      </c>
      <c r="AKI15" s="6" t="s">
        <v>25</v>
      </c>
      <c r="AKJ15" s="6" t="s">
        <v>88</v>
      </c>
      <c r="AKK15" s="6" t="s">
        <v>33</v>
      </c>
      <c r="AKL15" s="6" t="s">
        <v>54</v>
      </c>
      <c r="AKM15" s="6" t="s">
        <v>36</v>
      </c>
      <c r="AKN15" s="6" t="s">
        <v>25</v>
      </c>
      <c r="AKO15" s="6" t="s">
        <v>64</v>
      </c>
      <c r="AKP15" s="6" t="s">
        <v>64</v>
      </c>
      <c r="AKQ15" s="6" t="s">
        <v>14</v>
      </c>
      <c r="AKR15" s="6" t="s">
        <v>25</v>
      </c>
      <c r="AKS15" s="6" t="s">
        <v>56</v>
      </c>
      <c r="AKT15" s="6" t="s">
        <v>33</v>
      </c>
      <c r="AKU15" s="6" t="s">
        <v>56</v>
      </c>
      <c r="AKV15" s="6" t="s">
        <v>54</v>
      </c>
      <c r="AKW15" s="6" t="s">
        <v>54</v>
      </c>
      <c r="AKX15" s="6" t="s">
        <v>38</v>
      </c>
      <c r="AKY15" s="6" t="s">
        <v>33</v>
      </c>
      <c r="AKZ15" s="6" t="s">
        <v>14</v>
      </c>
      <c r="ALA15" s="6" t="s">
        <v>54</v>
      </c>
      <c r="ALB15" s="6" t="s">
        <v>64</v>
      </c>
      <c r="ALC15" s="6" t="s">
        <v>20</v>
      </c>
      <c r="ALD15" s="6" t="s">
        <v>54</v>
      </c>
      <c r="ALE15" s="6" t="s">
        <v>88</v>
      </c>
      <c r="ALF15" s="6" t="s">
        <v>54</v>
      </c>
      <c r="ALG15" s="6" t="s">
        <v>56</v>
      </c>
      <c r="ALH15" s="6" t="s">
        <v>25</v>
      </c>
      <c r="ALI15" s="6" t="s">
        <v>33</v>
      </c>
      <c r="ALJ15" s="6" t="s">
        <v>36</v>
      </c>
      <c r="ALK15" s="6" t="s">
        <v>54</v>
      </c>
      <c r="ALL15" s="6" t="s">
        <v>56</v>
      </c>
      <c r="ALM15" s="6" t="s">
        <v>64</v>
      </c>
      <c r="ALN15" s="6" t="s">
        <v>38</v>
      </c>
      <c r="ALO15" s="6" t="s">
        <v>88</v>
      </c>
      <c r="ALP15" s="6" t="s">
        <v>64</v>
      </c>
      <c r="ALQ15" s="6" t="s">
        <v>20</v>
      </c>
      <c r="ALR15" s="6" t="s">
        <v>14</v>
      </c>
      <c r="ALS15" s="6" t="s">
        <v>38</v>
      </c>
      <c r="ALT15" s="6" t="s">
        <v>36</v>
      </c>
      <c r="ALU15" s="6" t="s">
        <v>38</v>
      </c>
      <c r="ALV15" s="6" t="s">
        <v>64</v>
      </c>
      <c r="ALW15" s="6" t="s">
        <v>56</v>
      </c>
      <c r="ALX15" s="6" t="s">
        <v>38</v>
      </c>
    </row>
    <row r="16" spans="1:1012" x14ac:dyDescent="0.3">
      <c r="A16" s="6" t="s">
        <v>51</v>
      </c>
      <c r="B16" s="6" t="s">
        <v>31</v>
      </c>
      <c r="C16" s="7">
        <v>27</v>
      </c>
      <c r="D16" s="5" t="s">
        <v>18</v>
      </c>
      <c r="E16" s="6" t="s">
        <v>13</v>
      </c>
      <c r="F16" s="6" t="s">
        <v>20</v>
      </c>
      <c r="G16" s="5">
        <v>12</v>
      </c>
      <c r="H16" s="8">
        <v>44922</v>
      </c>
      <c r="I16" s="6" t="s">
        <v>49</v>
      </c>
      <c r="J16" s="6" t="s">
        <v>27</v>
      </c>
      <c r="L16" s="14" t="s">
        <v>6</v>
      </c>
      <c r="M16" s="5">
        <v>17</v>
      </c>
      <c r="N16" s="5">
        <v>31</v>
      </c>
      <c r="O16" s="5">
        <v>50</v>
      </c>
      <c r="P16" s="5">
        <v>60</v>
      </c>
      <c r="Q16" s="5">
        <v>15</v>
      </c>
      <c r="R16" s="5">
        <v>10</v>
      </c>
      <c r="S16" s="5">
        <v>11</v>
      </c>
      <c r="T16" s="5">
        <v>53</v>
      </c>
      <c r="U16" s="5">
        <v>11</v>
      </c>
      <c r="V16" s="5">
        <v>39</v>
      </c>
      <c r="W16" s="5">
        <v>52</v>
      </c>
      <c r="X16" s="5">
        <v>49</v>
      </c>
      <c r="Y16" s="5">
        <v>56</v>
      </c>
      <c r="Z16" s="5">
        <v>31</v>
      </c>
      <c r="AA16" s="5">
        <v>12</v>
      </c>
      <c r="AB16" s="5">
        <v>11</v>
      </c>
      <c r="AC16" s="5">
        <v>5</v>
      </c>
      <c r="AD16" s="5">
        <v>17</v>
      </c>
      <c r="AE16" s="5">
        <v>5</v>
      </c>
      <c r="AF16" s="5">
        <v>19</v>
      </c>
      <c r="AG16" s="5">
        <v>4</v>
      </c>
      <c r="AH16" s="5">
        <v>40</v>
      </c>
      <c r="AI16" s="5">
        <v>43</v>
      </c>
      <c r="AJ16" s="5">
        <v>19</v>
      </c>
      <c r="AK16" s="5">
        <v>23</v>
      </c>
      <c r="AL16" s="5">
        <v>3</v>
      </c>
      <c r="AM16" s="5">
        <v>25</v>
      </c>
      <c r="AN16" s="5">
        <v>29</v>
      </c>
      <c r="AO16" s="5">
        <v>35</v>
      </c>
      <c r="AP16" s="5">
        <v>11</v>
      </c>
      <c r="AQ16" s="5">
        <v>52</v>
      </c>
      <c r="AR16" s="5">
        <v>42</v>
      </c>
      <c r="AS16" s="5">
        <v>6</v>
      </c>
      <c r="AT16" s="5">
        <v>57</v>
      </c>
      <c r="AU16" s="5">
        <v>37</v>
      </c>
      <c r="AV16" s="5">
        <v>41</v>
      </c>
      <c r="AW16" s="5">
        <v>57</v>
      </c>
      <c r="AX16" s="5">
        <v>33</v>
      </c>
      <c r="AY16" s="5">
        <v>28</v>
      </c>
      <c r="AZ16" s="5">
        <v>5</v>
      </c>
      <c r="BA16" s="5">
        <v>53</v>
      </c>
      <c r="BB16" s="5">
        <v>34</v>
      </c>
      <c r="BC16" s="5">
        <v>52</v>
      </c>
      <c r="BD16" s="5">
        <v>23</v>
      </c>
      <c r="BE16" s="5">
        <v>52</v>
      </c>
      <c r="BF16" s="5">
        <v>8</v>
      </c>
      <c r="BG16" s="5">
        <v>21</v>
      </c>
      <c r="BH16" s="5">
        <v>42</v>
      </c>
      <c r="BI16" s="5">
        <v>49</v>
      </c>
      <c r="BJ16" s="5">
        <v>5</v>
      </c>
      <c r="BK16" s="5">
        <v>30</v>
      </c>
      <c r="BL16" s="5">
        <v>36</v>
      </c>
      <c r="BM16" s="5">
        <v>20</v>
      </c>
      <c r="BN16" s="5">
        <v>25</v>
      </c>
      <c r="BO16" s="5">
        <v>1</v>
      </c>
      <c r="BP16" s="5">
        <v>17</v>
      </c>
      <c r="BQ16" s="5">
        <v>20</v>
      </c>
      <c r="BR16" s="5">
        <v>40</v>
      </c>
      <c r="BS16" s="5">
        <v>35</v>
      </c>
      <c r="BT16" s="5">
        <v>48</v>
      </c>
      <c r="BU16" s="5">
        <v>30</v>
      </c>
      <c r="BV16" s="5">
        <v>47</v>
      </c>
      <c r="BW16" s="5">
        <v>20</v>
      </c>
      <c r="BX16" s="5">
        <v>40</v>
      </c>
      <c r="BY16" s="5">
        <v>53</v>
      </c>
      <c r="BZ16" s="5">
        <v>25</v>
      </c>
      <c r="CA16" s="5">
        <v>56</v>
      </c>
      <c r="CB16" s="5">
        <v>26</v>
      </c>
      <c r="CC16" s="5">
        <v>45</v>
      </c>
      <c r="CD16" s="5">
        <v>41</v>
      </c>
      <c r="CE16" s="5">
        <v>38</v>
      </c>
      <c r="CF16" s="5">
        <v>15</v>
      </c>
      <c r="CG16" s="5">
        <v>9</v>
      </c>
      <c r="CH16" s="5">
        <v>31</v>
      </c>
      <c r="CI16" s="5">
        <v>6</v>
      </c>
      <c r="CJ16" s="5">
        <v>59</v>
      </c>
      <c r="CK16" s="5">
        <v>5</v>
      </c>
      <c r="CL16" s="5">
        <v>60</v>
      </c>
      <c r="CM16" s="5">
        <v>56</v>
      </c>
      <c r="CN16" s="5">
        <v>60</v>
      </c>
      <c r="CO16" s="5">
        <v>41</v>
      </c>
      <c r="CP16" s="5">
        <v>8</v>
      </c>
      <c r="CQ16" s="5">
        <v>9</v>
      </c>
      <c r="CR16" s="5">
        <v>40</v>
      </c>
      <c r="CS16" s="5">
        <v>41</v>
      </c>
      <c r="CT16" s="5">
        <v>17</v>
      </c>
      <c r="CU16" s="5">
        <v>23</v>
      </c>
      <c r="CV16" s="5">
        <v>42</v>
      </c>
      <c r="CW16" s="5">
        <v>56</v>
      </c>
      <c r="CX16" s="5">
        <v>47</v>
      </c>
      <c r="CY16" s="5">
        <v>9</v>
      </c>
      <c r="CZ16" s="5">
        <v>24</v>
      </c>
      <c r="DA16" s="5">
        <v>41</v>
      </c>
      <c r="DB16" s="5">
        <v>16</v>
      </c>
      <c r="DC16" s="5">
        <v>56</v>
      </c>
      <c r="DD16" s="5">
        <v>11</v>
      </c>
      <c r="DE16" s="5">
        <v>58</v>
      </c>
      <c r="DF16" s="5">
        <v>50</v>
      </c>
      <c r="DG16" s="5">
        <v>40</v>
      </c>
      <c r="DH16" s="5">
        <v>38</v>
      </c>
      <c r="DI16" s="5">
        <v>10</v>
      </c>
      <c r="DJ16" s="5">
        <v>55</v>
      </c>
      <c r="DK16" s="5">
        <v>19</v>
      </c>
      <c r="DL16" s="5">
        <v>6</v>
      </c>
      <c r="DM16" s="5">
        <v>42</v>
      </c>
      <c r="DN16" s="5">
        <v>17</v>
      </c>
      <c r="DO16" s="5">
        <v>8</v>
      </c>
      <c r="DP16" s="5">
        <v>59</v>
      </c>
      <c r="DQ16" s="5">
        <v>49</v>
      </c>
      <c r="DR16" s="5">
        <v>5</v>
      </c>
      <c r="DS16" s="5">
        <v>44</v>
      </c>
      <c r="DT16" s="5">
        <v>58</v>
      </c>
      <c r="DU16" s="5">
        <v>24</v>
      </c>
      <c r="DV16" s="5">
        <v>33</v>
      </c>
      <c r="DW16" s="5">
        <v>28</v>
      </c>
      <c r="DX16" s="5">
        <v>56</v>
      </c>
      <c r="DY16" s="5">
        <v>25</v>
      </c>
      <c r="DZ16" s="5">
        <v>4</v>
      </c>
      <c r="EA16" s="5">
        <v>39</v>
      </c>
      <c r="EB16" s="5">
        <v>22</v>
      </c>
      <c r="EC16" s="5">
        <v>40</v>
      </c>
      <c r="ED16" s="5">
        <v>53</v>
      </c>
      <c r="EE16" s="5">
        <v>60</v>
      </c>
      <c r="EF16" s="5">
        <v>42</v>
      </c>
      <c r="EG16" s="5">
        <v>20</v>
      </c>
      <c r="EH16" s="5">
        <v>52</v>
      </c>
      <c r="EI16" s="5">
        <v>29</v>
      </c>
      <c r="EJ16" s="5">
        <v>22</v>
      </c>
      <c r="EK16" s="5">
        <v>54</v>
      </c>
      <c r="EL16" s="5">
        <v>10</v>
      </c>
      <c r="EM16" s="5">
        <v>59</v>
      </c>
      <c r="EN16" s="5">
        <v>21</v>
      </c>
      <c r="EO16" s="5">
        <v>26</v>
      </c>
      <c r="EP16" s="5">
        <v>60</v>
      </c>
      <c r="EQ16" s="5">
        <v>49</v>
      </c>
      <c r="ER16" s="5">
        <v>51</v>
      </c>
      <c r="ES16" s="5">
        <v>26</v>
      </c>
      <c r="ET16" s="5">
        <v>57</v>
      </c>
      <c r="EU16" s="5">
        <v>3</v>
      </c>
      <c r="EV16" s="5">
        <v>37</v>
      </c>
      <c r="EW16" s="5">
        <v>46</v>
      </c>
      <c r="EX16" s="5">
        <v>22</v>
      </c>
      <c r="EY16" s="5">
        <v>27</v>
      </c>
      <c r="EZ16" s="5">
        <v>50</v>
      </c>
      <c r="FA16" s="5">
        <v>49</v>
      </c>
      <c r="FB16" s="5">
        <v>52</v>
      </c>
      <c r="FC16" s="5">
        <v>26</v>
      </c>
      <c r="FD16" s="5">
        <v>38</v>
      </c>
      <c r="FE16" s="5">
        <v>5</v>
      </c>
      <c r="FF16" s="5">
        <v>8</v>
      </c>
      <c r="FG16" s="5">
        <v>45</v>
      </c>
      <c r="FH16" s="5">
        <v>3</v>
      </c>
      <c r="FI16" s="5">
        <v>41</v>
      </c>
      <c r="FJ16" s="5">
        <v>35</v>
      </c>
      <c r="FK16" s="5">
        <v>25</v>
      </c>
      <c r="FL16" s="5">
        <v>22</v>
      </c>
      <c r="FM16" s="5">
        <v>7</v>
      </c>
      <c r="FN16" s="5">
        <v>10</v>
      </c>
      <c r="FO16" s="5">
        <v>26</v>
      </c>
      <c r="FP16" s="5">
        <v>51</v>
      </c>
      <c r="FQ16" s="5">
        <v>30</v>
      </c>
      <c r="FR16" s="5">
        <v>33</v>
      </c>
      <c r="FS16" s="5">
        <v>45</v>
      </c>
      <c r="FT16" s="5">
        <v>16</v>
      </c>
      <c r="FU16" s="5">
        <v>24</v>
      </c>
      <c r="FV16" s="5">
        <v>47</v>
      </c>
      <c r="FW16" s="5">
        <v>14</v>
      </c>
      <c r="FX16" s="5">
        <v>18</v>
      </c>
      <c r="FY16" s="5">
        <v>46</v>
      </c>
      <c r="FZ16" s="5">
        <v>38</v>
      </c>
      <c r="GA16" s="5">
        <v>47</v>
      </c>
      <c r="GB16" s="5">
        <v>38</v>
      </c>
      <c r="GC16" s="5">
        <v>21</v>
      </c>
      <c r="GD16" s="5">
        <v>12</v>
      </c>
      <c r="GE16" s="5">
        <v>10</v>
      </c>
      <c r="GF16" s="5">
        <v>43</v>
      </c>
      <c r="GG16" s="5">
        <v>50</v>
      </c>
      <c r="GH16" s="5">
        <v>54</v>
      </c>
      <c r="GI16" s="5">
        <v>45</v>
      </c>
      <c r="GJ16" s="5">
        <v>49</v>
      </c>
      <c r="GK16" s="5">
        <v>7</v>
      </c>
      <c r="GL16" s="5">
        <v>43</v>
      </c>
      <c r="GM16" s="5">
        <v>45</v>
      </c>
      <c r="GN16" s="5">
        <v>34</v>
      </c>
      <c r="GO16" s="5">
        <v>53</v>
      </c>
      <c r="GP16" s="5">
        <v>37</v>
      </c>
      <c r="GQ16" s="5">
        <v>50</v>
      </c>
      <c r="GR16" s="5">
        <v>36</v>
      </c>
      <c r="GS16" s="5">
        <v>34</v>
      </c>
      <c r="GT16" s="5">
        <v>17</v>
      </c>
      <c r="GU16" s="5">
        <v>26</v>
      </c>
      <c r="GV16" s="5">
        <v>1</v>
      </c>
      <c r="GW16" s="5">
        <v>1</v>
      </c>
      <c r="GX16" s="5">
        <v>10</v>
      </c>
      <c r="GY16" s="5">
        <v>30</v>
      </c>
      <c r="GZ16" s="5">
        <v>11</v>
      </c>
      <c r="HA16" s="5">
        <v>3</v>
      </c>
      <c r="HB16" s="5">
        <v>18</v>
      </c>
      <c r="HC16" s="5">
        <v>18</v>
      </c>
      <c r="HD16" s="5">
        <v>3</v>
      </c>
      <c r="HE16" s="5">
        <v>5</v>
      </c>
      <c r="HF16" s="5">
        <v>24</v>
      </c>
      <c r="HG16" s="5">
        <v>7</v>
      </c>
      <c r="HH16" s="5">
        <v>13</v>
      </c>
      <c r="HI16" s="5">
        <v>38</v>
      </c>
      <c r="HJ16" s="5">
        <v>5</v>
      </c>
      <c r="HK16" s="5">
        <v>11</v>
      </c>
      <c r="HL16" s="5">
        <v>9</v>
      </c>
      <c r="HM16" s="5">
        <v>34</v>
      </c>
      <c r="HN16" s="5">
        <v>50</v>
      </c>
      <c r="HO16" s="5">
        <v>12</v>
      </c>
      <c r="HP16" s="5">
        <v>33</v>
      </c>
      <c r="HQ16" s="5">
        <v>17</v>
      </c>
      <c r="HR16" s="5">
        <v>6</v>
      </c>
      <c r="HS16" s="5">
        <v>32</v>
      </c>
      <c r="HT16" s="5">
        <v>56</v>
      </c>
      <c r="HU16" s="5">
        <v>11</v>
      </c>
      <c r="HV16" s="5">
        <v>18</v>
      </c>
      <c r="HW16" s="5">
        <v>29</v>
      </c>
      <c r="HX16" s="5">
        <v>40</v>
      </c>
      <c r="HY16" s="5">
        <v>56</v>
      </c>
      <c r="HZ16" s="5">
        <v>13</v>
      </c>
      <c r="IA16" s="5">
        <v>39</v>
      </c>
      <c r="IB16" s="5">
        <v>47</v>
      </c>
      <c r="IC16" s="5">
        <v>4</v>
      </c>
      <c r="ID16" s="5">
        <v>45</v>
      </c>
      <c r="IE16" s="5">
        <v>57</v>
      </c>
      <c r="IF16" s="5">
        <v>18</v>
      </c>
      <c r="IG16" s="5">
        <v>29</v>
      </c>
      <c r="IH16" s="5">
        <v>58</v>
      </c>
      <c r="II16" s="5">
        <v>16</v>
      </c>
      <c r="IJ16" s="5">
        <v>9</v>
      </c>
      <c r="IK16" s="5">
        <v>34</v>
      </c>
      <c r="IL16" s="5">
        <v>44</v>
      </c>
      <c r="IM16" s="5">
        <v>16</v>
      </c>
      <c r="IN16" s="5">
        <v>24</v>
      </c>
      <c r="IO16" s="5">
        <v>26</v>
      </c>
      <c r="IP16" s="5">
        <v>15</v>
      </c>
      <c r="IQ16" s="5">
        <v>14</v>
      </c>
      <c r="IR16" s="5">
        <v>58</v>
      </c>
      <c r="IS16" s="5">
        <v>25</v>
      </c>
      <c r="IT16" s="5">
        <v>56</v>
      </c>
      <c r="IU16" s="5">
        <v>8</v>
      </c>
      <c r="IV16" s="5">
        <v>8</v>
      </c>
      <c r="IW16" s="5">
        <v>7</v>
      </c>
      <c r="IX16" s="5">
        <v>60</v>
      </c>
      <c r="IY16" s="5">
        <v>31</v>
      </c>
      <c r="IZ16" s="5">
        <v>15</v>
      </c>
      <c r="JA16" s="5">
        <v>1</v>
      </c>
      <c r="JB16" s="5">
        <v>13</v>
      </c>
      <c r="JC16" s="5">
        <v>45</v>
      </c>
      <c r="JD16" s="5">
        <v>8</v>
      </c>
      <c r="JE16" s="5">
        <v>42</v>
      </c>
      <c r="JF16" s="5">
        <v>35</v>
      </c>
      <c r="JG16" s="5">
        <v>36</v>
      </c>
      <c r="JH16" s="5">
        <v>56</v>
      </c>
      <c r="JI16" s="5">
        <v>27</v>
      </c>
      <c r="JJ16" s="5">
        <v>52</v>
      </c>
      <c r="JK16" s="5">
        <v>19</v>
      </c>
      <c r="JL16" s="5">
        <v>38</v>
      </c>
      <c r="JM16" s="5">
        <v>23</v>
      </c>
      <c r="JN16" s="5">
        <v>3</v>
      </c>
      <c r="JO16" s="5">
        <v>22</v>
      </c>
      <c r="JP16" s="5">
        <v>57</v>
      </c>
      <c r="JQ16" s="5">
        <v>28</v>
      </c>
      <c r="JR16" s="5">
        <v>54</v>
      </c>
      <c r="JS16" s="5">
        <v>21</v>
      </c>
      <c r="JT16" s="5">
        <v>45</v>
      </c>
      <c r="JU16" s="5">
        <v>5</v>
      </c>
      <c r="JV16" s="5">
        <v>46</v>
      </c>
      <c r="JW16" s="5">
        <v>47</v>
      </c>
      <c r="JX16" s="5">
        <v>50</v>
      </c>
      <c r="JY16" s="5">
        <v>25</v>
      </c>
      <c r="JZ16" s="5">
        <v>52</v>
      </c>
      <c r="KA16" s="5">
        <v>3</v>
      </c>
      <c r="KB16" s="5">
        <v>38</v>
      </c>
      <c r="KC16" s="5">
        <v>1</v>
      </c>
      <c r="KD16" s="5">
        <v>33</v>
      </c>
      <c r="KE16" s="5">
        <v>36</v>
      </c>
      <c r="KF16" s="5">
        <v>42</v>
      </c>
      <c r="KG16" s="5">
        <v>14</v>
      </c>
      <c r="KH16" s="5">
        <v>42</v>
      </c>
      <c r="KI16" s="5">
        <v>41</v>
      </c>
      <c r="KJ16" s="5">
        <v>36</v>
      </c>
      <c r="KK16" s="5">
        <v>52</v>
      </c>
      <c r="KL16" s="5">
        <v>52</v>
      </c>
      <c r="KM16" s="5">
        <v>33</v>
      </c>
      <c r="KN16" s="5">
        <v>44</v>
      </c>
      <c r="KO16" s="5">
        <v>11</v>
      </c>
      <c r="KP16" s="5">
        <v>56</v>
      </c>
      <c r="KQ16" s="5">
        <v>60</v>
      </c>
      <c r="KR16" s="5">
        <v>18</v>
      </c>
      <c r="KS16" s="5">
        <v>6</v>
      </c>
      <c r="KT16" s="5">
        <v>57</v>
      </c>
      <c r="KU16" s="5">
        <v>22</v>
      </c>
      <c r="KV16" s="5">
        <v>37</v>
      </c>
      <c r="KW16" s="5">
        <v>42</v>
      </c>
      <c r="KX16" s="5">
        <v>40</v>
      </c>
      <c r="KY16" s="5">
        <v>35</v>
      </c>
      <c r="KZ16" s="5">
        <v>31</v>
      </c>
      <c r="LA16" s="5">
        <v>25</v>
      </c>
      <c r="LB16" s="5">
        <v>58</v>
      </c>
      <c r="LC16" s="5">
        <v>29</v>
      </c>
      <c r="LD16" s="5">
        <v>36</v>
      </c>
      <c r="LE16" s="5">
        <v>59</v>
      </c>
      <c r="LF16" s="5">
        <v>44</v>
      </c>
      <c r="LG16" s="5">
        <v>33</v>
      </c>
      <c r="LH16" s="5">
        <v>27</v>
      </c>
      <c r="LI16" s="5">
        <v>56</v>
      </c>
      <c r="LJ16" s="5">
        <v>13</v>
      </c>
      <c r="LK16" s="5">
        <v>23</v>
      </c>
      <c r="LL16" s="5">
        <v>27</v>
      </c>
      <c r="LM16" s="5">
        <v>51</v>
      </c>
      <c r="LN16" s="5">
        <v>9</v>
      </c>
      <c r="LO16" s="5">
        <v>5</v>
      </c>
      <c r="LP16" s="5">
        <v>34</v>
      </c>
      <c r="LQ16" s="5">
        <v>31</v>
      </c>
      <c r="LR16" s="5">
        <v>56</v>
      </c>
      <c r="LS16" s="5">
        <v>8</v>
      </c>
      <c r="LT16" s="5">
        <v>45</v>
      </c>
      <c r="LU16" s="5">
        <v>6</v>
      </c>
      <c r="LV16" s="5">
        <v>25</v>
      </c>
      <c r="LW16" s="5">
        <v>58</v>
      </c>
      <c r="LX16" s="5">
        <v>1</v>
      </c>
      <c r="LY16" s="5">
        <v>35</v>
      </c>
      <c r="LZ16" s="5">
        <v>51</v>
      </c>
      <c r="MA16" s="5">
        <v>53</v>
      </c>
      <c r="MB16" s="5">
        <v>37</v>
      </c>
      <c r="MC16" s="5">
        <v>6</v>
      </c>
      <c r="MD16" s="5">
        <v>43</v>
      </c>
      <c r="ME16" s="5">
        <v>12</v>
      </c>
      <c r="MF16" s="5">
        <v>43</v>
      </c>
      <c r="MG16" s="5">
        <v>50</v>
      </c>
      <c r="MH16" s="5">
        <v>5</v>
      </c>
      <c r="MI16" s="5">
        <v>37</v>
      </c>
      <c r="MJ16" s="5">
        <v>43</v>
      </c>
      <c r="MK16" s="5">
        <v>36</v>
      </c>
      <c r="ML16" s="5">
        <v>48</v>
      </c>
      <c r="MM16" s="5">
        <v>50</v>
      </c>
      <c r="MN16" s="5">
        <v>19</v>
      </c>
      <c r="MO16" s="5">
        <v>14</v>
      </c>
      <c r="MP16" s="5">
        <v>47</v>
      </c>
      <c r="MQ16" s="5">
        <v>36</v>
      </c>
      <c r="MR16" s="5">
        <v>21</v>
      </c>
      <c r="MS16" s="5">
        <v>29</v>
      </c>
      <c r="MT16" s="5">
        <v>8</v>
      </c>
      <c r="MU16" s="5">
        <v>12</v>
      </c>
      <c r="MV16" s="5">
        <v>34</v>
      </c>
      <c r="MW16" s="5">
        <v>4</v>
      </c>
      <c r="MX16" s="5">
        <v>42</v>
      </c>
      <c r="MY16" s="5">
        <v>10</v>
      </c>
      <c r="MZ16" s="5">
        <v>54</v>
      </c>
      <c r="NA16" s="5">
        <v>16</v>
      </c>
      <c r="NB16" s="5">
        <v>44</v>
      </c>
      <c r="NC16" s="5">
        <v>14</v>
      </c>
      <c r="ND16" s="5">
        <v>51</v>
      </c>
      <c r="NE16" s="5">
        <v>24</v>
      </c>
      <c r="NF16" s="5">
        <v>57</v>
      </c>
      <c r="NG16" s="5">
        <v>51</v>
      </c>
      <c r="NH16" s="5">
        <v>4</v>
      </c>
      <c r="NI16" s="5">
        <v>46</v>
      </c>
      <c r="NJ16" s="5">
        <v>12</v>
      </c>
      <c r="NK16" s="5">
        <v>43</v>
      </c>
      <c r="NL16" s="5">
        <v>47</v>
      </c>
      <c r="NM16" s="5">
        <v>5</v>
      </c>
      <c r="NN16" s="5">
        <v>37</v>
      </c>
      <c r="NO16" s="5">
        <v>38</v>
      </c>
      <c r="NP16" s="5">
        <v>41</v>
      </c>
      <c r="NQ16" s="5">
        <v>46</v>
      </c>
      <c r="NR16" s="5">
        <v>7</v>
      </c>
      <c r="NS16" s="5">
        <v>17</v>
      </c>
      <c r="NT16" s="5">
        <v>20</v>
      </c>
      <c r="NU16" s="5">
        <v>30</v>
      </c>
      <c r="NV16" s="5">
        <v>3</v>
      </c>
      <c r="NW16" s="5">
        <v>7</v>
      </c>
      <c r="NX16" s="5">
        <v>40</v>
      </c>
      <c r="NY16" s="5">
        <v>45</v>
      </c>
      <c r="NZ16" s="5">
        <v>12</v>
      </c>
      <c r="OA16" s="5">
        <v>58</v>
      </c>
      <c r="OB16" s="5">
        <v>32</v>
      </c>
      <c r="OC16" s="5">
        <v>27</v>
      </c>
      <c r="OD16" s="5">
        <v>45</v>
      </c>
      <c r="OE16" s="5">
        <v>8</v>
      </c>
      <c r="OF16" s="5">
        <v>6</v>
      </c>
      <c r="OG16" s="5">
        <v>53</v>
      </c>
      <c r="OH16" s="5">
        <v>14</v>
      </c>
      <c r="OI16" s="5">
        <v>2</v>
      </c>
      <c r="OJ16" s="5">
        <v>37</v>
      </c>
      <c r="OK16" s="5">
        <v>6</v>
      </c>
      <c r="OL16" s="5">
        <v>51</v>
      </c>
      <c r="OM16" s="5">
        <v>3</v>
      </c>
      <c r="ON16" s="5">
        <v>3</v>
      </c>
      <c r="OO16" s="5">
        <v>58</v>
      </c>
      <c r="OP16" s="5">
        <v>38</v>
      </c>
      <c r="OQ16" s="5">
        <v>3</v>
      </c>
      <c r="OR16" s="5">
        <v>48</v>
      </c>
      <c r="OS16" s="5">
        <v>24</v>
      </c>
      <c r="OT16" s="5">
        <v>55</v>
      </c>
      <c r="OU16" s="5">
        <v>8</v>
      </c>
      <c r="OV16" s="5">
        <v>16</v>
      </c>
      <c r="OW16" s="5">
        <v>32</v>
      </c>
      <c r="OX16" s="5">
        <v>42</v>
      </c>
      <c r="OY16" s="5">
        <v>20</v>
      </c>
      <c r="OZ16" s="5">
        <v>51</v>
      </c>
      <c r="PA16" s="5">
        <v>21</v>
      </c>
      <c r="PB16" s="5">
        <v>43</v>
      </c>
      <c r="PC16" s="5">
        <v>43</v>
      </c>
      <c r="PD16" s="5">
        <v>49</v>
      </c>
      <c r="PE16" s="5">
        <v>19</v>
      </c>
      <c r="PF16" s="5">
        <v>13</v>
      </c>
      <c r="PG16" s="5">
        <v>29</v>
      </c>
      <c r="PH16" s="5">
        <v>45</v>
      </c>
      <c r="PI16" s="5">
        <v>11</v>
      </c>
      <c r="PJ16" s="5">
        <v>22</v>
      </c>
      <c r="PK16" s="5">
        <v>53</v>
      </c>
      <c r="PL16" s="5">
        <v>55</v>
      </c>
      <c r="PM16" s="5">
        <v>40</v>
      </c>
      <c r="PN16" s="5">
        <v>46</v>
      </c>
      <c r="PO16" s="5">
        <v>20</v>
      </c>
      <c r="PP16" s="5">
        <v>52</v>
      </c>
      <c r="PQ16" s="5">
        <v>21</v>
      </c>
      <c r="PR16" s="5">
        <v>2</v>
      </c>
      <c r="PS16" s="5">
        <v>51</v>
      </c>
      <c r="PT16" s="5">
        <v>37</v>
      </c>
      <c r="PU16" s="5">
        <v>37</v>
      </c>
      <c r="PV16" s="5">
        <v>48</v>
      </c>
      <c r="PW16" s="5">
        <v>41</v>
      </c>
      <c r="PX16" s="5">
        <v>6</v>
      </c>
      <c r="PY16" s="5">
        <v>42</v>
      </c>
      <c r="PZ16" s="5">
        <v>35</v>
      </c>
      <c r="QA16" s="5">
        <v>26</v>
      </c>
      <c r="QB16" s="5">
        <v>53</v>
      </c>
      <c r="QC16" s="5">
        <v>13</v>
      </c>
      <c r="QD16" s="5">
        <v>7</v>
      </c>
      <c r="QE16" s="5">
        <v>25</v>
      </c>
      <c r="QF16" s="5">
        <v>57</v>
      </c>
      <c r="QG16" s="5">
        <v>21</v>
      </c>
      <c r="QH16" s="5">
        <v>3</v>
      </c>
      <c r="QI16" s="5">
        <v>33</v>
      </c>
      <c r="QJ16" s="5">
        <v>24</v>
      </c>
      <c r="QK16" s="5">
        <v>60</v>
      </c>
      <c r="QL16" s="5">
        <v>39</v>
      </c>
      <c r="QM16" s="5">
        <v>58</v>
      </c>
      <c r="QN16" s="5">
        <v>33</v>
      </c>
      <c r="QO16" s="5">
        <v>13</v>
      </c>
      <c r="QP16" s="5">
        <v>50</v>
      </c>
      <c r="QQ16" s="5">
        <v>57</v>
      </c>
      <c r="QR16" s="5">
        <v>14</v>
      </c>
      <c r="QS16" s="5">
        <v>28</v>
      </c>
      <c r="QT16" s="5">
        <v>18</v>
      </c>
      <c r="QU16" s="5">
        <v>19</v>
      </c>
      <c r="QV16" s="5">
        <v>33</v>
      </c>
      <c r="QW16" s="5">
        <v>56</v>
      </c>
      <c r="QX16" s="5">
        <v>30</v>
      </c>
      <c r="QY16" s="5">
        <v>57</v>
      </c>
      <c r="QZ16" s="5">
        <v>1</v>
      </c>
      <c r="RA16" s="5">
        <v>18</v>
      </c>
      <c r="RB16" s="5">
        <v>43</v>
      </c>
      <c r="RC16" s="5">
        <v>50</v>
      </c>
      <c r="RD16" s="5">
        <v>59</v>
      </c>
      <c r="RE16" s="5">
        <v>47</v>
      </c>
      <c r="RF16" s="5">
        <v>17</v>
      </c>
      <c r="RG16" s="5">
        <v>39</v>
      </c>
      <c r="RH16" s="5">
        <v>60</v>
      </c>
      <c r="RI16" s="5">
        <v>38</v>
      </c>
      <c r="RJ16" s="5">
        <v>34</v>
      </c>
      <c r="RK16" s="5">
        <v>40</v>
      </c>
      <c r="RL16" s="5">
        <v>58</v>
      </c>
      <c r="RM16" s="5">
        <v>9</v>
      </c>
      <c r="RN16" s="5">
        <v>12</v>
      </c>
      <c r="RO16" s="5">
        <v>57</v>
      </c>
      <c r="RP16" s="5">
        <v>32</v>
      </c>
      <c r="RQ16" s="5">
        <v>58</v>
      </c>
      <c r="RR16" s="5">
        <v>6</v>
      </c>
      <c r="RS16" s="5">
        <v>56</v>
      </c>
      <c r="RT16" s="5">
        <v>45</v>
      </c>
      <c r="RU16" s="5">
        <v>10</v>
      </c>
      <c r="RV16" s="5">
        <v>53</v>
      </c>
      <c r="RW16" s="5">
        <v>4</v>
      </c>
      <c r="RX16" s="5">
        <v>16</v>
      </c>
      <c r="RY16" s="5">
        <v>20</v>
      </c>
      <c r="RZ16" s="5">
        <v>55</v>
      </c>
      <c r="SA16" s="5">
        <v>21</v>
      </c>
      <c r="SB16" s="5">
        <v>24</v>
      </c>
      <c r="SC16" s="5">
        <v>8</v>
      </c>
      <c r="SD16" s="5">
        <v>45</v>
      </c>
      <c r="SE16" s="5">
        <v>25</v>
      </c>
      <c r="SF16" s="5">
        <v>10</v>
      </c>
      <c r="SG16" s="5">
        <v>44</v>
      </c>
      <c r="SH16" s="5">
        <v>31</v>
      </c>
      <c r="SI16" s="5">
        <v>36</v>
      </c>
      <c r="SJ16" s="5">
        <v>35</v>
      </c>
      <c r="SK16" s="5">
        <v>39</v>
      </c>
      <c r="SL16" s="5">
        <v>32</v>
      </c>
      <c r="SM16" s="5">
        <v>60</v>
      </c>
      <c r="SN16" s="5">
        <v>59</v>
      </c>
      <c r="SO16" s="5">
        <v>21</v>
      </c>
      <c r="SP16" s="5">
        <v>5</v>
      </c>
      <c r="SQ16" s="5">
        <v>60</v>
      </c>
      <c r="SR16" s="5">
        <v>40</v>
      </c>
      <c r="SS16" s="5">
        <v>13</v>
      </c>
      <c r="ST16" s="5">
        <v>2</v>
      </c>
      <c r="SU16" s="5">
        <v>13</v>
      </c>
      <c r="SV16" s="5">
        <v>27</v>
      </c>
      <c r="SW16" s="5">
        <v>21</v>
      </c>
      <c r="SX16" s="5">
        <v>56</v>
      </c>
      <c r="SY16" s="5">
        <v>58</v>
      </c>
      <c r="SZ16" s="5">
        <v>47</v>
      </c>
      <c r="TA16" s="5">
        <v>42</v>
      </c>
      <c r="TB16" s="5">
        <v>46</v>
      </c>
      <c r="TC16" s="5">
        <v>47</v>
      </c>
      <c r="TD16" s="5">
        <v>8</v>
      </c>
      <c r="TE16" s="5">
        <v>36</v>
      </c>
      <c r="TF16" s="5">
        <v>30</v>
      </c>
      <c r="TG16" s="5">
        <v>6</v>
      </c>
      <c r="TH16" s="5">
        <v>55</v>
      </c>
      <c r="TI16" s="5">
        <v>40</v>
      </c>
      <c r="TJ16" s="5">
        <v>39</v>
      </c>
      <c r="TK16" s="5">
        <v>45</v>
      </c>
      <c r="TL16" s="5">
        <v>31</v>
      </c>
      <c r="TM16" s="5">
        <v>20</v>
      </c>
      <c r="TN16" s="5">
        <v>13</v>
      </c>
      <c r="TO16" s="5">
        <v>44</v>
      </c>
      <c r="TP16" s="5">
        <v>38</v>
      </c>
      <c r="TQ16" s="5">
        <v>17</v>
      </c>
      <c r="TR16" s="5">
        <v>36</v>
      </c>
      <c r="TS16" s="5">
        <v>41</v>
      </c>
      <c r="TT16" s="5">
        <v>54</v>
      </c>
      <c r="TU16" s="5">
        <v>40</v>
      </c>
      <c r="TV16" s="5">
        <v>18</v>
      </c>
      <c r="TW16" s="5">
        <v>19</v>
      </c>
      <c r="TX16" s="5">
        <v>25</v>
      </c>
      <c r="TY16" s="5">
        <v>1</v>
      </c>
      <c r="TZ16" s="5">
        <v>50</v>
      </c>
      <c r="UA16" s="5">
        <v>59</v>
      </c>
      <c r="UB16" s="5">
        <v>21</v>
      </c>
      <c r="UC16" s="5">
        <v>27</v>
      </c>
      <c r="UD16" s="5">
        <v>5</v>
      </c>
      <c r="UE16" s="5">
        <v>33</v>
      </c>
      <c r="UF16" s="5">
        <v>19</v>
      </c>
      <c r="UG16" s="5">
        <v>24</v>
      </c>
      <c r="UH16" s="5">
        <v>60</v>
      </c>
      <c r="UI16" s="5">
        <v>35</v>
      </c>
      <c r="UJ16" s="5">
        <v>49</v>
      </c>
      <c r="UK16" s="5">
        <v>13</v>
      </c>
      <c r="UL16" s="5">
        <v>58</v>
      </c>
      <c r="UM16" s="5">
        <v>29</v>
      </c>
      <c r="UN16" s="5">
        <v>43</v>
      </c>
      <c r="UO16" s="5">
        <v>45</v>
      </c>
      <c r="UP16" s="5">
        <v>44</v>
      </c>
      <c r="UQ16" s="5">
        <v>44</v>
      </c>
      <c r="UR16" s="5">
        <v>14</v>
      </c>
      <c r="US16" s="5">
        <v>45</v>
      </c>
      <c r="UT16" s="5">
        <v>31</v>
      </c>
      <c r="UU16" s="5">
        <v>30</v>
      </c>
      <c r="UV16" s="5">
        <v>28</v>
      </c>
      <c r="UW16" s="5">
        <v>37</v>
      </c>
      <c r="UX16" s="5">
        <v>59</v>
      </c>
      <c r="UY16" s="5">
        <v>27</v>
      </c>
      <c r="UZ16" s="5">
        <v>3</v>
      </c>
      <c r="VA16" s="5">
        <v>44</v>
      </c>
      <c r="VB16" s="5">
        <v>51</v>
      </c>
      <c r="VC16" s="5">
        <v>56</v>
      </c>
      <c r="VD16" s="5">
        <v>31</v>
      </c>
      <c r="VE16" s="5">
        <v>26</v>
      </c>
      <c r="VF16" s="5">
        <v>36</v>
      </c>
      <c r="VG16" s="5">
        <v>46</v>
      </c>
      <c r="VH16" s="5">
        <v>48</v>
      </c>
      <c r="VI16" s="5">
        <v>34</v>
      </c>
      <c r="VJ16" s="5">
        <v>54</v>
      </c>
      <c r="VK16" s="5">
        <v>8</v>
      </c>
      <c r="VL16" s="5">
        <v>7</v>
      </c>
      <c r="VM16" s="5">
        <v>8</v>
      </c>
      <c r="VN16" s="5">
        <v>37</v>
      </c>
      <c r="VO16" s="5">
        <v>10</v>
      </c>
      <c r="VP16" s="5">
        <v>33</v>
      </c>
      <c r="VQ16" s="5">
        <v>50</v>
      </c>
      <c r="VR16" s="5">
        <v>20</v>
      </c>
      <c r="VS16" s="5">
        <v>20</v>
      </c>
      <c r="VT16" s="5">
        <v>4</v>
      </c>
      <c r="VU16" s="5">
        <v>21</v>
      </c>
      <c r="VV16" s="5">
        <v>44</v>
      </c>
      <c r="VW16" s="5">
        <v>23</v>
      </c>
      <c r="VX16" s="5">
        <v>52</v>
      </c>
      <c r="VY16" s="5">
        <v>6</v>
      </c>
      <c r="VZ16" s="5">
        <v>40</v>
      </c>
      <c r="WA16" s="5">
        <v>42</v>
      </c>
      <c r="WB16" s="5">
        <v>37</v>
      </c>
      <c r="WC16" s="5">
        <v>17</v>
      </c>
      <c r="WD16" s="5">
        <v>26</v>
      </c>
      <c r="WE16" s="5">
        <v>12</v>
      </c>
      <c r="WF16" s="5">
        <v>45</v>
      </c>
      <c r="WG16" s="5">
        <v>35</v>
      </c>
      <c r="WH16" s="5">
        <v>12</v>
      </c>
      <c r="WI16" s="5">
        <v>48</v>
      </c>
      <c r="WJ16" s="5">
        <v>47</v>
      </c>
      <c r="WK16" s="5">
        <v>26</v>
      </c>
      <c r="WL16" s="5">
        <v>44</v>
      </c>
      <c r="WM16" s="5">
        <v>25</v>
      </c>
      <c r="WN16" s="5">
        <v>30</v>
      </c>
      <c r="WO16" s="5">
        <v>27</v>
      </c>
      <c r="WP16" s="5">
        <v>35</v>
      </c>
      <c r="WQ16" s="5">
        <v>20</v>
      </c>
      <c r="WR16" s="5">
        <v>48</v>
      </c>
      <c r="WS16" s="5">
        <v>60</v>
      </c>
      <c r="WT16" s="5">
        <v>49</v>
      </c>
      <c r="WU16" s="5">
        <v>8</v>
      </c>
      <c r="WV16" s="5">
        <v>9</v>
      </c>
      <c r="WW16" s="5">
        <v>37</v>
      </c>
      <c r="WX16" s="5">
        <v>33</v>
      </c>
      <c r="WY16" s="5">
        <v>34</v>
      </c>
      <c r="WZ16" s="5">
        <v>32</v>
      </c>
      <c r="XA16" s="5">
        <v>10</v>
      </c>
      <c r="XB16" s="5">
        <v>50</v>
      </c>
      <c r="XC16" s="5">
        <v>8</v>
      </c>
      <c r="XD16" s="5">
        <v>50</v>
      </c>
      <c r="XE16" s="5">
        <v>56</v>
      </c>
      <c r="XF16" s="5">
        <v>27</v>
      </c>
      <c r="XG16" s="5">
        <v>59</v>
      </c>
      <c r="XH16" s="5">
        <v>8</v>
      </c>
      <c r="XI16" s="5">
        <v>34</v>
      </c>
      <c r="XJ16" s="5">
        <v>23</v>
      </c>
      <c r="XK16" s="5">
        <v>54</v>
      </c>
      <c r="XL16" s="5">
        <v>9</v>
      </c>
      <c r="XM16" s="5">
        <v>37</v>
      </c>
      <c r="XN16" s="5">
        <v>8</v>
      </c>
      <c r="XO16" s="5">
        <v>26</v>
      </c>
      <c r="XP16" s="5">
        <v>57</v>
      </c>
      <c r="XQ16" s="5">
        <v>44</v>
      </c>
      <c r="XR16" s="5">
        <v>11</v>
      </c>
      <c r="XS16" s="5">
        <v>33</v>
      </c>
      <c r="XT16" s="5">
        <v>12</v>
      </c>
      <c r="XU16" s="5">
        <v>4</v>
      </c>
      <c r="XV16" s="5">
        <v>28</v>
      </c>
      <c r="XW16" s="5">
        <v>15</v>
      </c>
      <c r="XX16" s="5">
        <v>49</v>
      </c>
      <c r="XY16" s="5">
        <v>35</v>
      </c>
      <c r="XZ16" s="5">
        <v>45</v>
      </c>
      <c r="YA16" s="5">
        <v>6</v>
      </c>
      <c r="YB16" s="5">
        <v>28</v>
      </c>
      <c r="YC16" s="5">
        <v>14</v>
      </c>
      <c r="YD16" s="5">
        <v>3</v>
      </c>
      <c r="YE16" s="5">
        <v>19</v>
      </c>
      <c r="YF16" s="5">
        <v>14</v>
      </c>
      <c r="YG16" s="5">
        <v>43</v>
      </c>
      <c r="YH16" s="5">
        <v>18</v>
      </c>
      <c r="YI16" s="5">
        <v>42</v>
      </c>
      <c r="YJ16" s="5">
        <v>29</v>
      </c>
      <c r="YK16" s="5">
        <v>44</v>
      </c>
      <c r="YL16" s="5">
        <v>7</v>
      </c>
      <c r="YM16" s="5">
        <v>29</v>
      </c>
      <c r="YN16" s="5">
        <v>58</v>
      </c>
      <c r="YO16" s="5">
        <v>44</v>
      </c>
      <c r="YP16" s="5">
        <v>58</v>
      </c>
      <c r="YQ16" s="5">
        <v>31</v>
      </c>
      <c r="YR16" s="5">
        <v>60</v>
      </c>
      <c r="YS16" s="5">
        <v>29</v>
      </c>
      <c r="YT16" s="5">
        <v>9</v>
      </c>
      <c r="YU16" s="5">
        <v>15</v>
      </c>
      <c r="YV16" s="5">
        <v>28</v>
      </c>
      <c r="YW16" s="5">
        <v>41</v>
      </c>
      <c r="YX16" s="5">
        <v>57</v>
      </c>
      <c r="YY16" s="5">
        <v>49</v>
      </c>
      <c r="YZ16" s="5">
        <v>40</v>
      </c>
      <c r="ZA16" s="5">
        <v>2</v>
      </c>
      <c r="ZB16" s="5">
        <v>7</v>
      </c>
      <c r="ZC16" s="5">
        <v>58</v>
      </c>
      <c r="ZD16" s="5">
        <v>1</v>
      </c>
      <c r="ZE16" s="5">
        <v>9</v>
      </c>
      <c r="ZF16" s="5">
        <v>16</v>
      </c>
      <c r="ZG16" s="5">
        <v>56</v>
      </c>
      <c r="ZH16" s="5">
        <v>27</v>
      </c>
      <c r="ZI16" s="5">
        <v>17</v>
      </c>
      <c r="ZJ16" s="5">
        <v>31</v>
      </c>
      <c r="ZK16" s="5">
        <v>8</v>
      </c>
      <c r="ZL16" s="5">
        <v>34</v>
      </c>
      <c r="ZM16" s="5">
        <v>12</v>
      </c>
      <c r="ZN16" s="5">
        <v>41</v>
      </c>
      <c r="ZO16" s="5">
        <v>21</v>
      </c>
      <c r="ZP16" s="5">
        <v>34</v>
      </c>
      <c r="ZQ16" s="5">
        <v>51</v>
      </c>
      <c r="ZR16" s="5">
        <v>29</v>
      </c>
      <c r="ZS16" s="5">
        <v>32</v>
      </c>
      <c r="ZT16" s="5">
        <v>1</v>
      </c>
      <c r="ZU16" s="5">
        <v>30</v>
      </c>
      <c r="ZV16" s="5">
        <v>55</v>
      </c>
      <c r="ZW16" s="5">
        <v>10</v>
      </c>
      <c r="ZX16" s="5">
        <v>52</v>
      </c>
      <c r="ZY16" s="5">
        <v>56</v>
      </c>
      <c r="ZZ16" s="5">
        <v>47</v>
      </c>
      <c r="AAA16" s="5">
        <v>55</v>
      </c>
      <c r="AAB16" s="5">
        <v>21</v>
      </c>
      <c r="AAC16" s="5">
        <v>12</v>
      </c>
      <c r="AAD16" s="5">
        <v>11</v>
      </c>
      <c r="AAE16" s="5">
        <v>19</v>
      </c>
      <c r="AAF16" s="5">
        <v>20</v>
      </c>
      <c r="AAG16" s="5">
        <v>41</v>
      </c>
      <c r="AAH16" s="5">
        <v>8</v>
      </c>
      <c r="AAI16" s="5">
        <v>22</v>
      </c>
      <c r="AAJ16" s="5">
        <v>6</v>
      </c>
      <c r="AAK16" s="5">
        <v>34</v>
      </c>
      <c r="AAL16" s="5">
        <v>54</v>
      </c>
      <c r="AAM16" s="5">
        <v>6</v>
      </c>
      <c r="AAN16" s="5">
        <v>18</v>
      </c>
      <c r="AAO16" s="5">
        <v>24</v>
      </c>
      <c r="AAP16" s="5">
        <v>21</v>
      </c>
      <c r="AAQ16" s="5">
        <v>38</v>
      </c>
      <c r="AAR16" s="5">
        <v>39</v>
      </c>
      <c r="AAS16" s="5">
        <v>42</v>
      </c>
      <c r="AAT16" s="5">
        <v>20</v>
      </c>
      <c r="AAU16" s="5">
        <v>51</v>
      </c>
      <c r="AAV16" s="5">
        <v>57</v>
      </c>
      <c r="AAW16" s="5">
        <v>53</v>
      </c>
      <c r="AAX16" s="5">
        <v>56</v>
      </c>
      <c r="AAY16" s="5">
        <v>10</v>
      </c>
      <c r="AAZ16" s="5">
        <v>1</v>
      </c>
      <c r="ABA16" s="5">
        <v>40</v>
      </c>
      <c r="ABB16" s="5">
        <v>16</v>
      </c>
      <c r="ABC16" s="5">
        <v>37</v>
      </c>
      <c r="ABD16" s="5">
        <v>10</v>
      </c>
      <c r="ABE16" s="5">
        <v>15</v>
      </c>
      <c r="ABF16" s="5">
        <v>16</v>
      </c>
      <c r="ABG16" s="5">
        <v>21</v>
      </c>
      <c r="ABH16" s="5">
        <v>25</v>
      </c>
      <c r="ABI16" s="5">
        <v>24</v>
      </c>
      <c r="ABJ16" s="5">
        <v>51</v>
      </c>
      <c r="ABK16" s="5">
        <v>9</v>
      </c>
      <c r="ABL16" s="5">
        <v>48</v>
      </c>
      <c r="ABM16" s="5">
        <v>50</v>
      </c>
      <c r="ABN16" s="5">
        <v>3</v>
      </c>
      <c r="ABO16" s="5">
        <v>52</v>
      </c>
      <c r="ABP16" s="5">
        <v>57</v>
      </c>
      <c r="ABQ16" s="5">
        <v>34</v>
      </c>
      <c r="ABR16" s="5">
        <v>46</v>
      </c>
      <c r="ABS16" s="5">
        <v>17</v>
      </c>
      <c r="ABT16" s="5">
        <v>1</v>
      </c>
      <c r="ABU16" s="5">
        <v>58</v>
      </c>
      <c r="ABV16" s="5">
        <v>23</v>
      </c>
      <c r="ABW16" s="5">
        <v>2</v>
      </c>
      <c r="ABX16" s="5">
        <v>50</v>
      </c>
      <c r="ABY16" s="5">
        <v>2</v>
      </c>
      <c r="ABZ16" s="5">
        <v>20</v>
      </c>
      <c r="ACA16" s="5">
        <v>21</v>
      </c>
      <c r="ACB16" s="5">
        <v>2</v>
      </c>
      <c r="ACC16" s="5">
        <v>14</v>
      </c>
      <c r="ACD16" s="5">
        <v>50</v>
      </c>
      <c r="ACE16" s="5">
        <v>7</v>
      </c>
      <c r="ACF16" s="5">
        <v>22</v>
      </c>
      <c r="ACG16" s="5">
        <v>32</v>
      </c>
      <c r="ACH16" s="5">
        <v>3</v>
      </c>
      <c r="ACI16" s="5">
        <v>23</v>
      </c>
      <c r="ACJ16" s="5">
        <v>12</v>
      </c>
      <c r="ACK16" s="5">
        <v>43</v>
      </c>
      <c r="ACL16" s="5">
        <v>53</v>
      </c>
      <c r="ACM16" s="5">
        <v>40</v>
      </c>
      <c r="ACN16" s="5">
        <v>23</v>
      </c>
      <c r="ACO16" s="5">
        <v>22</v>
      </c>
      <c r="ACP16" s="5">
        <v>39</v>
      </c>
      <c r="ACQ16" s="5">
        <v>52</v>
      </c>
      <c r="ACR16" s="5">
        <v>3</v>
      </c>
      <c r="ACS16" s="5">
        <v>3</v>
      </c>
      <c r="ACT16" s="5">
        <v>19</v>
      </c>
      <c r="ACU16" s="5">
        <v>29</v>
      </c>
      <c r="ACV16" s="5">
        <v>22</v>
      </c>
      <c r="ACW16" s="5">
        <v>53</v>
      </c>
      <c r="ACX16" s="5">
        <v>10</v>
      </c>
      <c r="ACY16" s="5">
        <v>57</v>
      </c>
      <c r="ACZ16" s="5">
        <v>57</v>
      </c>
      <c r="ADA16" s="5">
        <v>23</v>
      </c>
      <c r="ADB16" s="5">
        <v>32</v>
      </c>
      <c r="ADC16" s="5">
        <v>8</v>
      </c>
      <c r="ADD16" s="5">
        <v>9</v>
      </c>
      <c r="ADE16" s="5">
        <v>59</v>
      </c>
      <c r="ADF16" s="5">
        <v>57</v>
      </c>
      <c r="ADG16" s="5">
        <v>24</v>
      </c>
      <c r="ADH16" s="5">
        <v>10</v>
      </c>
      <c r="ADI16" s="5">
        <v>12</v>
      </c>
      <c r="ADJ16" s="5">
        <v>1</v>
      </c>
      <c r="ADK16" s="5">
        <v>58</v>
      </c>
      <c r="ADL16" s="5">
        <v>50</v>
      </c>
      <c r="ADM16" s="5">
        <v>21</v>
      </c>
      <c r="ADN16" s="5">
        <v>19</v>
      </c>
      <c r="ADO16" s="5">
        <v>27</v>
      </c>
      <c r="ADP16" s="5">
        <v>18</v>
      </c>
      <c r="ADQ16" s="5">
        <v>42</v>
      </c>
      <c r="ADR16" s="5">
        <v>2</v>
      </c>
      <c r="ADS16" s="5">
        <v>57</v>
      </c>
      <c r="ADT16" s="5">
        <v>6</v>
      </c>
      <c r="ADU16" s="5">
        <v>52</v>
      </c>
      <c r="ADV16" s="5">
        <v>53</v>
      </c>
      <c r="ADW16" s="5">
        <v>27</v>
      </c>
      <c r="ADX16" s="5">
        <v>27</v>
      </c>
      <c r="ADY16" s="5">
        <v>43</v>
      </c>
      <c r="ADZ16" s="5">
        <v>33</v>
      </c>
      <c r="AEA16" s="5">
        <v>58</v>
      </c>
      <c r="AEB16" s="5">
        <v>49</v>
      </c>
      <c r="AEC16" s="5">
        <v>43</v>
      </c>
      <c r="AED16" s="5">
        <v>15</v>
      </c>
      <c r="AEE16" s="5">
        <v>52</v>
      </c>
      <c r="AEF16" s="5">
        <v>11</v>
      </c>
      <c r="AEG16" s="5">
        <v>12</v>
      </c>
      <c r="AEH16" s="5">
        <v>24</v>
      </c>
      <c r="AEI16" s="5">
        <v>16</v>
      </c>
      <c r="AEJ16" s="5">
        <v>18</v>
      </c>
      <c r="AEK16" s="5">
        <v>36</v>
      </c>
      <c r="AEL16" s="5">
        <v>41</v>
      </c>
      <c r="AEM16" s="5">
        <v>18</v>
      </c>
      <c r="AEN16" s="5">
        <v>8</v>
      </c>
      <c r="AEO16" s="5">
        <v>14</v>
      </c>
      <c r="AEP16" s="5">
        <v>54</v>
      </c>
      <c r="AEQ16" s="5">
        <v>26</v>
      </c>
      <c r="AER16" s="5">
        <v>32</v>
      </c>
      <c r="AES16" s="5">
        <v>35</v>
      </c>
      <c r="AET16" s="5">
        <v>18</v>
      </c>
      <c r="AEU16" s="5">
        <v>57</v>
      </c>
      <c r="AEV16" s="5">
        <v>60</v>
      </c>
      <c r="AEW16" s="5">
        <v>10</v>
      </c>
      <c r="AEX16" s="5">
        <v>54</v>
      </c>
      <c r="AEY16" s="5">
        <v>45</v>
      </c>
      <c r="AEZ16" s="5">
        <v>2</v>
      </c>
      <c r="AFA16" s="5">
        <v>53</v>
      </c>
      <c r="AFB16" s="5">
        <v>23</v>
      </c>
      <c r="AFC16" s="5">
        <v>2</v>
      </c>
      <c r="AFD16" s="5">
        <v>9</v>
      </c>
      <c r="AFE16" s="5">
        <v>2</v>
      </c>
      <c r="AFF16" s="5">
        <v>60</v>
      </c>
      <c r="AFG16" s="5">
        <v>60</v>
      </c>
      <c r="AFH16" s="5">
        <v>43</v>
      </c>
      <c r="AFI16" s="5">
        <v>12</v>
      </c>
      <c r="AFJ16" s="5">
        <v>22</v>
      </c>
      <c r="AFK16" s="5">
        <v>55</v>
      </c>
      <c r="AFL16" s="5">
        <v>36</v>
      </c>
      <c r="AFM16" s="5">
        <v>13</v>
      </c>
      <c r="AFN16" s="5">
        <v>31</v>
      </c>
      <c r="AFO16" s="5">
        <v>53</v>
      </c>
      <c r="AFP16" s="5">
        <v>30</v>
      </c>
      <c r="AFQ16" s="5">
        <v>36</v>
      </c>
      <c r="AFR16" s="5">
        <v>58</v>
      </c>
      <c r="AFS16" s="5">
        <v>50</v>
      </c>
      <c r="AFT16" s="5">
        <v>27</v>
      </c>
      <c r="AFU16" s="5">
        <v>31</v>
      </c>
      <c r="AFV16" s="5">
        <v>52</v>
      </c>
      <c r="AFW16" s="5">
        <v>36</v>
      </c>
      <c r="AFX16" s="5">
        <v>58</v>
      </c>
      <c r="AFY16" s="5">
        <v>54</v>
      </c>
      <c r="AFZ16" s="5">
        <v>25</v>
      </c>
      <c r="AGA16" s="5">
        <v>15</v>
      </c>
      <c r="AGB16" s="5">
        <v>23</v>
      </c>
      <c r="AGC16" s="5">
        <v>23</v>
      </c>
      <c r="AGD16" s="5">
        <v>59</v>
      </c>
      <c r="AGE16" s="5">
        <v>37</v>
      </c>
      <c r="AGF16" s="5">
        <v>8</v>
      </c>
      <c r="AGG16" s="5">
        <v>60</v>
      </c>
      <c r="AGH16" s="5">
        <v>40</v>
      </c>
      <c r="AGI16" s="5">
        <v>48</v>
      </c>
      <c r="AGJ16" s="5">
        <v>49</v>
      </c>
      <c r="AGK16" s="5">
        <v>33</v>
      </c>
      <c r="AGL16" s="5">
        <v>46</v>
      </c>
      <c r="AGM16" s="5">
        <v>4</v>
      </c>
      <c r="AGN16" s="5">
        <v>50</v>
      </c>
      <c r="AGO16" s="5">
        <v>18</v>
      </c>
      <c r="AGP16" s="5">
        <v>7</v>
      </c>
      <c r="AGQ16" s="5">
        <v>37</v>
      </c>
      <c r="AGR16" s="5">
        <v>43</v>
      </c>
      <c r="AGS16" s="5">
        <v>11</v>
      </c>
      <c r="AGT16" s="5">
        <v>3</v>
      </c>
      <c r="AGU16" s="5">
        <v>48</v>
      </c>
      <c r="AGV16" s="5">
        <v>22</v>
      </c>
      <c r="AGW16" s="5">
        <v>38</v>
      </c>
      <c r="AGX16" s="5">
        <v>35</v>
      </c>
      <c r="AGY16" s="5">
        <v>15</v>
      </c>
      <c r="AGZ16" s="5">
        <v>43</v>
      </c>
      <c r="AHA16" s="5">
        <v>56</v>
      </c>
      <c r="AHB16" s="5">
        <v>23</v>
      </c>
      <c r="AHC16" s="5">
        <v>6</v>
      </c>
      <c r="AHD16" s="5">
        <v>26</v>
      </c>
      <c r="AHE16" s="5">
        <v>12</v>
      </c>
      <c r="AHF16" s="5">
        <v>58</v>
      </c>
      <c r="AHG16" s="5">
        <v>3</v>
      </c>
      <c r="AHH16" s="5">
        <v>40</v>
      </c>
      <c r="AHI16" s="5">
        <v>10</v>
      </c>
      <c r="AHJ16" s="5">
        <v>9</v>
      </c>
      <c r="AHK16" s="5">
        <v>49</v>
      </c>
      <c r="AHL16" s="5">
        <v>21</v>
      </c>
      <c r="AHM16" s="5">
        <v>53</v>
      </c>
      <c r="AHN16" s="5">
        <v>47</v>
      </c>
      <c r="AHO16" s="5">
        <v>25</v>
      </c>
      <c r="AHP16" s="5">
        <v>38</v>
      </c>
      <c r="AHQ16" s="5">
        <v>41</v>
      </c>
      <c r="AHR16" s="5">
        <v>11</v>
      </c>
      <c r="AHS16" s="5">
        <v>25</v>
      </c>
      <c r="AHT16" s="5">
        <v>52</v>
      </c>
      <c r="AHU16" s="5">
        <v>48</v>
      </c>
      <c r="AHV16" s="5">
        <v>55</v>
      </c>
      <c r="AHW16" s="5">
        <v>50</v>
      </c>
      <c r="AHX16" s="5">
        <v>14</v>
      </c>
      <c r="AHY16" s="5">
        <v>42</v>
      </c>
      <c r="AHZ16" s="5">
        <v>48</v>
      </c>
      <c r="AIA16" s="5">
        <v>37</v>
      </c>
      <c r="AIB16" s="5">
        <v>1</v>
      </c>
      <c r="AIC16" s="5">
        <v>21</v>
      </c>
      <c r="AID16" s="5">
        <v>31</v>
      </c>
      <c r="AIE16" s="5">
        <v>13</v>
      </c>
      <c r="AIF16" s="5">
        <v>59</v>
      </c>
      <c r="AIG16" s="5">
        <v>22</v>
      </c>
      <c r="AIH16" s="5">
        <v>2</v>
      </c>
      <c r="AII16" s="5">
        <v>22</v>
      </c>
      <c r="AIJ16" s="5">
        <v>32</v>
      </c>
      <c r="AIK16" s="5">
        <v>22</v>
      </c>
      <c r="AIL16" s="5">
        <v>54</v>
      </c>
      <c r="AIM16" s="5">
        <v>11</v>
      </c>
      <c r="AIN16" s="5">
        <v>22</v>
      </c>
      <c r="AIO16" s="5">
        <v>34</v>
      </c>
      <c r="AIP16" s="5">
        <v>5</v>
      </c>
      <c r="AIQ16" s="5">
        <v>2</v>
      </c>
      <c r="AIR16" s="5">
        <v>34</v>
      </c>
      <c r="AIS16" s="5">
        <v>15</v>
      </c>
      <c r="AIT16" s="5">
        <v>9</v>
      </c>
      <c r="AIU16" s="5">
        <v>51</v>
      </c>
      <c r="AIV16" s="5">
        <v>57</v>
      </c>
      <c r="AIW16" s="5">
        <v>6</v>
      </c>
      <c r="AIX16" s="5">
        <v>29</v>
      </c>
      <c r="AIY16" s="5">
        <v>33</v>
      </c>
      <c r="AIZ16" s="5">
        <v>3</v>
      </c>
      <c r="AJA16" s="5">
        <v>2</v>
      </c>
      <c r="AJB16" s="5">
        <v>20</v>
      </c>
      <c r="AJC16" s="5">
        <v>32</v>
      </c>
      <c r="AJD16" s="5">
        <v>59</v>
      </c>
      <c r="AJE16" s="5">
        <v>6</v>
      </c>
      <c r="AJF16" s="5">
        <v>23</v>
      </c>
      <c r="AJG16" s="5">
        <v>55</v>
      </c>
      <c r="AJH16" s="5">
        <v>21</v>
      </c>
      <c r="AJI16" s="5">
        <v>30</v>
      </c>
      <c r="AJJ16" s="5">
        <v>43</v>
      </c>
      <c r="AJK16" s="5">
        <v>32</v>
      </c>
      <c r="AJL16" s="5">
        <v>31</v>
      </c>
      <c r="AJM16" s="5">
        <v>3</v>
      </c>
      <c r="AJN16" s="5">
        <v>21</v>
      </c>
      <c r="AJO16" s="5">
        <v>34</v>
      </c>
      <c r="AJP16" s="5">
        <v>46</v>
      </c>
      <c r="AJQ16" s="5">
        <v>33</v>
      </c>
      <c r="AJR16" s="5">
        <v>40</v>
      </c>
      <c r="AJS16" s="5">
        <v>59</v>
      </c>
      <c r="AJT16" s="5">
        <v>57</v>
      </c>
      <c r="AJU16" s="5">
        <v>54</v>
      </c>
      <c r="AJV16" s="5">
        <v>53</v>
      </c>
      <c r="AJW16" s="5">
        <v>48</v>
      </c>
      <c r="AJX16" s="5">
        <v>60</v>
      </c>
      <c r="AJY16" s="5">
        <v>53</v>
      </c>
      <c r="AJZ16" s="5">
        <v>15</v>
      </c>
      <c r="AKA16" s="5">
        <v>56</v>
      </c>
      <c r="AKB16" s="5">
        <v>43</v>
      </c>
      <c r="AKC16" s="5">
        <v>14</v>
      </c>
      <c r="AKD16" s="5">
        <v>58</v>
      </c>
      <c r="AKE16" s="5">
        <v>56</v>
      </c>
      <c r="AKF16" s="5">
        <v>31</v>
      </c>
      <c r="AKG16" s="5">
        <v>54</v>
      </c>
      <c r="AKH16" s="5">
        <v>15</v>
      </c>
      <c r="AKI16" s="5">
        <v>27</v>
      </c>
      <c r="AKJ16" s="5">
        <v>45</v>
      </c>
      <c r="AKK16" s="5">
        <v>18</v>
      </c>
      <c r="AKL16" s="5">
        <v>20</v>
      </c>
      <c r="AKM16" s="5">
        <v>38</v>
      </c>
      <c r="AKN16" s="5">
        <v>33</v>
      </c>
      <c r="AKO16" s="5">
        <v>10</v>
      </c>
      <c r="AKP16" s="5">
        <v>52</v>
      </c>
      <c r="AKQ16" s="5">
        <v>26</v>
      </c>
      <c r="AKR16" s="5">
        <v>16</v>
      </c>
      <c r="AKS16" s="5">
        <v>32</v>
      </c>
      <c r="AKT16" s="5">
        <v>12</v>
      </c>
      <c r="AKU16" s="5">
        <v>20</v>
      </c>
      <c r="AKV16" s="5">
        <v>57</v>
      </c>
      <c r="AKW16" s="5">
        <v>14</v>
      </c>
      <c r="AKX16" s="5">
        <v>15</v>
      </c>
      <c r="AKY16" s="5">
        <v>38</v>
      </c>
      <c r="AKZ16" s="5">
        <v>23</v>
      </c>
      <c r="ALA16" s="5">
        <v>7</v>
      </c>
      <c r="ALB16" s="5">
        <v>28</v>
      </c>
      <c r="ALC16" s="5">
        <v>42</v>
      </c>
      <c r="ALD16" s="5">
        <v>4</v>
      </c>
      <c r="ALE16" s="5">
        <v>6</v>
      </c>
      <c r="ALF16" s="5">
        <v>5</v>
      </c>
      <c r="ALG16" s="5">
        <v>35</v>
      </c>
      <c r="ALH16" s="5">
        <v>41</v>
      </c>
      <c r="ALI16" s="5">
        <v>50</v>
      </c>
      <c r="ALJ16" s="5">
        <v>45</v>
      </c>
      <c r="ALK16" s="5">
        <v>18</v>
      </c>
      <c r="ALL16" s="5">
        <v>49</v>
      </c>
      <c r="ALM16" s="5">
        <v>37</v>
      </c>
      <c r="ALN16" s="5">
        <v>33</v>
      </c>
      <c r="ALO16" s="5">
        <v>18</v>
      </c>
      <c r="ALP16" s="5">
        <v>2</v>
      </c>
      <c r="ALQ16" s="5">
        <v>27</v>
      </c>
      <c r="ALR16" s="5">
        <v>46</v>
      </c>
      <c r="ALS16" s="5">
        <v>59</v>
      </c>
      <c r="ALT16" s="5">
        <v>46</v>
      </c>
      <c r="ALU16" s="5">
        <v>12</v>
      </c>
      <c r="ALV16" s="5">
        <v>15</v>
      </c>
      <c r="ALW16" s="5">
        <v>44</v>
      </c>
      <c r="ALX16" s="5">
        <v>10</v>
      </c>
    </row>
    <row r="17" spans="1:1012" x14ac:dyDescent="0.3">
      <c r="A17" s="6" t="s">
        <v>52</v>
      </c>
      <c r="B17" s="6" t="s">
        <v>11</v>
      </c>
      <c r="C17" s="7">
        <v>18</v>
      </c>
      <c r="D17" s="5" t="s">
        <v>32</v>
      </c>
      <c r="E17" s="6" t="s">
        <v>19</v>
      </c>
      <c r="F17" s="6" t="s">
        <v>36</v>
      </c>
      <c r="G17" s="5">
        <v>11</v>
      </c>
      <c r="H17" s="8">
        <v>44945</v>
      </c>
      <c r="I17" s="6" t="s">
        <v>15</v>
      </c>
      <c r="J17" s="6" t="s">
        <v>16</v>
      </c>
      <c r="L17" s="14" t="s">
        <v>7</v>
      </c>
      <c r="M17" s="8">
        <v>44761</v>
      </c>
      <c r="N17" s="8">
        <v>44343</v>
      </c>
      <c r="O17" s="8">
        <v>43768</v>
      </c>
      <c r="P17" s="8">
        <v>43488</v>
      </c>
      <c r="Q17" s="8">
        <v>44813</v>
      </c>
      <c r="R17" s="8">
        <v>44970</v>
      </c>
      <c r="S17" s="8">
        <v>44949</v>
      </c>
      <c r="T17" s="8">
        <v>43688</v>
      </c>
      <c r="U17" s="8">
        <v>44949</v>
      </c>
      <c r="V17" s="8">
        <v>44101</v>
      </c>
      <c r="W17" s="8">
        <v>43716</v>
      </c>
      <c r="X17" s="8">
        <v>43813</v>
      </c>
      <c r="Y17" s="8">
        <v>43609</v>
      </c>
      <c r="Z17" s="8">
        <v>44344</v>
      </c>
      <c r="AA17" s="8">
        <v>44922</v>
      </c>
      <c r="AB17" s="8">
        <v>44945</v>
      </c>
      <c r="AC17" s="8">
        <v>45122</v>
      </c>
      <c r="AD17" s="8">
        <v>44774</v>
      </c>
      <c r="AE17" s="8">
        <v>45122</v>
      </c>
      <c r="AF17" s="8">
        <v>44721</v>
      </c>
      <c r="AG17" s="8">
        <v>45172</v>
      </c>
      <c r="AH17" s="8">
        <v>44070</v>
      </c>
      <c r="AI17" s="8">
        <v>43991</v>
      </c>
      <c r="AJ17" s="8">
        <v>44716</v>
      </c>
      <c r="AK17" s="8">
        <v>44590</v>
      </c>
      <c r="AL17" s="8">
        <v>45184</v>
      </c>
      <c r="AM17" s="8">
        <v>44517</v>
      </c>
      <c r="AN17" s="8">
        <v>44401</v>
      </c>
      <c r="AO17" s="8">
        <v>44216</v>
      </c>
      <c r="AP17" s="8">
        <v>44961</v>
      </c>
      <c r="AQ17" s="8">
        <v>43725</v>
      </c>
      <c r="AR17" s="8">
        <v>44008</v>
      </c>
      <c r="AS17" s="8">
        <v>45104</v>
      </c>
      <c r="AT17" s="8">
        <v>43557</v>
      </c>
      <c r="AU17" s="8">
        <v>44160</v>
      </c>
      <c r="AV17" s="8">
        <v>44050</v>
      </c>
      <c r="AW17" s="8">
        <v>43553</v>
      </c>
      <c r="AX17" s="8">
        <v>44293</v>
      </c>
      <c r="AY17" s="8">
        <v>44450</v>
      </c>
      <c r="AZ17" s="8">
        <v>45121</v>
      </c>
      <c r="BA17" s="8">
        <v>43676</v>
      </c>
      <c r="BB17" s="8">
        <v>44250</v>
      </c>
      <c r="BC17" s="8">
        <v>43710</v>
      </c>
      <c r="BD17" s="8">
        <v>44585</v>
      </c>
      <c r="BE17" s="8">
        <v>43706</v>
      </c>
      <c r="BF17" s="8">
        <v>45052</v>
      </c>
      <c r="BG17" s="8">
        <v>44640</v>
      </c>
      <c r="BH17" s="8">
        <v>44014</v>
      </c>
      <c r="BI17" s="8">
        <v>43815</v>
      </c>
      <c r="BJ17" s="8">
        <v>45140</v>
      </c>
      <c r="BK17" s="8">
        <v>44378</v>
      </c>
      <c r="BL17" s="8">
        <v>44200</v>
      </c>
      <c r="BM17" s="8">
        <v>44672</v>
      </c>
      <c r="BN17" s="8">
        <v>44522</v>
      </c>
      <c r="BO17" s="8">
        <v>45234</v>
      </c>
      <c r="BP17" s="8">
        <v>44763</v>
      </c>
      <c r="BQ17" s="8">
        <v>44683</v>
      </c>
      <c r="BR17" s="8">
        <v>44091</v>
      </c>
      <c r="BS17" s="8">
        <v>44234</v>
      </c>
      <c r="BT17" s="8">
        <v>43844</v>
      </c>
      <c r="BU17" s="8">
        <v>44374</v>
      </c>
      <c r="BV17" s="8">
        <v>43866</v>
      </c>
      <c r="BW17" s="8">
        <v>44673</v>
      </c>
      <c r="BX17" s="8">
        <v>44091</v>
      </c>
      <c r="BY17" s="8">
        <v>43674</v>
      </c>
      <c r="BZ17" s="8">
        <v>44515</v>
      </c>
      <c r="CA17" s="8">
        <v>43611</v>
      </c>
      <c r="CB17" s="8">
        <v>44508</v>
      </c>
      <c r="CC17" s="8">
        <v>43933</v>
      </c>
      <c r="CD17" s="8">
        <v>44060</v>
      </c>
      <c r="CE17" s="8">
        <v>44147</v>
      </c>
      <c r="CF17" s="8">
        <v>44842</v>
      </c>
      <c r="CG17" s="8">
        <v>44993</v>
      </c>
      <c r="CH17" s="8">
        <v>44337</v>
      </c>
      <c r="CI17" s="8">
        <v>45112</v>
      </c>
      <c r="CJ17" s="8">
        <v>43516</v>
      </c>
      <c r="CK17" s="8">
        <v>45125</v>
      </c>
      <c r="CL17" s="8">
        <v>43485</v>
      </c>
      <c r="CM17" s="8">
        <v>43609</v>
      </c>
      <c r="CN17" s="8">
        <v>43481</v>
      </c>
      <c r="CO17" s="8">
        <v>44041</v>
      </c>
      <c r="CP17" s="8">
        <v>45035</v>
      </c>
      <c r="CQ17" s="8">
        <v>45017</v>
      </c>
      <c r="CR17" s="8">
        <v>44083</v>
      </c>
      <c r="CS17" s="8">
        <v>44056</v>
      </c>
      <c r="CT17" s="8">
        <v>44779</v>
      </c>
      <c r="CU17" s="8">
        <v>44601</v>
      </c>
      <c r="CV17" s="8">
        <v>44003</v>
      </c>
      <c r="CW17" s="8">
        <v>43602</v>
      </c>
      <c r="CX17" s="8">
        <v>43872</v>
      </c>
      <c r="CY17" s="8">
        <v>44998</v>
      </c>
      <c r="CZ17" s="8">
        <v>44563</v>
      </c>
      <c r="DA17" s="8">
        <v>44039</v>
      </c>
      <c r="DB17" s="8">
        <v>44783</v>
      </c>
      <c r="DC17" s="8">
        <v>43590</v>
      </c>
      <c r="DD17" s="8">
        <v>44961</v>
      </c>
      <c r="DE17" s="8">
        <v>43544</v>
      </c>
      <c r="DF17" s="8">
        <v>43773</v>
      </c>
      <c r="DG17" s="8">
        <v>44085</v>
      </c>
      <c r="DH17" s="8">
        <v>44128</v>
      </c>
      <c r="DI17" s="8">
        <v>44989</v>
      </c>
      <c r="DJ17" s="8">
        <v>43642</v>
      </c>
      <c r="DK17" s="8">
        <v>44703</v>
      </c>
      <c r="DL17" s="8">
        <v>45101</v>
      </c>
      <c r="DM17" s="8">
        <v>44003</v>
      </c>
      <c r="DN17" s="8">
        <v>44779</v>
      </c>
      <c r="DO17" s="8">
        <v>45030</v>
      </c>
      <c r="DP17" s="8">
        <v>43516</v>
      </c>
      <c r="DQ17" s="8">
        <v>43805</v>
      </c>
      <c r="DR17" s="8">
        <v>45128</v>
      </c>
      <c r="DS17" s="8">
        <v>43952</v>
      </c>
      <c r="DT17" s="8">
        <v>43530</v>
      </c>
      <c r="DU17" s="8">
        <v>44571</v>
      </c>
      <c r="DV17" s="8">
        <v>44273</v>
      </c>
      <c r="DW17" s="8">
        <v>44446</v>
      </c>
      <c r="DX17" s="8">
        <v>43596</v>
      </c>
      <c r="DY17" s="8">
        <v>44540</v>
      </c>
      <c r="DZ17" s="8">
        <v>45158</v>
      </c>
      <c r="EA17" s="8">
        <v>44120</v>
      </c>
      <c r="EB17" s="8">
        <v>44610</v>
      </c>
      <c r="EC17" s="8">
        <v>44067</v>
      </c>
      <c r="ED17" s="8">
        <v>43676</v>
      </c>
      <c r="EE17" s="8">
        <v>43475</v>
      </c>
      <c r="EF17" s="8">
        <v>44013</v>
      </c>
      <c r="EG17" s="8">
        <v>44673</v>
      </c>
      <c r="EH17" s="8">
        <v>43732</v>
      </c>
      <c r="EI17" s="8">
        <v>44416</v>
      </c>
      <c r="EJ17" s="8">
        <v>44605</v>
      </c>
      <c r="EK17" s="8">
        <v>43649</v>
      </c>
      <c r="EL17" s="8">
        <v>44988</v>
      </c>
      <c r="EM17" s="8">
        <v>43509</v>
      </c>
      <c r="EN17" s="8">
        <v>44644</v>
      </c>
      <c r="EO17" s="8">
        <v>44510</v>
      </c>
      <c r="EP17" s="8">
        <v>43474</v>
      </c>
      <c r="EQ17" s="8">
        <v>43794</v>
      </c>
      <c r="ER17" s="8">
        <v>43735</v>
      </c>
      <c r="ES17" s="8">
        <v>44496</v>
      </c>
      <c r="ET17" s="8">
        <v>43553</v>
      </c>
      <c r="EU17" s="8">
        <v>45197</v>
      </c>
      <c r="EV17" s="8">
        <v>44157</v>
      </c>
      <c r="EW17" s="8">
        <v>43910</v>
      </c>
      <c r="EX17" s="8">
        <v>44610</v>
      </c>
      <c r="EY17" s="8">
        <v>44467</v>
      </c>
      <c r="EZ17" s="8">
        <v>43779</v>
      </c>
      <c r="FA17" s="8">
        <v>43821</v>
      </c>
      <c r="FB17" s="8">
        <v>43703</v>
      </c>
      <c r="FC17" s="8">
        <v>44485</v>
      </c>
      <c r="FD17" s="8">
        <v>44152</v>
      </c>
      <c r="FE17" s="8">
        <v>45139</v>
      </c>
      <c r="FF17" s="8">
        <v>45043</v>
      </c>
      <c r="FG17" s="8">
        <v>43924</v>
      </c>
      <c r="FH17" s="8">
        <v>45175</v>
      </c>
      <c r="FI17" s="8">
        <v>44060</v>
      </c>
      <c r="FJ17" s="8">
        <v>44237</v>
      </c>
      <c r="FK17" s="8">
        <v>44534</v>
      </c>
      <c r="FL17" s="8">
        <v>44614</v>
      </c>
      <c r="FM17" s="8">
        <v>45072</v>
      </c>
      <c r="FN17" s="8">
        <v>44964</v>
      </c>
      <c r="FO17" s="8">
        <v>44484</v>
      </c>
      <c r="FP17" s="8">
        <v>43757</v>
      </c>
      <c r="FQ17" s="8">
        <v>44365</v>
      </c>
      <c r="FR17" s="8">
        <v>44281</v>
      </c>
      <c r="FS17" s="8">
        <v>43937</v>
      </c>
      <c r="FT17" s="8">
        <v>44810</v>
      </c>
      <c r="FU17" s="8">
        <v>44549</v>
      </c>
      <c r="FV17" s="8">
        <v>43876</v>
      </c>
      <c r="FW17" s="8">
        <v>44858</v>
      </c>
      <c r="FX17" s="8">
        <v>44725</v>
      </c>
      <c r="FY17" s="8">
        <v>43886</v>
      </c>
      <c r="FZ17" s="8">
        <v>44126</v>
      </c>
      <c r="GA17" s="8">
        <v>43860</v>
      </c>
      <c r="GB17" s="8">
        <v>44137</v>
      </c>
      <c r="GC17" s="8">
        <v>44653</v>
      </c>
      <c r="GD17" s="8">
        <v>44923</v>
      </c>
      <c r="GE17" s="8">
        <v>44985</v>
      </c>
      <c r="GF17" s="8">
        <v>43977</v>
      </c>
      <c r="GG17" s="8">
        <v>43766</v>
      </c>
      <c r="GH17" s="8">
        <v>43648</v>
      </c>
      <c r="GI17" s="8">
        <v>43931</v>
      </c>
      <c r="GJ17" s="8">
        <v>43821</v>
      </c>
      <c r="GK17" s="8">
        <v>45080</v>
      </c>
      <c r="GL17" s="8">
        <v>43976</v>
      </c>
      <c r="GM17" s="8">
        <v>43942</v>
      </c>
      <c r="GN17" s="8">
        <v>44249</v>
      </c>
      <c r="GO17" s="8">
        <v>43685</v>
      </c>
      <c r="GP17" s="8">
        <v>44161</v>
      </c>
      <c r="GQ17" s="8">
        <v>43768</v>
      </c>
      <c r="GR17" s="8">
        <v>44203</v>
      </c>
      <c r="GS17" s="8">
        <v>44246</v>
      </c>
      <c r="GT17" s="8">
        <v>44762</v>
      </c>
      <c r="GU17" s="8">
        <v>44499</v>
      </c>
      <c r="GV17" s="8">
        <v>45246</v>
      </c>
      <c r="GW17" s="8">
        <v>45249</v>
      </c>
      <c r="GX17" s="8">
        <v>44971</v>
      </c>
      <c r="GY17" s="8">
        <v>44372</v>
      </c>
      <c r="GZ17" s="8">
        <v>44944</v>
      </c>
      <c r="HA17" s="8">
        <v>45180</v>
      </c>
      <c r="HB17" s="8">
        <v>44751</v>
      </c>
      <c r="HC17" s="8">
        <v>44732</v>
      </c>
      <c r="HD17" s="8">
        <v>45202</v>
      </c>
      <c r="HE17" s="8">
        <v>45138</v>
      </c>
      <c r="HF17" s="8">
        <v>44558</v>
      </c>
      <c r="HG17" s="8">
        <v>45057</v>
      </c>
      <c r="HH17" s="8">
        <v>44902</v>
      </c>
      <c r="HI17" s="8">
        <v>44152</v>
      </c>
      <c r="HJ17" s="8">
        <v>45141</v>
      </c>
      <c r="HK17" s="8">
        <v>44940</v>
      </c>
      <c r="HL17" s="8">
        <v>45002</v>
      </c>
      <c r="HM17" s="8">
        <v>44246</v>
      </c>
      <c r="HN17" s="8">
        <v>43787</v>
      </c>
      <c r="HO17" s="8">
        <v>44929</v>
      </c>
      <c r="HP17" s="8">
        <v>44274</v>
      </c>
      <c r="HQ17" s="8">
        <v>44776</v>
      </c>
      <c r="HR17" s="8">
        <v>45095</v>
      </c>
      <c r="HS17" s="8">
        <v>44310</v>
      </c>
      <c r="HT17" s="8">
        <v>43586</v>
      </c>
      <c r="HU17" s="8">
        <v>44961</v>
      </c>
      <c r="HV17" s="8">
        <v>44734</v>
      </c>
      <c r="HW17" s="8">
        <v>44414</v>
      </c>
      <c r="HX17" s="8">
        <v>44091</v>
      </c>
      <c r="HY17" s="8">
        <v>43588</v>
      </c>
      <c r="HZ17" s="8">
        <v>44878</v>
      </c>
      <c r="IA17" s="8">
        <v>44098</v>
      </c>
      <c r="IB17" s="8">
        <v>43867</v>
      </c>
      <c r="IC17" s="8">
        <v>45161</v>
      </c>
      <c r="ID17" s="8">
        <v>43937</v>
      </c>
      <c r="IE17" s="8">
        <v>43574</v>
      </c>
      <c r="IF17" s="8">
        <v>44728</v>
      </c>
      <c r="IG17" s="8">
        <v>44405</v>
      </c>
      <c r="IH17" s="8">
        <v>43531</v>
      </c>
      <c r="II17" s="8">
        <v>44805</v>
      </c>
      <c r="IJ17" s="8">
        <v>45017</v>
      </c>
      <c r="IK17" s="8">
        <v>44264</v>
      </c>
      <c r="IL17" s="8">
        <v>43965</v>
      </c>
      <c r="IM17" s="8">
        <v>44799</v>
      </c>
      <c r="IN17" s="8">
        <v>44561</v>
      </c>
      <c r="IO17" s="8">
        <v>44494</v>
      </c>
      <c r="IP17" s="8">
        <v>44842</v>
      </c>
      <c r="IQ17" s="8">
        <v>44853</v>
      </c>
      <c r="IR17" s="8">
        <v>43552</v>
      </c>
      <c r="IS17" s="8">
        <v>44525</v>
      </c>
      <c r="IT17" s="8">
        <v>43593</v>
      </c>
      <c r="IU17" s="8">
        <v>45050</v>
      </c>
      <c r="IV17" s="8">
        <v>45031</v>
      </c>
      <c r="IW17" s="8">
        <v>45067</v>
      </c>
      <c r="IX17" s="8">
        <v>43482</v>
      </c>
      <c r="IY17" s="8">
        <v>44347</v>
      </c>
      <c r="IZ17" s="8">
        <v>44839</v>
      </c>
      <c r="JA17" s="8">
        <v>45258</v>
      </c>
      <c r="JB17" s="8">
        <v>44878</v>
      </c>
      <c r="JC17" s="8">
        <v>43914</v>
      </c>
      <c r="JD17" s="8">
        <v>45050</v>
      </c>
      <c r="JE17" s="8">
        <v>44029</v>
      </c>
      <c r="JF17" s="8">
        <v>44231</v>
      </c>
      <c r="JG17" s="8">
        <v>44192</v>
      </c>
      <c r="JH17" s="8">
        <v>43595</v>
      </c>
      <c r="JI17" s="8">
        <v>44469</v>
      </c>
      <c r="JJ17" s="8">
        <v>43716</v>
      </c>
      <c r="JK17" s="8">
        <v>44721</v>
      </c>
      <c r="JL17" s="8">
        <v>44136</v>
      </c>
      <c r="JM17" s="8">
        <v>44584</v>
      </c>
      <c r="JN17" s="8">
        <v>45181</v>
      </c>
      <c r="JO17" s="8">
        <v>44606</v>
      </c>
      <c r="JP17" s="8">
        <v>43565</v>
      </c>
      <c r="JQ17" s="8">
        <v>44428</v>
      </c>
      <c r="JR17" s="8">
        <v>43651</v>
      </c>
      <c r="JS17" s="8">
        <v>44652</v>
      </c>
      <c r="JT17" s="8">
        <v>43940</v>
      </c>
      <c r="JU17" s="8">
        <v>45113</v>
      </c>
      <c r="JV17" s="8">
        <v>43912</v>
      </c>
      <c r="JW17" s="8">
        <v>43871</v>
      </c>
      <c r="JX17" s="8">
        <v>43773</v>
      </c>
      <c r="JY17" s="8">
        <v>44513</v>
      </c>
      <c r="JZ17" s="8">
        <v>43712</v>
      </c>
      <c r="KA17" s="8">
        <v>45175</v>
      </c>
      <c r="KB17" s="8">
        <v>44148</v>
      </c>
      <c r="KC17" s="8">
        <v>45249</v>
      </c>
      <c r="KD17" s="8">
        <v>44276</v>
      </c>
      <c r="KE17" s="8">
        <v>44204</v>
      </c>
      <c r="KF17" s="8">
        <v>44032</v>
      </c>
      <c r="KG17" s="8">
        <v>44848</v>
      </c>
      <c r="KH17" s="8">
        <v>44027</v>
      </c>
      <c r="KI17" s="8">
        <v>44056</v>
      </c>
      <c r="KJ17" s="8">
        <v>44198</v>
      </c>
      <c r="KK17" s="8">
        <v>43716</v>
      </c>
      <c r="KL17" s="8">
        <v>43731</v>
      </c>
      <c r="KM17" s="8">
        <v>44297</v>
      </c>
      <c r="KN17" s="8">
        <v>43951</v>
      </c>
      <c r="KO17" s="8">
        <v>44940</v>
      </c>
      <c r="KP17" s="8">
        <v>43592</v>
      </c>
      <c r="KQ17" s="8">
        <v>43468</v>
      </c>
      <c r="KR17" s="8">
        <v>44734</v>
      </c>
      <c r="KS17" s="8">
        <v>45107</v>
      </c>
      <c r="KT17" s="8">
        <v>43553</v>
      </c>
      <c r="KU17" s="8">
        <v>44617</v>
      </c>
      <c r="KV17" s="8">
        <v>44155</v>
      </c>
      <c r="KW17" s="8">
        <v>44008</v>
      </c>
      <c r="KX17" s="8">
        <v>44092</v>
      </c>
      <c r="KY17" s="8">
        <v>44239</v>
      </c>
      <c r="KZ17" s="8">
        <v>44341</v>
      </c>
      <c r="LA17" s="8">
        <v>44535</v>
      </c>
      <c r="LB17" s="8">
        <v>43524</v>
      </c>
      <c r="LC17" s="8">
        <v>44415</v>
      </c>
      <c r="LD17" s="8">
        <v>44189</v>
      </c>
      <c r="LE17" s="8">
        <v>43500</v>
      </c>
      <c r="LF17" s="8">
        <v>43952</v>
      </c>
      <c r="LG17" s="8">
        <v>44302</v>
      </c>
      <c r="LH17" s="8">
        <v>44454</v>
      </c>
      <c r="LI17" s="8">
        <v>43606</v>
      </c>
      <c r="LJ17" s="8">
        <v>44882</v>
      </c>
      <c r="LK17" s="8">
        <v>44586</v>
      </c>
      <c r="LL17" s="8">
        <v>44474</v>
      </c>
      <c r="LM17" s="8">
        <v>43737</v>
      </c>
      <c r="LN17" s="8">
        <v>45017</v>
      </c>
      <c r="LO17" s="8">
        <v>45140</v>
      </c>
      <c r="LP17" s="8">
        <v>44269</v>
      </c>
      <c r="LQ17" s="8">
        <v>44342</v>
      </c>
      <c r="LR17" s="8">
        <v>43585</v>
      </c>
      <c r="LS17" s="8">
        <v>45043</v>
      </c>
      <c r="LT17" s="8">
        <v>43920</v>
      </c>
      <c r="LU17" s="8">
        <v>45103</v>
      </c>
      <c r="LV17" s="8">
        <v>44529</v>
      </c>
      <c r="LW17" s="8">
        <v>43532</v>
      </c>
      <c r="LX17" s="8">
        <v>45262</v>
      </c>
      <c r="LY17" s="8">
        <v>44215</v>
      </c>
      <c r="LZ17" s="8">
        <v>43759</v>
      </c>
      <c r="MA17" s="8">
        <v>43684</v>
      </c>
      <c r="MB17" s="8">
        <v>44157</v>
      </c>
      <c r="MC17" s="8">
        <v>45093</v>
      </c>
      <c r="MD17" s="8">
        <v>44001</v>
      </c>
      <c r="ME17" s="8">
        <v>44916</v>
      </c>
      <c r="MF17" s="8">
        <v>43991</v>
      </c>
      <c r="MG17" s="8">
        <v>43768</v>
      </c>
      <c r="MH17" s="8">
        <v>45126</v>
      </c>
      <c r="MI17" s="8">
        <v>44174</v>
      </c>
      <c r="MJ17" s="8">
        <v>43982</v>
      </c>
      <c r="MK17" s="8">
        <v>44196</v>
      </c>
      <c r="ML17" s="8">
        <v>43852</v>
      </c>
      <c r="MM17" s="8">
        <v>43773</v>
      </c>
      <c r="MN17" s="8">
        <v>44716</v>
      </c>
      <c r="MO17" s="8">
        <v>44867</v>
      </c>
      <c r="MP17" s="8">
        <v>43854</v>
      </c>
      <c r="MQ17" s="8">
        <v>44196</v>
      </c>
      <c r="MR17" s="8">
        <v>44639</v>
      </c>
      <c r="MS17" s="8">
        <v>44416</v>
      </c>
      <c r="MT17" s="8">
        <v>45029</v>
      </c>
      <c r="MU17" s="8">
        <v>44930</v>
      </c>
      <c r="MV17" s="8">
        <v>44243</v>
      </c>
      <c r="MW17" s="8">
        <v>45162</v>
      </c>
      <c r="MX17" s="8">
        <v>44011</v>
      </c>
      <c r="MY17" s="8">
        <v>44987</v>
      </c>
      <c r="MZ17" s="8">
        <v>43648</v>
      </c>
      <c r="NA17" s="8">
        <v>44786</v>
      </c>
      <c r="NB17" s="8">
        <v>43951</v>
      </c>
      <c r="NC17" s="8">
        <v>44865</v>
      </c>
      <c r="ND17" s="8">
        <v>43742</v>
      </c>
      <c r="NE17" s="8">
        <v>44568</v>
      </c>
      <c r="NF17" s="8">
        <v>43564</v>
      </c>
      <c r="NG17" s="8">
        <v>43762</v>
      </c>
      <c r="NH17" s="8">
        <v>45172</v>
      </c>
      <c r="NI17" s="8">
        <v>43888</v>
      </c>
      <c r="NJ17" s="8">
        <v>44912</v>
      </c>
      <c r="NK17" s="8">
        <v>43973</v>
      </c>
      <c r="NL17" s="8">
        <v>43861</v>
      </c>
      <c r="NM17" s="8">
        <v>45129</v>
      </c>
      <c r="NN17" s="8">
        <v>44171</v>
      </c>
      <c r="NO17" s="8">
        <v>44147</v>
      </c>
      <c r="NP17" s="8">
        <v>44037</v>
      </c>
      <c r="NQ17" s="8">
        <v>43909</v>
      </c>
      <c r="NR17" s="8">
        <v>45080</v>
      </c>
      <c r="NS17" s="8">
        <v>44781</v>
      </c>
      <c r="NT17" s="8">
        <v>44672</v>
      </c>
      <c r="NU17" s="8">
        <v>44391</v>
      </c>
      <c r="NV17" s="8">
        <v>45194</v>
      </c>
      <c r="NW17" s="8">
        <v>45081</v>
      </c>
      <c r="NX17" s="8">
        <v>44087</v>
      </c>
      <c r="NY17" s="8">
        <v>43918</v>
      </c>
      <c r="NZ17" s="8">
        <v>44905</v>
      </c>
      <c r="OA17" s="8">
        <v>43547</v>
      </c>
      <c r="OB17" s="8">
        <v>44312</v>
      </c>
      <c r="OC17" s="8">
        <v>44480</v>
      </c>
      <c r="OD17" s="8">
        <v>43922</v>
      </c>
      <c r="OE17" s="8">
        <v>45050</v>
      </c>
      <c r="OF17" s="8">
        <v>45086</v>
      </c>
      <c r="OG17" s="8">
        <v>43687</v>
      </c>
      <c r="OH17" s="8">
        <v>44852</v>
      </c>
      <c r="OI17" s="8">
        <v>45224</v>
      </c>
      <c r="OJ17" s="8">
        <v>44156</v>
      </c>
      <c r="OK17" s="8">
        <v>45098</v>
      </c>
      <c r="OL17" s="8">
        <v>43757</v>
      </c>
      <c r="OM17" s="8">
        <v>45187</v>
      </c>
      <c r="ON17" s="8">
        <v>45187</v>
      </c>
      <c r="OO17" s="8">
        <v>43552</v>
      </c>
      <c r="OP17" s="8">
        <v>44145</v>
      </c>
      <c r="OQ17" s="8">
        <v>45179</v>
      </c>
      <c r="OR17" s="8">
        <v>43845</v>
      </c>
      <c r="OS17" s="8">
        <v>44550</v>
      </c>
      <c r="OT17" s="8">
        <v>43631</v>
      </c>
      <c r="OU17" s="8">
        <v>45049</v>
      </c>
      <c r="OV17" s="8">
        <v>44796</v>
      </c>
      <c r="OW17" s="8">
        <v>44325</v>
      </c>
      <c r="OX17" s="8">
        <v>44026</v>
      </c>
      <c r="OY17" s="8">
        <v>44691</v>
      </c>
      <c r="OZ17" s="8">
        <v>43760</v>
      </c>
      <c r="PA17" s="8">
        <v>44657</v>
      </c>
      <c r="PB17" s="8">
        <v>43979</v>
      </c>
      <c r="PC17" s="8">
        <v>43992</v>
      </c>
      <c r="PD17" s="8">
        <v>43810</v>
      </c>
      <c r="PE17" s="8">
        <v>44695</v>
      </c>
      <c r="PF17" s="8">
        <v>44877</v>
      </c>
      <c r="PG17" s="8">
        <v>44409</v>
      </c>
      <c r="PH17" s="8">
        <v>43920</v>
      </c>
      <c r="PI17" s="8">
        <v>44959</v>
      </c>
      <c r="PJ17" s="8">
        <v>44614</v>
      </c>
      <c r="PK17" s="8">
        <v>43689</v>
      </c>
      <c r="PL17" s="8">
        <v>43625</v>
      </c>
      <c r="PM17" s="8">
        <v>44068</v>
      </c>
      <c r="PN17" s="8">
        <v>43897</v>
      </c>
      <c r="PO17" s="8">
        <v>44671</v>
      </c>
      <c r="PP17" s="8">
        <v>43714</v>
      </c>
      <c r="PQ17" s="8">
        <v>44640</v>
      </c>
      <c r="PR17" s="8">
        <v>45204</v>
      </c>
      <c r="PS17" s="8">
        <v>43761</v>
      </c>
      <c r="PT17" s="8">
        <v>44178</v>
      </c>
      <c r="PU17" s="8">
        <v>44168</v>
      </c>
      <c r="PV17" s="8">
        <v>43850</v>
      </c>
      <c r="PW17" s="8">
        <v>44039</v>
      </c>
      <c r="PX17" s="8">
        <v>45103</v>
      </c>
      <c r="PY17" s="8">
        <v>44030</v>
      </c>
      <c r="PZ17" s="8">
        <v>44228</v>
      </c>
      <c r="QA17" s="8">
        <v>44512</v>
      </c>
      <c r="QB17" s="8">
        <v>43701</v>
      </c>
      <c r="QC17" s="8">
        <v>44876</v>
      </c>
      <c r="QD17" s="8">
        <v>45054</v>
      </c>
      <c r="QE17" s="8">
        <v>44533</v>
      </c>
      <c r="QF17" s="8">
        <v>43562</v>
      </c>
      <c r="QG17" s="8">
        <v>44661</v>
      </c>
      <c r="QH17" s="8">
        <v>45195</v>
      </c>
      <c r="QI17" s="8">
        <v>44300</v>
      </c>
      <c r="QJ17" s="8">
        <v>44548</v>
      </c>
      <c r="QK17" s="8">
        <v>43483</v>
      </c>
      <c r="QL17" s="8">
        <v>44094</v>
      </c>
      <c r="QM17" s="8">
        <v>43541</v>
      </c>
      <c r="QN17" s="8">
        <v>44289</v>
      </c>
      <c r="QO17" s="8">
        <v>44893</v>
      </c>
      <c r="QP17" s="8">
        <v>43774</v>
      </c>
      <c r="QQ17" s="8">
        <v>43576</v>
      </c>
      <c r="QR17" s="8">
        <v>44849</v>
      </c>
      <c r="QS17" s="8">
        <v>44429</v>
      </c>
      <c r="QT17" s="8">
        <v>44747</v>
      </c>
      <c r="QU17" s="8">
        <v>44700</v>
      </c>
      <c r="QV17" s="8">
        <v>44289</v>
      </c>
      <c r="QW17" s="8">
        <v>43599</v>
      </c>
      <c r="QX17" s="8">
        <v>44364</v>
      </c>
      <c r="QY17" s="8">
        <v>43574</v>
      </c>
      <c r="QZ17" s="8">
        <v>45256</v>
      </c>
      <c r="RA17" s="8">
        <v>44729</v>
      </c>
      <c r="RB17" s="8">
        <v>43979</v>
      </c>
      <c r="RC17" s="8">
        <v>43791</v>
      </c>
      <c r="RD17" s="8">
        <v>43509</v>
      </c>
      <c r="RE17" s="8">
        <v>43861</v>
      </c>
      <c r="RF17" s="8">
        <v>44782</v>
      </c>
      <c r="RG17" s="8">
        <v>44117</v>
      </c>
      <c r="RH17" s="8">
        <v>43477</v>
      </c>
      <c r="RI17" s="8">
        <v>44124</v>
      </c>
      <c r="RJ17" s="8">
        <v>44269</v>
      </c>
      <c r="RK17" s="8">
        <v>44067</v>
      </c>
      <c r="RL17" s="8">
        <v>43548</v>
      </c>
      <c r="RM17" s="8">
        <v>44998</v>
      </c>
      <c r="RN17" s="8">
        <v>44929</v>
      </c>
      <c r="RO17" s="8">
        <v>43558</v>
      </c>
      <c r="RP17" s="8">
        <v>44313</v>
      </c>
      <c r="RQ17" s="8">
        <v>43539</v>
      </c>
      <c r="RR17" s="8">
        <v>45095</v>
      </c>
      <c r="RS17" s="8">
        <v>43608</v>
      </c>
      <c r="RT17" s="8">
        <v>43919</v>
      </c>
      <c r="RU17" s="8">
        <v>44986</v>
      </c>
      <c r="RV17" s="8">
        <v>43686</v>
      </c>
      <c r="RW17" s="8">
        <v>45158</v>
      </c>
      <c r="RX17" s="8">
        <v>44788</v>
      </c>
      <c r="RY17" s="8">
        <v>44673</v>
      </c>
      <c r="RZ17" s="8">
        <v>43632</v>
      </c>
      <c r="SA17" s="8">
        <v>44641</v>
      </c>
      <c r="SB17" s="8">
        <v>44566</v>
      </c>
      <c r="SC17" s="8">
        <v>45046</v>
      </c>
      <c r="SD17" s="8">
        <v>43937</v>
      </c>
      <c r="SE17" s="8">
        <v>44524</v>
      </c>
      <c r="SF17" s="8">
        <v>44964</v>
      </c>
      <c r="SG17" s="8">
        <v>43969</v>
      </c>
      <c r="SH17" s="8">
        <v>44349</v>
      </c>
      <c r="SI17" s="8">
        <v>44197</v>
      </c>
      <c r="SJ17" s="8">
        <v>44228</v>
      </c>
      <c r="SK17" s="8">
        <v>44104</v>
      </c>
      <c r="SL17" s="8">
        <v>44332</v>
      </c>
      <c r="SM17" s="8">
        <v>43477</v>
      </c>
      <c r="SN17" s="8">
        <v>43495</v>
      </c>
      <c r="SO17" s="8">
        <v>44638</v>
      </c>
      <c r="SP17" s="8">
        <v>45124</v>
      </c>
      <c r="SQ17" s="8">
        <v>43488</v>
      </c>
      <c r="SR17" s="8">
        <v>44091</v>
      </c>
      <c r="SS17" s="8">
        <v>44894</v>
      </c>
      <c r="ST17" s="8">
        <v>45213</v>
      </c>
      <c r="SU17" s="8">
        <v>44891</v>
      </c>
      <c r="SV17" s="8">
        <v>44474</v>
      </c>
      <c r="SW17" s="8">
        <v>44639</v>
      </c>
      <c r="SX17" s="8">
        <v>43598</v>
      </c>
      <c r="SY17" s="8">
        <v>43541</v>
      </c>
      <c r="SZ17" s="8">
        <v>43866</v>
      </c>
      <c r="TA17" s="8">
        <v>44016</v>
      </c>
      <c r="TB17" s="8">
        <v>43886</v>
      </c>
      <c r="TC17" s="8">
        <v>43869</v>
      </c>
      <c r="TD17" s="8">
        <v>45035</v>
      </c>
      <c r="TE17" s="8">
        <v>44191</v>
      </c>
      <c r="TF17" s="8">
        <v>44377</v>
      </c>
      <c r="TG17" s="8">
        <v>45095</v>
      </c>
      <c r="TH17" s="8">
        <v>43630</v>
      </c>
      <c r="TI17" s="8">
        <v>44077</v>
      </c>
      <c r="TJ17" s="8">
        <v>44117</v>
      </c>
      <c r="TK17" s="8">
        <v>43929</v>
      </c>
      <c r="TL17" s="8">
        <v>44352</v>
      </c>
      <c r="TM17" s="8">
        <v>44666</v>
      </c>
      <c r="TN17" s="8">
        <v>44875</v>
      </c>
      <c r="TO17" s="8">
        <v>43954</v>
      </c>
      <c r="TP17" s="8">
        <v>44126</v>
      </c>
      <c r="TQ17" s="8">
        <v>44759</v>
      </c>
      <c r="TR17" s="8">
        <v>44183</v>
      </c>
      <c r="TS17" s="8">
        <v>44060</v>
      </c>
      <c r="TT17" s="8">
        <v>43643</v>
      </c>
      <c r="TU17" s="8">
        <v>44072</v>
      </c>
      <c r="TV17" s="8">
        <v>44741</v>
      </c>
      <c r="TW17" s="8">
        <v>44703</v>
      </c>
      <c r="TX17" s="8">
        <v>44525</v>
      </c>
      <c r="TY17" s="8">
        <v>45245</v>
      </c>
      <c r="TZ17" s="8">
        <v>43781</v>
      </c>
      <c r="UA17" s="8">
        <v>43516</v>
      </c>
      <c r="UB17" s="8">
        <v>44649</v>
      </c>
      <c r="UC17" s="8">
        <v>44462</v>
      </c>
      <c r="UD17" s="8">
        <v>45120</v>
      </c>
      <c r="UE17" s="8">
        <v>44283</v>
      </c>
      <c r="UF17" s="8">
        <v>44698</v>
      </c>
      <c r="UG17" s="8">
        <v>44552</v>
      </c>
      <c r="UH17" s="8">
        <v>43480</v>
      </c>
      <c r="UI17" s="8">
        <v>44229</v>
      </c>
      <c r="UJ17" s="8">
        <v>43810</v>
      </c>
      <c r="UK17" s="8">
        <v>44900</v>
      </c>
      <c r="UL17" s="8">
        <v>43549</v>
      </c>
      <c r="UM17" s="8">
        <v>44399</v>
      </c>
      <c r="UN17" s="8">
        <v>43983</v>
      </c>
      <c r="UO17" s="8">
        <v>43931</v>
      </c>
      <c r="UP17" s="8">
        <v>43970</v>
      </c>
      <c r="UQ17" s="8">
        <v>43951</v>
      </c>
      <c r="UR17" s="8">
        <v>44849</v>
      </c>
      <c r="US17" s="8">
        <v>43935</v>
      </c>
      <c r="UT17" s="8">
        <v>44357</v>
      </c>
      <c r="UU17" s="8">
        <v>44390</v>
      </c>
      <c r="UV17" s="8">
        <v>44447</v>
      </c>
      <c r="UW17" s="8">
        <v>44162</v>
      </c>
      <c r="UX17" s="8">
        <v>43498</v>
      </c>
      <c r="UY17" s="8">
        <v>44474</v>
      </c>
      <c r="UZ17" s="8">
        <v>45192</v>
      </c>
      <c r="VA17" s="8">
        <v>43943</v>
      </c>
      <c r="VB17" s="8">
        <v>43759</v>
      </c>
      <c r="VC17" s="8">
        <v>43591</v>
      </c>
      <c r="VD17" s="8">
        <v>44340</v>
      </c>
      <c r="VE17" s="8">
        <v>44489</v>
      </c>
      <c r="VF17" s="8">
        <v>44193</v>
      </c>
      <c r="VG17" s="8">
        <v>43900</v>
      </c>
      <c r="VH17" s="8">
        <v>43830</v>
      </c>
      <c r="VI17" s="8">
        <v>44270</v>
      </c>
      <c r="VJ17" s="8">
        <v>43655</v>
      </c>
      <c r="VK17" s="8">
        <v>45046</v>
      </c>
      <c r="VL17" s="8">
        <v>45077</v>
      </c>
      <c r="VM17" s="8">
        <v>45026</v>
      </c>
      <c r="VN17" s="8">
        <v>44166</v>
      </c>
      <c r="VO17" s="8">
        <v>44966</v>
      </c>
      <c r="VP17" s="8">
        <v>44283</v>
      </c>
      <c r="VQ17" s="8">
        <v>43773</v>
      </c>
      <c r="VR17" s="8">
        <v>44684</v>
      </c>
      <c r="VS17" s="8">
        <v>44666</v>
      </c>
      <c r="VT17" s="8">
        <v>45147</v>
      </c>
      <c r="VU17" s="8">
        <v>44643</v>
      </c>
      <c r="VV17" s="8">
        <v>43949</v>
      </c>
      <c r="VW17" s="8">
        <v>44596</v>
      </c>
      <c r="VX17" s="8">
        <v>43719</v>
      </c>
      <c r="VY17" s="8">
        <v>45089</v>
      </c>
      <c r="VZ17" s="8">
        <v>44081</v>
      </c>
      <c r="WA17" s="8">
        <v>44029</v>
      </c>
      <c r="WB17" s="8">
        <v>44165</v>
      </c>
      <c r="WC17" s="8">
        <v>44756</v>
      </c>
      <c r="WD17" s="8">
        <v>44487</v>
      </c>
      <c r="WE17" s="8">
        <v>44913</v>
      </c>
      <c r="WF17" s="8">
        <v>43916</v>
      </c>
      <c r="WG17" s="8">
        <v>44234</v>
      </c>
      <c r="WH17" s="8">
        <v>44924</v>
      </c>
      <c r="WI17" s="8">
        <v>43833</v>
      </c>
      <c r="WJ17" s="8">
        <v>43862</v>
      </c>
      <c r="WK17" s="8">
        <v>44498</v>
      </c>
      <c r="WL17" s="8">
        <v>43946</v>
      </c>
      <c r="WM17" s="8">
        <v>44536</v>
      </c>
      <c r="WN17" s="8">
        <v>44385</v>
      </c>
      <c r="WO17" s="8">
        <v>44454</v>
      </c>
      <c r="WP17" s="8">
        <v>44235</v>
      </c>
      <c r="WQ17" s="8">
        <v>44670</v>
      </c>
      <c r="WR17" s="8">
        <v>43827</v>
      </c>
      <c r="WS17" s="8">
        <v>43492</v>
      </c>
      <c r="WT17" s="8">
        <v>43805</v>
      </c>
      <c r="WU17" s="8">
        <v>45034</v>
      </c>
      <c r="WV17" s="8">
        <v>44995</v>
      </c>
      <c r="WW17" s="8">
        <v>44170</v>
      </c>
      <c r="WX17" s="8">
        <v>44274</v>
      </c>
      <c r="WY17" s="8">
        <v>44249</v>
      </c>
      <c r="WZ17" s="8">
        <v>44330</v>
      </c>
      <c r="XA17" s="8">
        <v>44990</v>
      </c>
      <c r="XB17" s="8">
        <v>43784</v>
      </c>
      <c r="XC17" s="8">
        <v>45045</v>
      </c>
      <c r="XD17" s="8">
        <v>43768</v>
      </c>
      <c r="XE17" s="8">
        <v>43588</v>
      </c>
      <c r="XF17" s="8">
        <v>44476</v>
      </c>
      <c r="XG17" s="8">
        <v>43516</v>
      </c>
      <c r="XH17" s="8">
        <v>45052</v>
      </c>
      <c r="XI17" s="8">
        <v>44255</v>
      </c>
      <c r="XJ17" s="8">
        <v>44577</v>
      </c>
      <c r="XK17" s="8">
        <v>43647</v>
      </c>
      <c r="XL17" s="8">
        <v>45001</v>
      </c>
      <c r="XM17" s="8">
        <v>44169</v>
      </c>
      <c r="XN17" s="8">
        <v>45037</v>
      </c>
      <c r="XO17" s="8">
        <v>44489</v>
      </c>
      <c r="XP17" s="8">
        <v>43560</v>
      </c>
      <c r="XQ17" s="8">
        <v>43947</v>
      </c>
      <c r="XR17" s="8">
        <v>44941</v>
      </c>
      <c r="XS17" s="8">
        <v>44285</v>
      </c>
      <c r="XT17" s="8">
        <v>44929</v>
      </c>
      <c r="XU17" s="8">
        <v>45169</v>
      </c>
      <c r="XV17" s="8">
        <v>44428</v>
      </c>
      <c r="XW17" s="8">
        <v>44821</v>
      </c>
      <c r="XX17" s="8">
        <v>43803</v>
      </c>
      <c r="XY17" s="8">
        <v>44241</v>
      </c>
      <c r="XZ17" s="8">
        <v>43931</v>
      </c>
      <c r="YA17" s="8">
        <v>45092</v>
      </c>
      <c r="YB17" s="8">
        <v>44445</v>
      </c>
      <c r="YC17" s="8">
        <v>44854</v>
      </c>
      <c r="YD17" s="8">
        <v>45198</v>
      </c>
      <c r="YE17" s="8">
        <v>44702</v>
      </c>
      <c r="YF17" s="8">
        <v>44856</v>
      </c>
      <c r="YG17" s="8">
        <v>44000</v>
      </c>
      <c r="YH17" s="8">
        <v>44724</v>
      </c>
      <c r="YI17" s="8">
        <v>44032</v>
      </c>
      <c r="YJ17" s="8">
        <v>44415</v>
      </c>
      <c r="YK17" s="8">
        <v>43964</v>
      </c>
      <c r="YL17" s="8">
        <v>45058</v>
      </c>
      <c r="YM17" s="8">
        <v>44417</v>
      </c>
      <c r="YN17" s="8">
        <v>43541</v>
      </c>
      <c r="YO17" s="8">
        <v>43959</v>
      </c>
      <c r="YP17" s="8">
        <v>43548</v>
      </c>
      <c r="YQ17" s="8">
        <v>44333</v>
      </c>
      <c r="YR17" s="8">
        <v>43487</v>
      </c>
      <c r="YS17" s="8">
        <v>44415</v>
      </c>
      <c r="YT17" s="8">
        <v>45022</v>
      </c>
      <c r="YU17" s="8">
        <v>44818</v>
      </c>
      <c r="YV17" s="8">
        <v>44443</v>
      </c>
      <c r="YW17" s="8">
        <v>44041</v>
      </c>
      <c r="YX17" s="8">
        <v>43569</v>
      </c>
      <c r="YY17" s="8">
        <v>43794</v>
      </c>
      <c r="YZ17" s="8">
        <v>44087</v>
      </c>
      <c r="ZA17" s="8">
        <v>45219</v>
      </c>
      <c r="ZB17" s="8">
        <v>45068</v>
      </c>
      <c r="ZC17" s="8">
        <v>43536</v>
      </c>
      <c r="ZD17" s="8">
        <v>45252</v>
      </c>
      <c r="ZE17" s="8">
        <v>45004</v>
      </c>
      <c r="ZF17" s="8">
        <v>44800</v>
      </c>
      <c r="ZG17" s="8">
        <v>43586</v>
      </c>
      <c r="ZH17" s="8">
        <v>44473</v>
      </c>
      <c r="ZI17" s="8">
        <v>44770</v>
      </c>
      <c r="ZJ17" s="8">
        <v>44359</v>
      </c>
      <c r="ZK17" s="8">
        <v>45035</v>
      </c>
      <c r="ZL17" s="8">
        <v>44248</v>
      </c>
      <c r="ZM17" s="8">
        <v>44914</v>
      </c>
      <c r="ZN17" s="8">
        <v>44046</v>
      </c>
      <c r="ZO17" s="8">
        <v>44639</v>
      </c>
      <c r="ZP17" s="8">
        <v>44271</v>
      </c>
      <c r="ZQ17" s="8">
        <v>43738</v>
      </c>
      <c r="ZR17" s="8">
        <v>44408</v>
      </c>
      <c r="ZS17" s="8">
        <v>44307</v>
      </c>
      <c r="ZT17" s="8">
        <v>45252</v>
      </c>
      <c r="ZU17" s="8">
        <v>44378</v>
      </c>
      <c r="ZV17" s="8">
        <v>43615</v>
      </c>
      <c r="ZW17" s="8">
        <v>44979</v>
      </c>
      <c r="ZX17" s="8">
        <v>43715</v>
      </c>
      <c r="ZY17" s="8">
        <v>43609</v>
      </c>
      <c r="ZZ17" s="8">
        <v>43881</v>
      </c>
      <c r="AAA17" s="8">
        <v>43613</v>
      </c>
      <c r="AAB17" s="8">
        <v>44648</v>
      </c>
      <c r="AAC17" s="8">
        <v>44913</v>
      </c>
      <c r="AAD17" s="8">
        <v>44959</v>
      </c>
      <c r="AAE17" s="8">
        <v>44695</v>
      </c>
      <c r="AAF17" s="8">
        <v>44692</v>
      </c>
      <c r="AAG17" s="8">
        <v>44057</v>
      </c>
      <c r="AAH17" s="8">
        <v>45047</v>
      </c>
      <c r="AAI17" s="8">
        <v>44605</v>
      </c>
      <c r="AAJ17" s="8">
        <v>45086</v>
      </c>
      <c r="AAK17" s="8">
        <v>44246</v>
      </c>
      <c r="AAL17" s="8">
        <v>43660</v>
      </c>
      <c r="AAM17" s="8">
        <v>45109</v>
      </c>
      <c r="AAN17" s="8">
        <v>44728</v>
      </c>
      <c r="AAO17" s="8">
        <v>44554</v>
      </c>
      <c r="AAP17" s="8">
        <v>44641</v>
      </c>
      <c r="AAQ17" s="8">
        <v>44137</v>
      </c>
      <c r="AAR17" s="8">
        <v>44099</v>
      </c>
      <c r="AAS17" s="8">
        <v>44021</v>
      </c>
      <c r="AAT17" s="8">
        <v>44663</v>
      </c>
      <c r="AAU17" s="8">
        <v>43743</v>
      </c>
      <c r="AAV17" s="8">
        <v>43568</v>
      </c>
      <c r="AAW17" s="8">
        <v>43700</v>
      </c>
      <c r="AAX17" s="8">
        <v>43609</v>
      </c>
      <c r="AAY17" s="8">
        <v>44992</v>
      </c>
      <c r="AAZ17" s="8">
        <v>45237</v>
      </c>
      <c r="ABA17" s="8">
        <v>44076</v>
      </c>
      <c r="ABB17" s="8">
        <v>44786</v>
      </c>
      <c r="ABC17" s="8">
        <v>44156</v>
      </c>
      <c r="ABD17" s="8">
        <v>44969</v>
      </c>
      <c r="ABE17" s="8">
        <v>44829</v>
      </c>
      <c r="ABF17" s="8">
        <v>44803</v>
      </c>
      <c r="ABG17" s="8">
        <v>44662</v>
      </c>
      <c r="ABH17" s="8">
        <v>44521</v>
      </c>
      <c r="ABI17" s="8">
        <v>44563</v>
      </c>
      <c r="ABJ17" s="8">
        <v>43741</v>
      </c>
      <c r="ABK17" s="8">
        <v>45019</v>
      </c>
      <c r="ABL17" s="8">
        <v>43829</v>
      </c>
      <c r="ABM17" s="8">
        <v>43783</v>
      </c>
      <c r="ABN17" s="8">
        <v>45177</v>
      </c>
      <c r="ABO17" s="8">
        <v>43719</v>
      </c>
      <c r="ABP17" s="8">
        <v>43558</v>
      </c>
      <c r="ABQ17" s="8">
        <v>44252</v>
      </c>
      <c r="ABR17" s="8">
        <v>43886</v>
      </c>
      <c r="ABS17" s="8">
        <v>44759</v>
      </c>
      <c r="ABT17" s="8">
        <v>45256</v>
      </c>
      <c r="ABU17" s="8">
        <v>43541</v>
      </c>
      <c r="ABV17" s="8">
        <v>44596</v>
      </c>
      <c r="ABW17" s="8">
        <v>45203</v>
      </c>
      <c r="ABX17" s="8">
        <v>43771</v>
      </c>
      <c r="ABY17" s="8">
        <v>45222</v>
      </c>
      <c r="ABZ17" s="8">
        <v>44668</v>
      </c>
      <c r="ACA17" s="8">
        <v>44645</v>
      </c>
      <c r="ACB17" s="8">
        <v>45221</v>
      </c>
      <c r="ACC17" s="8">
        <v>44847</v>
      </c>
      <c r="ACD17" s="8">
        <v>43772</v>
      </c>
      <c r="ACE17" s="8">
        <v>45067</v>
      </c>
      <c r="ACF17" s="8">
        <v>44625</v>
      </c>
      <c r="ACG17" s="8">
        <v>44318</v>
      </c>
      <c r="ACH17" s="8">
        <v>45183</v>
      </c>
      <c r="ACI17" s="8">
        <v>44602</v>
      </c>
      <c r="ACJ17" s="8">
        <v>44926</v>
      </c>
      <c r="ACK17" s="8">
        <v>43983</v>
      </c>
      <c r="ACL17" s="8">
        <v>43692</v>
      </c>
      <c r="ACM17" s="8">
        <v>44084</v>
      </c>
      <c r="ACN17" s="8">
        <v>44600</v>
      </c>
      <c r="ACO17" s="8">
        <v>44624</v>
      </c>
      <c r="ACP17" s="8">
        <v>44120</v>
      </c>
      <c r="ACQ17" s="8">
        <v>43731</v>
      </c>
      <c r="ACR17" s="8">
        <v>45173</v>
      </c>
      <c r="ACS17" s="8">
        <v>45184</v>
      </c>
      <c r="ACT17" s="8">
        <v>44694</v>
      </c>
      <c r="ACU17" s="8">
        <v>44410</v>
      </c>
      <c r="ACV17" s="8">
        <v>44625</v>
      </c>
      <c r="ACW17" s="8">
        <v>43692</v>
      </c>
      <c r="ACX17" s="8">
        <v>44975</v>
      </c>
      <c r="ACY17" s="8">
        <v>43564</v>
      </c>
      <c r="ACZ17" s="8">
        <v>43563</v>
      </c>
      <c r="ADA17" s="8">
        <v>44602</v>
      </c>
      <c r="ADB17" s="8">
        <v>44328</v>
      </c>
      <c r="ADC17" s="8">
        <v>45042</v>
      </c>
      <c r="ADD17" s="8">
        <v>44996</v>
      </c>
      <c r="ADE17" s="8">
        <v>43506</v>
      </c>
      <c r="ADF17" s="8">
        <v>43560</v>
      </c>
      <c r="ADG17" s="8">
        <v>44552</v>
      </c>
      <c r="ADH17" s="8">
        <v>44980</v>
      </c>
      <c r="ADI17" s="8">
        <v>44928</v>
      </c>
      <c r="ADJ17" s="8">
        <v>45239</v>
      </c>
      <c r="ADK17" s="8">
        <v>43534</v>
      </c>
      <c r="ADL17" s="8">
        <v>43772</v>
      </c>
      <c r="ADM17" s="8">
        <v>44662</v>
      </c>
      <c r="ADN17" s="8">
        <v>44700</v>
      </c>
      <c r="ADO17" s="8">
        <v>44480</v>
      </c>
      <c r="ADP17" s="8">
        <v>44728</v>
      </c>
      <c r="ADQ17" s="8">
        <v>44024</v>
      </c>
      <c r="ADR17" s="8">
        <v>45225</v>
      </c>
      <c r="ADS17" s="8">
        <v>43578</v>
      </c>
      <c r="ADT17" s="8">
        <v>45092</v>
      </c>
      <c r="ADU17" s="8">
        <v>43724</v>
      </c>
      <c r="ADV17" s="8">
        <v>43692</v>
      </c>
      <c r="ADW17" s="8">
        <v>44459</v>
      </c>
      <c r="ADX17" s="8">
        <v>44477</v>
      </c>
      <c r="ADY17" s="8">
        <v>43981</v>
      </c>
      <c r="ADZ17" s="8">
        <v>44295</v>
      </c>
      <c r="AEA17" s="8">
        <v>43547</v>
      </c>
      <c r="AEB17" s="8">
        <v>43796</v>
      </c>
      <c r="AEC17" s="8">
        <v>43974</v>
      </c>
      <c r="AED17" s="8">
        <v>44832</v>
      </c>
      <c r="AEE17" s="8">
        <v>43703</v>
      </c>
      <c r="AEF17" s="8">
        <v>44962</v>
      </c>
      <c r="AEG17" s="8">
        <v>44914</v>
      </c>
      <c r="AEH17" s="8">
        <v>44561</v>
      </c>
      <c r="AEI17" s="8">
        <v>44795</v>
      </c>
      <c r="AEJ17" s="8">
        <v>44738</v>
      </c>
      <c r="AEK17" s="8">
        <v>44192</v>
      </c>
      <c r="AEL17" s="8">
        <v>44055</v>
      </c>
      <c r="AEM17" s="8">
        <v>44747</v>
      </c>
      <c r="AEN17" s="8">
        <v>45034</v>
      </c>
      <c r="AEO17" s="8">
        <v>44866</v>
      </c>
      <c r="AEP17" s="8">
        <v>43653</v>
      </c>
      <c r="AEQ17" s="8">
        <v>44503</v>
      </c>
      <c r="AER17" s="8">
        <v>44327</v>
      </c>
      <c r="AES17" s="8">
        <v>44232</v>
      </c>
      <c r="AET17" s="8">
        <v>44751</v>
      </c>
      <c r="AEU17" s="8">
        <v>43574</v>
      </c>
      <c r="AEV17" s="8">
        <v>43479</v>
      </c>
      <c r="AEW17" s="8">
        <v>44975</v>
      </c>
      <c r="AEX17" s="8">
        <v>43644</v>
      </c>
      <c r="AEY17" s="8">
        <v>43931</v>
      </c>
      <c r="AEZ17" s="8">
        <v>45219</v>
      </c>
      <c r="AFA17" s="8">
        <v>43686</v>
      </c>
      <c r="AFB17" s="8">
        <v>44592</v>
      </c>
      <c r="AFC17" s="8">
        <v>45210</v>
      </c>
      <c r="AFD17" s="8">
        <v>45013</v>
      </c>
      <c r="AFE17" s="8">
        <v>45229</v>
      </c>
      <c r="AFF17" s="8">
        <v>43469</v>
      </c>
      <c r="AFG17" s="8">
        <v>43488</v>
      </c>
      <c r="AFH17" s="8">
        <v>43982</v>
      </c>
      <c r="AFI17" s="8">
        <v>44915</v>
      </c>
      <c r="AFJ17" s="8">
        <v>44625</v>
      </c>
      <c r="AFK17" s="8">
        <v>43613</v>
      </c>
      <c r="AFL17" s="8">
        <v>44198</v>
      </c>
      <c r="AFM17" s="8">
        <v>44889</v>
      </c>
      <c r="AFN17" s="8">
        <v>44334</v>
      </c>
      <c r="AFO17" s="8">
        <v>43699</v>
      </c>
      <c r="AFP17" s="8">
        <v>44369</v>
      </c>
      <c r="AFQ17" s="8">
        <v>44186</v>
      </c>
      <c r="AFR17" s="8">
        <v>43536</v>
      </c>
      <c r="AFS17" s="8">
        <v>43785</v>
      </c>
      <c r="AFT17" s="8">
        <v>44461</v>
      </c>
      <c r="AFU17" s="8">
        <v>44354</v>
      </c>
      <c r="AFV17" s="8">
        <v>43718</v>
      </c>
      <c r="AFW17" s="8">
        <v>44192</v>
      </c>
      <c r="AFX17" s="8">
        <v>43537</v>
      </c>
      <c r="AFY17" s="8">
        <v>43663</v>
      </c>
      <c r="AFZ17" s="8">
        <v>44524</v>
      </c>
      <c r="AGA17" s="8">
        <v>44820</v>
      </c>
      <c r="AGB17" s="8">
        <v>44598</v>
      </c>
      <c r="AGC17" s="8">
        <v>44579</v>
      </c>
      <c r="AGD17" s="8">
        <v>43509</v>
      </c>
      <c r="AGE17" s="8">
        <v>44160</v>
      </c>
      <c r="AGF17" s="8">
        <v>45050</v>
      </c>
      <c r="AGG17" s="8">
        <v>43470</v>
      </c>
      <c r="AGH17" s="8">
        <v>44073</v>
      </c>
      <c r="AGI17" s="8">
        <v>43843</v>
      </c>
      <c r="AGJ17" s="8">
        <v>43793</v>
      </c>
      <c r="AGK17" s="8">
        <v>44286</v>
      </c>
      <c r="AGL17" s="8">
        <v>43907</v>
      </c>
      <c r="AGM17" s="8">
        <v>45154</v>
      </c>
      <c r="AGN17" s="8">
        <v>43770</v>
      </c>
      <c r="AGO17" s="8">
        <v>44746</v>
      </c>
      <c r="AGP17" s="8">
        <v>45067</v>
      </c>
      <c r="AGQ17" s="8">
        <v>44166</v>
      </c>
      <c r="AGR17" s="8">
        <v>43988</v>
      </c>
      <c r="AGS17" s="8">
        <v>44945</v>
      </c>
      <c r="AGT17" s="8">
        <v>45177</v>
      </c>
      <c r="AGU17" s="8">
        <v>43824</v>
      </c>
      <c r="AGV17" s="8">
        <v>44604</v>
      </c>
      <c r="AGW17" s="8">
        <v>44151</v>
      </c>
      <c r="AGX17" s="8">
        <v>44221</v>
      </c>
      <c r="AGY17" s="8">
        <v>44841</v>
      </c>
      <c r="AGZ17" s="8">
        <v>43989</v>
      </c>
      <c r="AHA17" s="8">
        <v>43590</v>
      </c>
      <c r="AHB17" s="8">
        <v>44592</v>
      </c>
      <c r="AHC17" s="8">
        <v>45085</v>
      </c>
      <c r="AHD17" s="8">
        <v>44503</v>
      </c>
      <c r="AHE17" s="8">
        <v>44903</v>
      </c>
      <c r="AHF17" s="8">
        <v>43535</v>
      </c>
      <c r="AHG17" s="8">
        <v>45184</v>
      </c>
      <c r="AHH17" s="8">
        <v>44092</v>
      </c>
      <c r="AHI17" s="8">
        <v>44967</v>
      </c>
      <c r="AHJ17" s="8">
        <v>45006</v>
      </c>
      <c r="AHK17" s="8">
        <v>43803</v>
      </c>
      <c r="AHL17" s="8">
        <v>44647</v>
      </c>
      <c r="AHM17" s="8">
        <v>43687</v>
      </c>
      <c r="AHN17" s="8">
        <v>43878</v>
      </c>
      <c r="AHO17" s="8">
        <v>44519</v>
      </c>
      <c r="AHP17" s="8">
        <v>44131</v>
      </c>
      <c r="AHQ17" s="8">
        <v>44062</v>
      </c>
      <c r="AHR17" s="8">
        <v>44956</v>
      </c>
      <c r="AHS17" s="8">
        <v>44515</v>
      </c>
      <c r="AHT17" s="8">
        <v>43727</v>
      </c>
      <c r="AHU17" s="8">
        <v>43835</v>
      </c>
      <c r="AHV17" s="8">
        <v>43613</v>
      </c>
      <c r="AHW17" s="8">
        <v>43782</v>
      </c>
      <c r="AHX17" s="8">
        <v>44854</v>
      </c>
      <c r="AHY17" s="8">
        <v>44023</v>
      </c>
      <c r="AHZ17" s="8">
        <v>43823</v>
      </c>
      <c r="AIA17" s="8">
        <v>44176</v>
      </c>
      <c r="AIB17" s="8">
        <v>45238</v>
      </c>
      <c r="AIC17" s="8">
        <v>44648</v>
      </c>
      <c r="AID17" s="8">
        <v>44336</v>
      </c>
      <c r="AIE17" s="8">
        <v>44886</v>
      </c>
      <c r="AIF17" s="8">
        <v>43518</v>
      </c>
      <c r="AIG17" s="8">
        <v>44632</v>
      </c>
      <c r="AIH17" s="8">
        <v>45226</v>
      </c>
      <c r="AII17" s="8">
        <v>44603</v>
      </c>
      <c r="AIJ17" s="8">
        <v>44315</v>
      </c>
      <c r="AIK17" s="8">
        <v>44607</v>
      </c>
      <c r="AIL17" s="8">
        <v>43643</v>
      </c>
      <c r="AIM17" s="8">
        <v>44941</v>
      </c>
      <c r="AIN17" s="8">
        <v>44617</v>
      </c>
      <c r="AIO17" s="8">
        <v>44245</v>
      </c>
      <c r="AIP17" s="8">
        <v>45135</v>
      </c>
      <c r="AIQ17" s="8">
        <v>45213</v>
      </c>
      <c r="AIR17" s="8">
        <v>44254</v>
      </c>
      <c r="AIS17" s="8">
        <v>44827</v>
      </c>
      <c r="AIT17" s="8">
        <v>45018</v>
      </c>
      <c r="AIU17" s="8">
        <v>43756</v>
      </c>
      <c r="AIV17" s="8">
        <v>43564</v>
      </c>
      <c r="AIW17" s="8">
        <v>45103</v>
      </c>
      <c r="AIX17" s="8">
        <v>44396</v>
      </c>
      <c r="AIY17" s="8">
        <v>44287</v>
      </c>
      <c r="AIZ17" s="8">
        <v>45201</v>
      </c>
      <c r="AJA17" s="8">
        <v>45213</v>
      </c>
      <c r="AJB17" s="8">
        <v>44676</v>
      </c>
      <c r="AJC17" s="8">
        <v>44305</v>
      </c>
      <c r="AJD17" s="8">
        <v>43498</v>
      </c>
      <c r="AJE17" s="8">
        <v>45095</v>
      </c>
      <c r="AJF17" s="8">
        <v>44596</v>
      </c>
      <c r="AJG17" s="8">
        <v>43637</v>
      </c>
      <c r="AJH17" s="8">
        <v>44657</v>
      </c>
      <c r="AJI17" s="8">
        <v>44385</v>
      </c>
      <c r="AJJ17" s="8">
        <v>43992</v>
      </c>
      <c r="AJK17" s="8">
        <v>44331</v>
      </c>
      <c r="AJL17" s="8">
        <v>44352</v>
      </c>
      <c r="AJM17" s="8">
        <v>45181</v>
      </c>
      <c r="AJN17" s="8">
        <v>44643</v>
      </c>
      <c r="AJO17" s="8">
        <v>44246</v>
      </c>
      <c r="AJP17" s="8">
        <v>43901</v>
      </c>
      <c r="AJQ17" s="8">
        <v>44284</v>
      </c>
      <c r="AJR17" s="8">
        <v>44063</v>
      </c>
      <c r="AJS17" s="8">
        <v>43504</v>
      </c>
      <c r="AJT17" s="8">
        <v>43567</v>
      </c>
      <c r="AJU17" s="8">
        <v>43644</v>
      </c>
      <c r="AJV17" s="8">
        <v>43680</v>
      </c>
      <c r="AJW17" s="8">
        <v>43839</v>
      </c>
      <c r="AJX17" s="8">
        <v>43471</v>
      </c>
      <c r="AJY17" s="8">
        <v>43689</v>
      </c>
      <c r="AJZ17" s="8">
        <v>44841</v>
      </c>
      <c r="AKA17" s="8">
        <v>43597</v>
      </c>
      <c r="AKB17" s="8">
        <v>43976</v>
      </c>
      <c r="AKC17" s="8">
        <v>44843</v>
      </c>
      <c r="AKD17" s="8">
        <v>43541</v>
      </c>
      <c r="AKE17" s="8">
        <v>43605</v>
      </c>
      <c r="AKF17" s="8">
        <v>44349</v>
      </c>
      <c r="AKG17" s="8">
        <v>43645</v>
      </c>
      <c r="AKH17" s="8">
        <v>44816</v>
      </c>
      <c r="AKI17" s="8">
        <v>44466</v>
      </c>
      <c r="AKJ17" s="8">
        <v>43942</v>
      </c>
      <c r="AKK17" s="8">
        <v>44740</v>
      </c>
      <c r="AKL17" s="8">
        <v>44672</v>
      </c>
      <c r="AKM17" s="8">
        <v>44129</v>
      </c>
      <c r="AKN17" s="8">
        <v>44302</v>
      </c>
      <c r="AKO17" s="8">
        <v>44984</v>
      </c>
      <c r="AKP17" s="8">
        <v>43723</v>
      </c>
      <c r="AKQ17" s="8">
        <v>44497</v>
      </c>
      <c r="AKR17" s="8">
        <v>44797</v>
      </c>
      <c r="AKS17" s="8">
        <v>44310</v>
      </c>
      <c r="AKT17" s="8">
        <v>44923</v>
      </c>
      <c r="AKU17" s="8">
        <v>44679</v>
      </c>
      <c r="AKV17" s="8">
        <v>43573</v>
      </c>
      <c r="AKW17" s="8">
        <v>44864</v>
      </c>
      <c r="AKX17" s="8">
        <v>44814</v>
      </c>
      <c r="AKY17" s="8">
        <v>44140</v>
      </c>
      <c r="AKZ17" s="8">
        <v>44590</v>
      </c>
      <c r="ALA17" s="8">
        <v>45061</v>
      </c>
      <c r="ALB17" s="8">
        <v>44431</v>
      </c>
      <c r="ALC17" s="8">
        <v>44012</v>
      </c>
      <c r="ALD17" s="8">
        <v>45157</v>
      </c>
      <c r="ALE17" s="8">
        <v>45094</v>
      </c>
      <c r="ALF17" s="8">
        <v>45129</v>
      </c>
      <c r="ALG17" s="8">
        <v>44220</v>
      </c>
      <c r="ALH17" s="8">
        <v>44059</v>
      </c>
      <c r="ALI17" s="8">
        <v>43769</v>
      </c>
      <c r="ALJ17" s="8">
        <v>43914</v>
      </c>
      <c r="ALK17" s="8">
        <v>44749</v>
      </c>
      <c r="ALL17" s="8">
        <v>43806</v>
      </c>
      <c r="ALM17" s="8">
        <v>44180</v>
      </c>
      <c r="ALN17" s="8">
        <v>44291</v>
      </c>
      <c r="ALO17" s="8">
        <v>44742</v>
      </c>
      <c r="ALP17" s="8">
        <v>45229</v>
      </c>
      <c r="ALQ17" s="8">
        <v>44466</v>
      </c>
      <c r="ALR17" s="8">
        <v>43887</v>
      </c>
      <c r="ALS17" s="8">
        <v>43515</v>
      </c>
      <c r="ALT17" s="8">
        <v>43894</v>
      </c>
      <c r="ALU17" s="8">
        <v>44930</v>
      </c>
      <c r="ALV17" s="8">
        <v>44828</v>
      </c>
      <c r="ALW17" s="8">
        <v>43947</v>
      </c>
      <c r="ALX17" s="8">
        <v>44988</v>
      </c>
    </row>
    <row r="18" spans="1:1012" x14ac:dyDescent="0.3">
      <c r="A18" s="6" t="s">
        <v>53</v>
      </c>
      <c r="B18" s="6" t="s">
        <v>31</v>
      </c>
      <c r="C18" s="7">
        <v>46</v>
      </c>
      <c r="D18" s="5" t="s">
        <v>46</v>
      </c>
      <c r="E18" s="6" t="s">
        <v>19</v>
      </c>
      <c r="F18" s="6" t="s">
        <v>54</v>
      </c>
      <c r="G18" s="5">
        <v>5</v>
      </c>
      <c r="H18" s="8">
        <v>45122</v>
      </c>
      <c r="I18" s="6" t="s">
        <v>29</v>
      </c>
      <c r="J18" s="6" t="s">
        <v>22</v>
      </c>
      <c r="L18" s="14" t="s">
        <v>8</v>
      </c>
      <c r="M18" s="6" t="s">
        <v>15</v>
      </c>
      <c r="N18" s="6" t="s">
        <v>21</v>
      </c>
      <c r="O18" s="6" t="s">
        <v>26</v>
      </c>
      <c r="P18" s="6" t="s">
        <v>29</v>
      </c>
      <c r="Q18" s="6" t="s">
        <v>34</v>
      </c>
      <c r="R18" s="6" t="s">
        <v>21</v>
      </c>
      <c r="S18" s="6" t="s">
        <v>39</v>
      </c>
      <c r="T18" s="6" t="s">
        <v>34</v>
      </c>
      <c r="U18" s="6" t="s">
        <v>34</v>
      </c>
      <c r="V18" s="6" t="s">
        <v>29</v>
      </c>
      <c r="W18" s="6" t="s">
        <v>15</v>
      </c>
      <c r="X18" s="6" t="s">
        <v>47</v>
      </c>
      <c r="Y18" s="6" t="s">
        <v>49</v>
      </c>
      <c r="Z18" s="6" t="s">
        <v>39</v>
      </c>
      <c r="AA18" s="6" t="s">
        <v>49</v>
      </c>
      <c r="AB18" s="6" t="s">
        <v>15</v>
      </c>
      <c r="AC18" s="6" t="s">
        <v>29</v>
      </c>
      <c r="AD18" s="6" t="s">
        <v>21</v>
      </c>
      <c r="AE18" s="6" t="s">
        <v>15</v>
      </c>
      <c r="AF18" s="6" t="s">
        <v>29</v>
      </c>
      <c r="AG18" s="6" t="s">
        <v>47</v>
      </c>
      <c r="AH18" s="6" t="s">
        <v>62</v>
      </c>
      <c r="AI18" s="6" t="s">
        <v>39</v>
      </c>
      <c r="AJ18" s="6" t="s">
        <v>39</v>
      </c>
      <c r="AK18" s="6" t="s">
        <v>21</v>
      </c>
      <c r="AL18" s="6" t="s">
        <v>29</v>
      </c>
      <c r="AM18" s="6" t="s">
        <v>49</v>
      </c>
      <c r="AN18" s="6" t="s">
        <v>49</v>
      </c>
      <c r="AO18" s="6" t="s">
        <v>26</v>
      </c>
      <c r="AP18" s="6" t="s">
        <v>47</v>
      </c>
      <c r="AQ18" s="6" t="s">
        <v>29</v>
      </c>
      <c r="AR18" s="6" t="s">
        <v>62</v>
      </c>
      <c r="AS18" s="6" t="s">
        <v>21</v>
      </c>
      <c r="AT18" s="6" t="s">
        <v>49</v>
      </c>
      <c r="AU18" s="6" t="s">
        <v>62</v>
      </c>
      <c r="AV18" s="6" t="s">
        <v>47</v>
      </c>
      <c r="AW18" s="6" t="s">
        <v>29</v>
      </c>
      <c r="AX18" s="6" t="s">
        <v>29</v>
      </c>
      <c r="AY18" s="6" t="s">
        <v>15</v>
      </c>
      <c r="AZ18" s="6" t="s">
        <v>62</v>
      </c>
      <c r="BA18" s="6" t="s">
        <v>26</v>
      </c>
      <c r="BB18" s="6" t="s">
        <v>34</v>
      </c>
      <c r="BC18" s="6" t="s">
        <v>15</v>
      </c>
      <c r="BD18" s="6" t="s">
        <v>34</v>
      </c>
      <c r="BE18" s="6" t="s">
        <v>62</v>
      </c>
      <c r="BF18" s="6" t="s">
        <v>47</v>
      </c>
      <c r="BG18" s="6" t="s">
        <v>29</v>
      </c>
      <c r="BH18" s="6" t="s">
        <v>29</v>
      </c>
      <c r="BI18" s="6" t="s">
        <v>21</v>
      </c>
      <c r="BJ18" s="6" t="s">
        <v>39</v>
      </c>
      <c r="BK18" s="6" t="s">
        <v>34</v>
      </c>
      <c r="BL18" s="6" t="s">
        <v>26</v>
      </c>
      <c r="BM18" s="6" t="s">
        <v>49</v>
      </c>
      <c r="BN18" s="6" t="s">
        <v>26</v>
      </c>
      <c r="BO18" s="6" t="s">
        <v>62</v>
      </c>
      <c r="BP18" s="6" t="s">
        <v>26</v>
      </c>
      <c r="BQ18" s="6" t="s">
        <v>21</v>
      </c>
      <c r="BR18" s="6" t="s">
        <v>49</v>
      </c>
      <c r="BS18" s="6" t="s">
        <v>34</v>
      </c>
      <c r="BT18" s="6" t="s">
        <v>49</v>
      </c>
      <c r="BU18" s="6" t="s">
        <v>29</v>
      </c>
      <c r="BV18" s="6" t="s">
        <v>39</v>
      </c>
      <c r="BW18" s="6" t="s">
        <v>62</v>
      </c>
      <c r="BX18" s="6" t="s">
        <v>34</v>
      </c>
      <c r="BY18" s="6" t="s">
        <v>15</v>
      </c>
      <c r="BZ18" s="6" t="s">
        <v>39</v>
      </c>
      <c r="CA18" s="6" t="s">
        <v>21</v>
      </c>
      <c r="CB18" s="6" t="s">
        <v>21</v>
      </c>
      <c r="CC18" s="6" t="s">
        <v>49</v>
      </c>
      <c r="CD18" s="6" t="s">
        <v>39</v>
      </c>
      <c r="CE18" s="6" t="s">
        <v>34</v>
      </c>
      <c r="CF18" s="6" t="s">
        <v>29</v>
      </c>
      <c r="CG18" s="6" t="s">
        <v>47</v>
      </c>
      <c r="CH18" s="6" t="s">
        <v>62</v>
      </c>
      <c r="CI18" s="6" t="s">
        <v>29</v>
      </c>
      <c r="CJ18" s="6" t="s">
        <v>62</v>
      </c>
      <c r="CK18" s="6" t="s">
        <v>29</v>
      </c>
      <c r="CL18" s="6" t="s">
        <v>47</v>
      </c>
      <c r="CM18" s="6" t="s">
        <v>49</v>
      </c>
      <c r="CN18" s="6" t="s">
        <v>39</v>
      </c>
      <c r="CO18" s="6" t="s">
        <v>29</v>
      </c>
      <c r="CP18" s="6" t="s">
        <v>21</v>
      </c>
      <c r="CQ18" s="6" t="s">
        <v>47</v>
      </c>
      <c r="CR18" s="6" t="s">
        <v>49</v>
      </c>
      <c r="CS18" s="6" t="s">
        <v>49</v>
      </c>
      <c r="CT18" s="6" t="s">
        <v>29</v>
      </c>
      <c r="CU18" s="6" t="s">
        <v>34</v>
      </c>
      <c r="CV18" s="6" t="s">
        <v>62</v>
      </c>
      <c r="CW18" s="6" t="s">
        <v>34</v>
      </c>
      <c r="CX18" s="6" t="s">
        <v>47</v>
      </c>
      <c r="CY18" s="6" t="s">
        <v>29</v>
      </c>
      <c r="CZ18" s="6" t="s">
        <v>26</v>
      </c>
      <c r="DA18" s="6" t="s">
        <v>49</v>
      </c>
      <c r="DB18" s="6" t="s">
        <v>62</v>
      </c>
      <c r="DC18" s="6" t="s">
        <v>15</v>
      </c>
      <c r="DD18" s="6" t="s">
        <v>49</v>
      </c>
      <c r="DE18" s="6" t="s">
        <v>34</v>
      </c>
      <c r="DF18" s="6" t="s">
        <v>62</v>
      </c>
      <c r="DG18" s="6" t="s">
        <v>15</v>
      </c>
      <c r="DH18" s="6" t="s">
        <v>47</v>
      </c>
      <c r="DI18" s="6" t="s">
        <v>47</v>
      </c>
      <c r="DJ18" s="6" t="s">
        <v>15</v>
      </c>
      <c r="DK18" s="6" t="s">
        <v>29</v>
      </c>
      <c r="DL18" s="6" t="s">
        <v>49</v>
      </c>
      <c r="DM18" s="6" t="s">
        <v>49</v>
      </c>
      <c r="DN18" s="6" t="s">
        <v>34</v>
      </c>
      <c r="DO18" s="6" t="s">
        <v>47</v>
      </c>
      <c r="DP18" s="6" t="s">
        <v>29</v>
      </c>
      <c r="DQ18" s="6" t="s">
        <v>39</v>
      </c>
      <c r="DR18" s="6" t="s">
        <v>21</v>
      </c>
      <c r="DS18" s="6" t="s">
        <v>39</v>
      </c>
      <c r="DT18" s="6" t="s">
        <v>29</v>
      </c>
      <c r="DU18" s="6" t="s">
        <v>47</v>
      </c>
      <c r="DV18" s="6" t="s">
        <v>15</v>
      </c>
      <c r="DW18" s="6" t="s">
        <v>39</v>
      </c>
      <c r="DX18" s="6" t="s">
        <v>34</v>
      </c>
      <c r="DY18" s="6" t="s">
        <v>47</v>
      </c>
      <c r="DZ18" s="6" t="s">
        <v>62</v>
      </c>
      <c r="EA18" s="6" t="s">
        <v>34</v>
      </c>
      <c r="EB18" s="6" t="s">
        <v>39</v>
      </c>
      <c r="EC18" s="6" t="s">
        <v>21</v>
      </c>
      <c r="ED18" s="6" t="s">
        <v>49</v>
      </c>
      <c r="EE18" s="6" t="s">
        <v>47</v>
      </c>
      <c r="EF18" s="6" t="s">
        <v>26</v>
      </c>
      <c r="EG18" s="6" t="s">
        <v>29</v>
      </c>
      <c r="EH18" s="6" t="s">
        <v>26</v>
      </c>
      <c r="EI18" s="6" t="s">
        <v>34</v>
      </c>
      <c r="EJ18" s="6" t="s">
        <v>21</v>
      </c>
      <c r="EK18" s="6" t="s">
        <v>26</v>
      </c>
      <c r="EL18" s="6" t="s">
        <v>62</v>
      </c>
      <c r="EM18" s="6" t="s">
        <v>49</v>
      </c>
      <c r="EN18" s="6" t="s">
        <v>47</v>
      </c>
      <c r="EO18" s="6" t="s">
        <v>15</v>
      </c>
      <c r="EP18" s="6" t="s">
        <v>29</v>
      </c>
      <c r="EQ18" s="6" t="s">
        <v>26</v>
      </c>
      <c r="ER18" s="6" t="s">
        <v>15</v>
      </c>
      <c r="ES18" s="6" t="s">
        <v>49</v>
      </c>
      <c r="ET18" s="6" t="s">
        <v>47</v>
      </c>
      <c r="EU18" s="6" t="s">
        <v>49</v>
      </c>
      <c r="EV18" s="6" t="s">
        <v>15</v>
      </c>
      <c r="EW18" s="6" t="s">
        <v>62</v>
      </c>
      <c r="EX18" s="6" t="s">
        <v>49</v>
      </c>
      <c r="EY18" s="6" t="s">
        <v>15</v>
      </c>
      <c r="EZ18" s="6" t="s">
        <v>62</v>
      </c>
      <c r="FA18" s="6" t="s">
        <v>15</v>
      </c>
      <c r="FB18" s="6" t="s">
        <v>34</v>
      </c>
      <c r="FC18" s="6" t="s">
        <v>15</v>
      </c>
      <c r="FD18" s="6" t="s">
        <v>47</v>
      </c>
      <c r="FE18" s="6" t="s">
        <v>26</v>
      </c>
      <c r="FF18" s="6" t="s">
        <v>29</v>
      </c>
      <c r="FG18" s="6" t="s">
        <v>47</v>
      </c>
      <c r="FH18" s="6" t="s">
        <v>15</v>
      </c>
      <c r="FI18" s="6" t="s">
        <v>39</v>
      </c>
      <c r="FJ18" s="6" t="s">
        <v>34</v>
      </c>
      <c r="FK18" s="6" t="s">
        <v>62</v>
      </c>
      <c r="FL18" s="6" t="s">
        <v>34</v>
      </c>
      <c r="FM18" s="6" t="s">
        <v>34</v>
      </c>
      <c r="FN18" s="6" t="s">
        <v>29</v>
      </c>
      <c r="FO18" s="6" t="s">
        <v>34</v>
      </c>
      <c r="FP18" s="6" t="s">
        <v>26</v>
      </c>
      <c r="FQ18" s="6" t="s">
        <v>21</v>
      </c>
      <c r="FR18" s="6" t="s">
        <v>49</v>
      </c>
      <c r="FS18" s="6" t="s">
        <v>47</v>
      </c>
      <c r="FT18" s="6" t="s">
        <v>26</v>
      </c>
      <c r="FU18" s="6" t="s">
        <v>21</v>
      </c>
      <c r="FV18" s="6" t="s">
        <v>39</v>
      </c>
      <c r="FW18" s="6" t="s">
        <v>26</v>
      </c>
      <c r="FX18" s="6" t="s">
        <v>26</v>
      </c>
      <c r="FY18" s="6" t="s">
        <v>39</v>
      </c>
      <c r="FZ18" s="6" t="s">
        <v>39</v>
      </c>
      <c r="GA18" s="6" t="s">
        <v>26</v>
      </c>
      <c r="GB18" s="6" t="s">
        <v>62</v>
      </c>
      <c r="GC18" s="6" t="s">
        <v>47</v>
      </c>
      <c r="GD18" s="6" t="s">
        <v>39</v>
      </c>
      <c r="GE18" s="6" t="s">
        <v>49</v>
      </c>
      <c r="GF18" s="6" t="s">
        <v>49</v>
      </c>
      <c r="GG18" s="6" t="s">
        <v>26</v>
      </c>
      <c r="GH18" s="6" t="s">
        <v>34</v>
      </c>
      <c r="GI18" s="6" t="s">
        <v>21</v>
      </c>
      <c r="GJ18" s="6" t="s">
        <v>29</v>
      </c>
      <c r="GK18" s="6" t="s">
        <v>29</v>
      </c>
      <c r="GL18" s="6" t="s">
        <v>39</v>
      </c>
      <c r="GM18" s="6" t="s">
        <v>29</v>
      </c>
      <c r="GN18" s="6" t="s">
        <v>49</v>
      </c>
      <c r="GO18" s="6" t="s">
        <v>29</v>
      </c>
      <c r="GP18" s="6" t="s">
        <v>39</v>
      </c>
      <c r="GQ18" s="6" t="s">
        <v>15</v>
      </c>
      <c r="GR18" s="6" t="s">
        <v>21</v>
      </c>
      <c r="GS18" s="6" t="s">
        <v>26</v>
      </c>
      <c r="GT18" s="6" t="s">
        <v>47</v>
      </c>
      <c r="GU18" s="6" t="s">
        <v>29</v>
      </c>
      <c r="GV18" s="6" t="s">
        <v>34</v>
      </c>
      <c r="GW18" s="6" t="s">
        <v>49</v>
      </c>
      <c r="GX18" s="6" t="s">
        <v>21</v>
      </c>
      <c r="GY18" s="6" t="s">
        <v>39</v>
      </c>
      <c r="GZ18" s="6" t="s">
        <v>29</v>
      </c>
      <c r="HA18" s="6" t="s">
        <v>15</v>
      </c>
      <c r="HB18" s="6" t="s">
        <v>29</v>
      </c>
      <c r="HC18" s="6" t="s">
        <v>29</v>
      </c>
      <c r="HD18" s="6" t="s">
        <v>49</v>
      </c>
      <c r="HE18" s="6" t="s">
        <v>29</v>
      </c>
      <c r="HF18" s="6" t="s">
        <v>62</v>
      </c>
      <c r="HG18" s="6" t="s">
        <v>15</v>
      </c>
      <c r="HH18" s="6" t="s">
        <v>15</v>
      </c>
      <c r="HI18" s="6" t="s">
        <v>21</v>
      </c>
      <c r="HJ18" s="6" t="s">
        <v>47</v>
      </c>
      <c r="HK18" s="6" t="s">
        <v>49</v>
      </c>
      <c r="HL18" s="6" t="s">
        <v>39</v>
      </c>
      <c r="HM18" s="6" t="s">
        <v>39</v>
      </c>
      <c r="HN18" s="6" t="s">
        <v>47</v>
      </c>
      <c r="HO18" s="6" t="s">
        <v>26</v>
      </c>
      <c r="HP18" s="6" t="s">
        <v>47</v>
      </c>
      <c r="HQ18" s="6" t="s">
        <v>29</v>
      </c>
      <c r="HR18" s="6" t="s">
        <v>26</v>
      </c>
      <c r="HS18" s="6" t="s">
        <v>21</v>
      </c>
      <c r="HT18" s="6" t="s">
        <v>62</v>
      </c>
      <c r="HU18" s="6" t="s">
        <v>29</v>
      </c>
      <c r="HV18" s="6" t="s">
        <v>34</v>
      </c>
      <c r="HW18" s="6" t="s">
        <v>39</v>
      </c>
      <c r="HX18" s="6" t="s">
        <v>26</v>
      </c>
      <c r="HY18" s="6" t="s">
        <v>21</v>
      </c>
      <c r="HZ18" s="6" t="s">
        <v>26</v>
      </c>
      <c r="IA18" s="6" t="s">
        <v>47</v>
      </c>
      <c r="IB18" s="6" t="s">
        <v>47</v>
      </c>
      <c r="IC18" s="6" t="s">
        <v>39</v>
      </c>
      <c r="ID18" s="6" t="s">
        <v>39</v>
      </c>
      <c r="IE18" s="6" t="s">
        <v>49</v>
      </c>
      <c r="IF18" s="6" t="s">
        <v>21</v>
      </c>
      <c r="IG18" s="6" t="s">
        <v>49</v>
      </c>
      <c r="IH18" s="6" t="s">
        <v>39</v>
      </c>
      <c r="II18" s="6" t="s">
        <v>21</v>
      </c>
      <c r="IJ18" s="6" t="s">
        <v>49</v>
      </c>
      <c r="IK18" s="6" t="s">
        <v>34</v>
      </c>
      <c r="IL18" s="6" t="s">
        <v>49</v>
      </c>
      <c r="IM18" s="6" t="s">
        <v>34</v>
      </c>
      <c r="IN18" s="6" t="s">
        <v>26</v>
      </c>
      <c r="IO18" s="6" t="s">
        <v>21</v>
      </c>
      <c r="IP18" s="6" t="s">
        <v>47</v>
      </c>
      <c r="IQ18" s="6" t="s">
        <v>21</v>
      </c>
      <c r="IR18" s="6" t="s">
        <v>26</v>
      </c>
      <c r="IS18" s="6" t="s">
        <v>34</v>
      </c>
      <c r="IT18" s="6" t="s">
        <v>34</v>
      </c>
      <c r="IU18" s="6" t="s">
        <v>49</v>
      </c>
      <c r="IV18" s="6" t="s">
        <v>49</v>
      </c>
      <c r="IW18" s="6" t="s">
        <v>49</v>
      </c>
      <c r="IX18" s="6" t="s">
        <v>39</v>
      </c>
      <c r="IY18" s="6" t="s">
        <v>34</v>
      </c>
      <c r="IZ18" s="6" t="s">
        <v>26</v>
      </c>
      <c r="JA18" s="6" t="s">
        <v>34</v>
      </c>
      <c r="JB18" s="6" t="s">
        <v>29</v>
      </c>
      <c r="JC18" s="6" t="s">
        <v>62</v>
      </c>
      <c r="JD18" s="6" t="s">
        <v>49</v>
      </c>
      <c r="JE18" s="6" t="s">
        <v>62</v>
      </c>
      <c r="JF18" s="6" t="s">
        <v>62</v>
      </c>
      <c r="JG18" s="6" t="s">
        <v>29</v>
      </c>
      <c r="JH18" s="6" t="s">
        <v>26</v>
      </c>
      <c r="JI18" s="6" t="s">
        <v>49</v>
      </c>
      <c r="JJ18" s="6" t="s">
        <v>62</v>
      </c>
      <c r="JK18" s="6" t="s">
        <v>39</v>
      </c>
      <c r="JL18" s="6" t="s">
        <v>34</v>
      </c>
      <c r="JM18" s="6" t="s">
        <v>34</v>
      </c>
      <c r="JN18" s="6" t="s">
        <v>34</v>
      </c>
      <c r="JO18" s="6" t="s">
        <v>62</v>
      </c>
      <c r="JP18" s="6" t="s">
        <v>49</v>
      </c>
      <c r="JQ18" s="6" t="s">
        <v>49</v>
      </c>
      <c r="JR18" s="6" t="s">
        <v>21</v>
      </c>
      <c r="JS18" s="6" t="s">
        <v>34</v>
      </c>
      <c r="JT18" s="6" t="s">
        <v>62</v>
      </c>
      <c r="JU18" s="6" t="s">
        <v>21</v>
      </c>
      <c r="JV18" s="6" t="s">
        <v>21</v>
      </c>
      <c r="JW18" s="6" t="s">
        <v>34</v>
      </c>
      <c r="JX18" s="6" t="s">
        <v>29</v>
      </c>
      <c r="JY18" s="6" t="s">
        <v>49</v>
      </c>
      <c r="JZ18" s="6" t="s">
        <v>62</v>
      </c>
      <c r="KA18" s="6" t="s">
        <v>15</v>
      </c>
      <c r="KB18" s="6" t="s">
        <v>39</v>
      </c>
      <c r="KC18" s="6" t="s">
        <v>62</v>
      </c>
      <c r="KD18" s="6" t="s">
        <v>26</v>
      </c>
      <c r="KE18" s="6" t="s">
        <v>49</v>
      </c>
      <c r="KF18" s="6" t="s">
        <v>39</v>
      </c>
      <c r="KG18" s="6" t="s">
        <v>62</v>
      </c>
      <c r="KH18" s="6" t="s">
        <v>62</v>
      </c>
      <c r="KI18" s="6" t="s">
        <v>29</v>
      </c>
      <c r="KJ18" s="6" t="s">
        <v>47</v>
      </c>
      <c r="KK18" s="6" t="s">
        <v>15</v>
      </c>
      <c r="KL18" s="6" t="s">
        <v>15</v>
      </c>
      <c r="KM18" s="6" t="s">
        <v>49</v>
      </c>
      <c r="KN18" s="6" t="s">
        <v>26</v>
      </c>
      <c r="KO18" s="6" t="s">
        <v>29</v>
      </c>
      <c r="KP18" s="6" t="s">
        <v>21</v>
      </c>
      <c r="KQ18" s="6" t="s">
        <v>62</v>
      </c>
      <c r="KR18" s="6" t="s">
        <v>29</v>
      </c>
      <c r="KS18" s="6" t="s">
        <v>62</v>
      </c>
      <c r="KT18" s="6" t="s">
        <v>15</v>
      </c>
      <c r="KU18" s="6" t="s">
        <v>26</v>
      </c>
      <c r="KV18" s="6" t="s">
        <v>47</v>
      </c>
      <c r="KW18" s="6" t="s">
        <v>21</v>
      </c>
      <c r="KX18" s="6" t="s">
        <v>39</v>
      </c>
      <c r="KY18" s="6" t="s">
        <v>39</v>
      </c>
      <c r="KZ18" s="6" t="s">
        <v>34</v>
      </c>
      <c r="LA18" s="6" t="s">
        <v>34</v>
      </c>
      <c r="LB18" s="6" t="s">
        <v>29</v>
      </c>
      <c r="LC18" s="6" t="s">
        <v>39</v>
      </c>
      <c r="LD18" s="6" t="s">
        <v>29</v>
      </c>
      <c r="LE18" s="6" t="s">
        <v>34</v>
      </c>
      <c r="LF18" s="6" t="s">
        <v>62</v>
      </c>
      <c r="LG18" s="6" t="s">
        <v>62</v>
      </c>
      <c r="LH18" s="6" t="s">
        <v>15</v>
      </c>
      <c r="LI18" s="6" t="s">
        <v>21</v>
      </c>
      <c r="LJ18" s="6" t="s">
        <v>29</v>
      </c>
      <c r="LK18" s="6" t="s">
        <v>29</v>
      </c>
      <c r="LL18" s="6" t="s">
        <v>26</v>
      </c>
      <c r="LM18" s="6" t="s">
        <v>62</v>
      </c>
      <c r="LN18" s="6" t="s">
        <v>49</v>
      </c>
      <c r="LO18" s="6" t="s">
        <v>34</v>
      </c>
      <c r="LP18" s="6" t="s">
        <v>26</v>
      </c>
      <c r="LQ18" s="6" t="s">
        <v>21</v>
      </c>
      <c r="LR18" s="6" t="s">
        <v>49</v>
      </c>
      <c r="LS18" s="6" t="s">
        <v>26</v>
      </c>
      <c r="LT18" s="6" t="s">
        <v>26</v>
      </c>
      <c r="LU18" s="6" t="s">
        <v>15</v>
      </c>
      <c r="LV18" s="6" t="s">
        <v>26</v>
      </c>
      <c r="LW18" s="6" t="s">
        <v>34</v>
      </c>
      <c r="LX18" s="6" t="s">
        <v>47</v>
      </c>
      <c r="LY18" s="6" t="s">
        <v>62</v>
      </c>
      <c r="LZ18" s="6" t="s">
        <v>29</v>
      </c>
      <c r="MA18" s="6" t="s">
        <v>34</v>
      </c>
      <c r="MB18" s="6" t="s">
        <v>39</v>
      </c>
      <c r="MC18" s="6" t="s">
        <v>26</v>
      </c>
      <c r="MD18" s="6" t="s">
        <v>62</v>
      </c>
      <c r="ME18" s="6" t="s">
        <v>34</v>
      </c>
      <c r="MF18" s="6" t="s">
        <v>39</v>
      </c>
      <c r="MG18" s="6" t="s">
        <v>39</v>
      </c>
      <c r="MH18" s="6" t="s">
        <v>49</v>
      </c>
      <c r="MI18" s="6" t="s">
        <v>29</v>
      </c>
      <c r="MJ18" s="6" t="s">
        <v>21</v>
      </c>
      <c r="MK18" s="6" t="s">
        <v>15</v>
      </c>
      <c r="ML18" s="6" t="s">
        <v>62</v>
      </c>
      <c r="MM18" s="6" t="s">
        <v>47</v>
      </c>
      <c r="MN18" s="6" t="s">
        <v>15</v>
      </c>
      <c r="MO18" s="6" t="s">
        <v>15</v>
      </c>
      <c r="MP18" s="6" t="s">
        <v>34</v>
      </c>
      <c r="MQ18" s="6" t="s">
        <v>29</v>
      </c>
      <c r="MR18" s="6" t="s">
        <v>21</v>
      </c>
      <c r="MS18" s="6" t="s">
        <v>34</v>
      </c>
      <c r="MT18" s="6" t="s">
        <v>26</v>
      </c>
      <c r="MU18" s="6" t="s">
        <v>39</v>
      </c>
      <c r="MV18" s="6" t="s">
        <v>26</v>
      </c>
      <c r="MW18" s="6" t="s">
        <v>39</v>
      </c>
      <c r="MX18" s="6" t="s">
        <v>62</v>
      </c>
      <c r="MY18" s="6" t="s">
        <v>29</v>
      </c>
      <c r="MZ18" s="6" t="s">
        <v>21</v>
      </c>
      <c r="NA18" s="6" t="s">
        <v>21</v>
      </c>
      <c r="NB18" s="6" t="s">
        <v>15</v>
      </c>
      <c r="NC18" s="6" t="s">
        <v>34</v>
      </c>
      <c r="ND18" s="6" t="s">
        <v>47</v>
      </c>
      <c r="NE18" s="6" t="s">
        <v>49</v>
      </c>
      <c r="NF18" s="6" t="s">
        <v>21</v>
      </c>
      <c r="NG18" s="6" t="s">
        <v>62</v>
      </c>
      <c r="NH18" s="6" t="s">
        <v>29</v>
      </c>
      <c r="NI18" s="6" t="s">
        <v>29</v>
      </c>
      <c r="NJ18" s="6" t="s">
        <v>29</v>
      </c>
      <c r="NK18" s="6" t="s">
        <v>26</v>
      </c>
      <c r="NL18" s="6" t="s">
        <v>26</v>
      </c>
      <c r="NM18" s="6" t="s">
        <v>26</v>
      </c>
      <c r="NN18" s="6" t="s">
        <v>26</v>
      </c>
      <c r="NO18" s="6" t="s">
        <v>15</v>
      </c>
      <c r="NP18" s="6" t="s">
        <v>29</v>
      </c>
      <c r="NQ18" s="6" t="s">
        <v>39</v>
      </c>
      <c r="NR18" s="6" t="s">
        <v>47</v>
      </c>
      <c r="NS18" s="6" t="s">
        <v>49</v>
      </c>
      <c r="NT18" s="6" t="s">
        <v>39</v>
      </c>
      <c r="NU18" s="6" t="s">
        <v>39</v>
      </c>
      <c r="NV18" s="6" t="s">
        <v>47</v>
      </c>
      <c r="NW18" s="6" t="s">
        <v>15</v>
      </c>
      <c r="NX18" s="6" t="s">
        <v>34</v>
      </c>
      <c r="NY18" s="6" t="s">
        <v>21</v>
      </c>
      <c r="NZ18" s="6" t="s">
        <v>39</v>
      </c>
      <c r="OA18" s="6" t="s">
        <v>26</v>
      </c>
      <c r="OB18" s="6" t="s">
        <v>49</v>
      </c>
      <c r="OC18" s="6" t="s">
        <v>34</v>
      </c>
      <c r="OD18" s="6" t="s">
        <v>49</v>
      </c>
      <c r="OE18" s="6" t="s">
        <v>26</v>
      </c>
      <c r="OF18" s="6" t="s">
        <v>39</v>
      </c>
      <c r="OG18" s="6" t="s">
        <v>49</v>
      </c>
      <c r="OH18" s="6" t="s">
        <v>49</v>
      </c>
      <c r="OI18" s="6" t="s">
        <v>26</v>
      </c>
      <c r="OJ18" s="6" t="s">
        <v>15</v>
      </c>
      <c r="OK18" s="6" t="s">
        <v>26</v>
      </c>
      <c r="OL18" s="6" t="s">
        <v>15</v>
      </c>
      <c r="OM18" s="6" t="s">
        <v>34</v>
      </c>
      <c r="ON18" s="6" t="s">
        <v>39</v>
      </c>
      <c r="OO18" s="6" t="s">
        <v>29</v>
      </c>
      <c r="OP18" s="6" t="s">
        <v>39</v>
      </c>
      <c r="OQ18" s="6" t="s">
        <v>39</v>
      </c>
      <c r="OR18" s="6" t="s">
        <v>39</v>
      </c>
      <c r="OS18" s="6" t="s">
        <v>49</v>
      </c>
      <c r="OT18" s="6" t="s">
        <v>39</v>
      </c>
      <c r="OU18" s="6" t="s">
        <v>47</v>
      </c>
      <c r="OV18" s="6" t="s">
        <v>29</v>
      </c>
      <c r="OW18" s="6" t="s">
        <v>15</v>
      </c>
      <c r="OX18" s="6" t="s">
        <v>39</v>
      </c>
      <c r="OY18" s="6" t="s">
        <v>47</v>
      </c>
      <c r="OZ18" s="6" t="s">
        <v>62</v>
      </c>
      <c r="PA18" s="6" t="s">
        <v>15</v>
      </c>
      <c r="PB18" s="6" t="s">
        <v>26</v>
      </c>
      <c r="PC18" s="6" t="s">
        <v>34</v>
      </c>
      <c r="PD18" s="6" t="s">
        <v>15</v>
      </c>
      <c r="PE18" s="6" t="s">
        <v>47</v>
      </c>
      <c r="PF18" s="6" t="s">
        <v>26</v>
      </c>
      <c r="PG18" s="6" t="s">
        <v>62</v>
      </c>
      <c r="PH18" s="6" t="s">
        <v>34</v>
      </c>
      <c r="PI18" s="6" t="s">
        <v>34</v>
      </c>
      <c r="PJ18" s="6" t="s">
        <v>39</v>
      </c>
      <c r="PK18" s="6" t="s">
        <v>39</v>
      </c>
      <c r="PL18" s="6" t="s">
        <v>26</v>
      </c>
      <c r="PM18" s="6" t="s">
        <v>62</v>
      </c>
      <c r="PN18" s="6" t="s">
        <v>34</v>
      </c>
      <c r="PO18" s="6" t="s">
        <v>39</v>
      </c>
      <c r="PP18" s="6" t="s">
        <v>49</v>
      </c>
      <c r="PQ18" s="6" t="s">
        <v>26</v>
      </c>
      <c r="PR18" s="6" t="s">
        <v>29</v>
      </c>
      <c r="PS18" s="6" t="s">
        <v>47</v>
      </c>
      <c r="PT18" s="6" t="s">
        <v>29</v>
      </c>
      <c r="PU18" s="6" t="s">
        <v>34</v>
      </c>
      <c r="PV18" s="6" t="s">
        <v>62</v>
      </c>
      <c r="PW18" s="6" t="s">
        <v>62</v>
      </c>
      <c r="PX18" s="6" t="s">
        <v>47</v>
      </c>
      <c r="PY18" s="6" t="s">
        <v>15</v>
      </c>
      <c r="PZ18" s="6" t="s">
        <v>29</v>
      </c>
      <c r="QA18" s="6" t="s">
        <v>39</v>
      </c>
      <c r="QB18" s="6" t="s">
        <v>34</v>
      </c>
      <c r="QC18" s="6" t="s">
        <v>29</v>
      </c>
      <c r="QD18" s="6" t="s">
        <v>39</v>
      </c>
      <c r="QE18" s="6" t="s">
        <v>26</v>
      </c>
      <c r="QF18" s="6" t="s">
        <v>29</v>
      </c>
      <c r="QG18" s="6" t="s">
        <v>26</v>
      </c>
      <c r="QH18" s="6" t="s">
        <v>39</v>
      </c>
      <c r="QI18" s="6" t="s">
        <v>26</v>
      </c>
      <c r="QJ18" s="6" t="s">
        <v>47</v>
      </c>
      <c r="QK18" s="6" t="s">
        <v>21</v>
      </c>
      <c r="QL18" s="6" t="s">
        <v>49</v>
      </c>
      <c r="QM18" s="6" t="s">
        <v>62</v>
      </c>
      <c r="QN18" s="6" t="s">
        <v>49</v>
      </c>
      <c r="QO18" s="6" t="s">
        <v>47</v>
      </c>
      <c r="QP18" s="6" t="s">
        <v>47</v>
      </c>
      <c r="QQ18" s="6" t="s">
        <v>21</v>
      </c>
      <c r="QR18" s="6" t="s">
        <v>39</v>
      </c>
      <c r="QS18" s="6" t="s">
        <v>34</v>
      </c>
      <c r="QT18" s="6" t="s">
        <v>26</v>
      </c>
      <c r="QU18" s="6" t="s">
        <v>26</v>
      </c>
      <c r="QV18" s="6" t="s">
        <v>34</v>
      </c>
      <c r="QW18" s="6" t="s">
        <v>29</v>
      </c>
      <c r="QX18" s="6" t="s">
        <v>34</v>
      </c>
      <c r="QY18" s="6" t="s">
        <v>39</v>
      </c>
      <c r="QZ18" s="6" t="s">
        <v>49</v>
      </c>
      <c r="RA18" s="6" t="s">
        <v>39</v>
      </c>
      <c r="RB18" s="6" t="s">
        <v>15</v>
      </c>
      <c r="RC18" s="6" t="s">
        <v>62</v>
      </c>
      <c r="RD18" s="6" t="s">
        <v>15</v>
      </c>
      <c r="RE18" s="6" t="s">
        <v>26</v>
      </c>
      <c r="RF18" s="6" t="s">
        <v>26</v>
      </c>
      <c r="RG18" s="6" t="s">
        <v>47</v>
      </c>
      <c r="RH18" s="6" t="s">
        <v>21</v>
      </c>
      <c r="RI18" s="6" t="s">
        <v>26</v>
      </c>
      <c r="RJ18" s="6" t="s">
        <v>26</v>
      </c>
      <c r="RK18" s="6" t="s">
        <v>47</v>
      </c>
      <c r="RL18" s="6" t="s">
        <v>34</v>
      </c>
      <c r="RM18" s="6" t="s">
        <v>15</v>
      </c>
      <c r="RN18" s="6" t="s">
        <v>49</v>
      </c>
      <c r="RO18" s="6" t="s">
        <v>34</v>
      </c>
      <c r="RP18" s="6" t="s">
        <v>15</v>
      </c>
      <c r="RQ18" s="6" t="s">
        <v>15</v>
      </c>
      <c r="RR18" s="6" t="s">
        <v>62</v>
      </c>
      <c r="RS18" s="6" t="s">
        <v>21</v>
      </c>
      <c r="RT18" s="6" t="s">
        <v>26</v>
      </c>
      <c r="RU18" s="6" t="s">
        <v>47</v>
      </c>
      <c r="RV18" s="6" t="s">
        <v>26</v>
      </c>
      <c r="RW18" s="6" t="s">
        <v>34</v>
      </c>
      <c r="RX18" s="6" t="s">
        <v>47</v>
      </c>
      <c r="RY18" s="6" t="s">
        <v>15</v>
      </c>
      <c r="RZ18" s="6" t="s">
        <v>26</v>
      </c>
      <c r="SA18" s="6" t="s">
        <v>15</v>
      </c>
      <c r="SB18" s="6" t="s">
        <v>34</v>
      </c>
      <c r="SC18" s="6" t="s">
        <v>29</v>
      </c>
      <c r="SD18" s="6" t="s">
        <v>34</v>
      </c>
      <c r="SE18" s="6" t="s">
        <v>15</v>
      </c>
      <c r="SF18" s="6" t="s">
        <v>47</v>
      </c>
      <c r="SG18" s="6" t="s">
        <v>62</v>
      </c>
      <c r="SH18" s="6" t="s">
        <v>15</v>
      </c>
      <c r="SI18" s="6" t="s">
        <v>62</v>
      </c>
      <c r="SJ18" s="6" t="s">
        <v>29</v>
      </c>
      <c r="SK18" s="6" t="s">
        <v>62</v>
      </c>
      <c r="SL18" s="6" t="s">
        <v>29</v>
      </c>
      <c r="SM18" s="6" t="s">
        <v>21</v>
      </c>
      <c r="SN18" s="6" t="s">
        <v>62</v>
      </c>
      <c r="SO18" s="6" t="s">
        <v>34</v>
      </c>
      <c r="SP18" s="6" t="s">
        <v>47</v>
      </c>
      <c r="SQ18" s="6" t="s">
        <v>34</v>
      </c>
      <c r="SR18" s="6" t="s">
        <v>21</v>
      </c>
      <c r="SS18" s="6" t="s">
        <v>47</v>
      </c>
      <c r="ST18" s="6" t="s">
        <v>62</v>
      </c>
      <c r="SU18" s="6" t="s">
        <v>47</v>
      </c>
      <c r="SV18" s="6" t="s">
        <v>29</v>
      </c>
      <c r="SW18" s="6" t="s">
        <v>49</v>
      </c>
      <c r="SX18" s="6" t="s">
        <v>26</v>
      </c>
      <c r="SY18" s="6" t="s">
        <v>62</v>
      </c>
      <c r="SZ18" s="6" t="s">
        <v>34</v>
      </c>
      <c r="TA18" s="6" t="s">
        <v>26</v>
      </c>
      <c r="TB18" s="6" t="s">
        <v>29</v>
      </c>
      <c r="TC18" s="6" t="s">
        <v>34</v>
      </c>
      <c r="TD18" s="6" t="s">
        <v>21</v>
      </c>
      <c r="TE18" s="6" t="s">
        <v>21</v>
      </c>
      <c r="TF18" s="6" t="s">
        <v>49</v>
      </c>
      <c r="TG18" s="6" t="s">
        <v>47</v>
      </c>
      <c r="TH18" s="6" t="s">
        <v>34</v>
      </c>
      <c r="TI18" s="6" t="s">
        <v>29</v>
      </c>
      <c r="TJ18" s="6" t="s">
        <v>47</v>
      </c>
      <c r="TK18" s="6" t="s">
        <v>47</v>
      </c>
      <c r="TL18" s="6" t="s">
        <v>39</v>
      </c>
      <c r="TM18" s="6" t="s">
        <v>34</v>
      </c>
      <c r="TN18" s="6" t="s">
        <v>26</v>
      </c>
      <c r="TO18" s="6" t="s">
        <v>15</v>
      </c>
      <c r="TP18" s="6" t="s">
        <v>29</v>
      </c>
      <c r="TQ18" s="6" t="s">
        <v>39</v>
      </c>
      <c r="TR18" s="6" t="s">
        <v>49</v>
      </c>
      <c r="TS18" s="6" t="s">
        <v>15</v>
      </c>
      <c r="TT18" s="6" t="s">
        <v>29</v>
      </c>
      <c r="TU18" s="6" t="s">
        <v>49</v>
      </c>
      <c r="TV18" s="6" t="s">
        <v>62</v>
      </c>
      <c r="TW18" s="6" t="s">
        <v>49</v>
      </c>
      <c r="TX18" s="6" t="s">
        <v>47</v>
      </c>
      <c r="TY18" s="6" t="s">
        <v>21</v>
      </c>
      <c r="TZ18" s="6" t="s">
        <v>15</v>
      </c>
      <c r="UA18" s="6" t="s">
        <v>62</v>
      </c>
      <c r="UB18" s="6" t="s">
        <v>34</v>
      </c>
      <c r="UC18" s="6" t="s">
        <v>29</v>
      </c>
      <c r="UD18" s="6" t="s">
        <v>49</v>
      </c>
      <c r="UE18" s="6" t="s">
        <v>29</v>
      </c>
      <c r="UF18" s="6" t="s">
        <v>15</v>
      </c>
      <c r="UG18" s="6" t="s">
        <v>21</v>
      </c>
      <c r="UH18" s="6" t="s">
        <v>39</v>
      </c>
      <c r="UI18" s="6" t="s">
        <v>34</v>
      </c>
      <c r="UJ18" s="6" t="s">
        <v>39</v>
      </c>
      <c r="UK18" s="6" t="s">
        <v>21</v>
      </c>
      <c r="UL18" s="6" t="s">
        <v>62</v>
      </c>
      <c r="UM18" s="6" t="s">
        <v>47</v>
      </c>
      <c r="UN18" s="6" t="s">
        <v>15</v>
      </c>
      <c r="UO18" s="6" t="s">
        <v>34</v>
      </c>
      <c r="UP18" s="6" t="s">
        <v>49</v>
      </c>
      <c r="UQ18" s="6" t="s">
        <v>15</v>
      </c>
      <c r="UR18" s="6" t="s">
        <v>39</v>
      </c>
      <c r="US18" s="6" t="s">
        <v>21</v>
      </c>
      <c r="UT18" s="6" t="s">
        <v>47</v>
      </c>
      <c r="UU18" s="6" t="s">
        <v>26</v>
      </c>
      <c r="UV18" s="6" t="s">
        <v>49</v>
      </c>
      <c r="UW18" s="6" t="s">
        <v>39</v>
      </c>
      <c r="UX18" s="6" t="s">
        <v>62</v>
      </c>
      <c r="UY18" s="6" t="s">
        <v>39</v>
      </c>
      <c r="UZ18" s="6" t="s">
        <v>34</v>
      </c>
      <c r="VA18" s="6" t="s">
        <v>49</v>
      </c>
      <c r="VB18" s="6" t="s">
        <v>49</v>
      </c>
      <c r="VC18" s="6" t="s">
        <v>26</v>
      </c>
      <c r="VD18" s="6" t="s">
        <v>15</v>
      </c>
      <c r="VE18" s="6" t="s">
        <v>29</v>
      </c>
      <c r="VF18" s="6" t="s">
        <v>47</v>
      </c>
      <c r="VG18" s="6" t="s">
        <v>49</v>
      </c>
      <c r="VH18" s="6" t="s">
        <v>15</v>
      </c>
      <c r="VI18" s="6" t="s">
        <v>49</v>
      </c>
      <c r="VJ18" s="6" t="s">
        <v>62</v>
      </c>
      <c r="VK18" s="6" t="s">
        <v>49</v>
      </c>
      <c r="VL18" s="6" t="s">
        <v>34</v>
      </c>
      <c r="VM18" s="6" t="s">
        <v>21</v>
      </c>
      <c r="VN18" s="6" t="s">
        <v>15</v>
      </c>
      <c r="VO18" s="6" t="s">
        <v>21</v>
      </c>
      <c r="VP18" s="6" t="s">
        <v>15</v>
      </c>
      <c r="VQ18" s="6" t="s">
        <v>49</v>
      </c>
      <c r="VR18" s="6" t="s">
        <v>15</v>
      </c>
      <c r="VS18" s="6" t="s">
        <v>39</v>
      </c>
      <c r="VT18" s="6" t="s">
        <v>29</v>
      </c>
      <c r="VU18" s="6" t="s">
        <v>39</v>
      </c>
      <c r="VV18" s="6" t="s">
        <v>62</v>
      </c>
      <c r="VW18" s="6" t="s">
        <v>29</v>
      </c>
      <c r="VX18" s="6" t="s">
        <v>15</v>
      </c>
      <c r="VY18" s="6" t="s">
        <v>29</v>
      </c>
      <c r="VZ18" s="6" t="s">
        <v>26</v>
      </c>
      <c r="WA18" s="6" t="s">
        <v>62</v>
      </c>
      <c r="WB18" s="6" t="s">
        <v>15</v>
      </c>
      <c r="WC18" s="6" t="s">
        <v>29</v>
      </c>
      <c r="WD18" s="6" t="s">
        <v>29</v>
      </c>
      <c r="WE18" s="6" t="s">
        <v>34</v>
      </c>
      <c r="WF18" s="6" t="s">
        <v>39</v>
      </c>
      <c r="WG18" s="6" t="s">
        <v>21</v>
      </c>
      <c r="WH18" s="6" t="s">
        <v>47</v>
      </c>
      <c r="WI18" s="6" t="s">
        <v>29</v>
      </c>
      <c r="WJ18" s="6" t="s">
        <v>47</v>
      </c>
      <c r="WK18" s="6" t="s">
        <v>29</v>
      </c>
      <c r="WL18" s="6" t="s">
        <v>62</v>
      </c>
      <c r="WM18" s="6" t="s">
        <v>47</v>
      </c>
      <c r="WN18" s="6" t="s">
        <v>39</v>
      </c>
      <c r="WO18" s="6" t="s">
        <v>49</v>
      </c>
      <c r="WP18" s="6" t="s">
        <v>49</v>
      </c>
      <c r="WQ18" s="6" t="s">
        <v>21</v>
      </c>
      <c r="WR18" s="6" t="s">
        <v>62</v>
      </c>
      <c r="WS18" s="6" t="s">
        <v>47</v>
      </c>
      <c r="WT18" s="6" t="s">
        <v>49</v>
      </c>
      <c r="WU18" s="6" t="s">
        <v>29</v>
      </c>
      <c r="WV18" s="6" t="s">
        <v>29</v>
      </c>
      <c r="WW18" s="6" t="s">
        <v>39</v>
      </c>
      <c r="WX18" s="6" t="s">
        <v>49</v>
      </c>
      <c r="WY18" s="6" t="s">
        <v>62</v>
      </c>
      <c r="WZ18" s="6" t="s">
        <v>62</v>
      </c>
      <c r="XA18" s="6" t="s">
        <v>21</v>
      </c>
      <c r="XB18" s="6" t="s">
        <v>39</v>
      </c>
      <c r="XC18" s="6" t="s">
        <v>49</v>
      </c>
      <c r="XD18" s="6" t="s">
        <v>49</v>
      </c>
      <c r="XE18" s="6" t="s">
        <v>49</v>
      </c>
      <c r="XF18" s="6" t="s">
        <v>47</v>
      </c>
      <c r="XG18" s="6" t="s">
        <v>29</v>
      </c>
      <c r="XH18" s="6" t="s">
        <v>62</v>
      </c>
      <c r="XI18" s="6" t="s">
        <v>39</v>
      </c>
      <c r="XJ18" s="6" t="s">
        <v>39</v>
      </c>
      <c r="XK18" s="6" t="s">
        <v>47</v>
      </c>
      <c r="XL18" s="6" t="s">
        <v>39</v>
      </c>
      <c r="XM18" s="6" t="s">
        <v>26</v>
      </c>
      <c r="XN18" s="6" t="s">
        <v>47</v>
      </c>
      <c r="XO18" s="6" t="s">
        <v>47</v>
      </c>
      <c r="XP18" s="6" t="s">
        <v>49</v>
      </c>
      <c r="XQ18" s="6" t="s">
        <v>47</v>
      </c>
      <c r="XR18" s="6" t="s">
        <v>21</v>
      </c>
      <c r="XS18" s="6" t="s">
        <v>34</v>
      </c>
      <c r="XT18" s="6" t="s">
        <v>62</v>
      </c>
      <c r="XU18" s="6" t="s">
        <v>47</v>
      </c>
      <c r="XV18" s="6" t="s">
        <v>62</v>
      </c>
      <c r="XW18" s="6" t="s">
        <v>39</v>
      </c>
      <c r="XX18" s="6" t="s">
        <v>49</v>
      </c>
      <c r="XY18" s="6" t="s">
        <v>29</v>
      </c>
      <c r="XZ18" s="6" t="s">
        <v>39</v>
      </c>
      <c r="YA18" s="6" t="s">
        <v>49</v>
      </c>
      <c r="YB18" s="6" t="s">
        <v>29</v>
      </c>
      <c r="YC18" s="6" t="s">
        <v>49</v>
      </c>
      <c r="YD18" s="6" t="s">
        <v>49</v>
      </c>
      <c r="YE18" s="6" t="s">
        <v>49</v>
      </c>
      <c r="YF18" s="6" t="s">
        <v>34</v>
      </c>
      <c r="YG18" s="6" t="s">
        <v>39</v>
      </c>
      <c r="YH18" s="6" t="s">
        <v>62</v>
      </c>
      <c r="YI18" s="6" t="s">
        <v>49</v>
      </c>
      <c r="YJ18" s="6" t="s">
        <v>49</v>
      </c>
      <c r="YK18" s="6" t="s">
        <v>21</v>
      </c>
      <c r="YL18" s="6" t="s">
        <v>26</v>
      </c>
      <c r="YM18" s="6" t="s">
        <v>49</v>
      </c>
      <c r="YN18" s="6" t="s">
        <v>62</v>
      </c>
      <c r="YO18" s="6" t="s">
        <v>49</v>
      </c>
      <c r="YP18" s="6" t="s">
        <v>62</v>
      </c>
      <c r="YQ18" s="6" t="s">
        <v>34</v>
      </c>
      <c r="YR18" s="6" t="s">
        <v>29</v>
      </c>
      <c r="YS18" s="6" t="s">
        <v>29</v>
      </c>
      <c r="YT18" s="6" t="s">
        <v>34</v>
      </c>
      <c r="YU18" s="6" t="s">
        <v>47</v>
      </c>
      <c r="YV18" s="6" t="s">
        <v>15</v>
      </c>
      <c r="YW18" s="6" t="s">
        <v>21</v>
      </c>
      <c r="YX18" s="6" t="s">
        <v>62</v>
      </c>
      <c r="YY18" s="6" t="s">
        <v>34</v>
      </c>
      <c r="YZ18" s="6" t="s">
        <v>49</v>
      </c>
      <c r="ZA18" s="6" t="s">
        <v>21</v>
      </c>
      <c r="ZB18" s="6" t="s">
        <v>49</v>
      </c>
      <c r="ZC18" s="6" t="s">
        <v>34</v>
      </c>
      <c r="ZD18" s="6" t="s">
        <v>47</v>
      </c>
      <c r="ZE18" s="6" t="s">
        <v>34</v>
      </c>
      <c r="ZF18" s="6" t="s">
        <v>29</v>
      </c>
      <c r="ZG18" s="6" t="s">
        <v>49</v>
      </c>
      <c r="ZH18" s="6" t="s">
        <v>26</v>
      </c>
      <c r="ZI18" s="6" t="s">
        <v>47</v>
      </c>
      <c r="ZJ18" s="6" t="s">
        <v>21</v>
      </c>
      <c r="ZK18" s="6" t="s">
        <v>15</v>
      </c>
      <c r="ZL18" s="6" t="s">
        <v>15</v>
      </c>
      <c r="ZM18" s="6" t="s">
        <v>34</v>
      </c>
      <c r="ZN18" s="6" t="s">
        <v>34</v>
      </c>
      <c r="ZO18" s="6" t="s">
        <v>34</v>
      </c>
      <c r="ZP18" s="6" t="s">
        <v>29</v>
      </c>
      <c r="ZQ18" s="6" t="s">
        <v>29</v>
      </c>
      <c r="ZR18" s="6" t="s">
        <v>21</v>
      </c>
      <c r="ZS18" s="6" t="s">
        <v>39</v>
      </c>
      <c r="ZT18" s="6" t="s">
        <v>49</v>
      </c>
      <c r="ZU18" s="6" t="s">
        <v>29</v>
      </c>
      <c r="ZV18" s="6" t="s">
        <v>39</v>
      </c>
      <c r="ZW18" s="6" t="s">
        <v>62</v>
      </c>
      <c r="ZX18" s="6" t="s">
        <v>39</v>
      </c>
      <c r="ZY18" s="6" t="s">
        <v>62</v>
      </c>
      <c r="ZZ18" s="6" t="s">
        <v>62</v>
      </c>
      <c r="AAA18" s="6" t="s">
        <v>26</v>
      </c>
      <c r="AAB18" s="6" t="s">
        <v>49</v>
      </c>
      <c r="AAC18" s="6" t="s">
        <v>62</v>
      </c>
      <c r="AAD18" s="6" t="s">
        <v>47</v>
      </c>
      <c r="AAE18" s="6" t="s">
        <v>47</v>
      </c>
      <c r="AAF18" s="6" t="s">
        <v>21</v>
      </c>
      <c r="AAG18" s="6" t="s">
        <v>34</v>
      </c>
      <c r="AAH18" s="6" t="s">
        <v>39</v>
      </c>
      <c r="AAI18" s="6" t="s">
        <v>29</v>
      </c>
      <c r="AAJ18" s="6" t="s">
        <v>47</v>
      </c>
      <c r="AAK18" s="6" t="s">
        <v>15</v>
      </c>
      <c r="AAL18" s="6" t="s">
        <v>62</v>
      </c>
      <c r="AAM18" s="6" t="s">
        <v>62</v>
      </c>
      <c r="AAN18" s="6" t="s">
        <v>15</v>
      </c>
      <c r="AAO18" s="6" t="s">
        <v>29</v>
      </c>
      <c r="AAP18" s="6" t="s">
        <v>15</v>
      </c>
      <c r="AAQ18" s="6" t="s">
        <v>39</v>
      </c>
      <c r="AAR18" s="6" t="s">
        <v>47</v>
      </c>
      <c r="AAS18" s="6" t="s">
        <v>49</v>
      </c>
      <c r="AAT18" s="6" t="s">
        <v>15</v>
      </c>
      <c r="AAU18" s="6" t="s">
        <v>62</v>
      </c>
      <c r="AAV18" s="6" t="s">
        <v>29</v>
      </c>
      <c r="AAW18" s="6" t="s">
        <v>34</v>
      </c>
      <c r="AAX18" s="6" t="s">
        <v>29</v>
      </c>
      <c r="AAY18" s="6" t="s">
        <v>47</v>
      </c>
      <c r="AAZ18" s="6" t="s">
        <v>29</v>
      </c>
      <c r="ABA18" s="6" t="s">
        <v>29</v>
      </c>
      <c r="ABB18" s="6" t="s">
        <v>29</v>
      </c>
      <c r="ABC18" s="6" t="s">
        <v>47</v>
      </c>
      <c r="ABD18" s="6" t="s">
        <v>47</v>
      </c>
      <c r="ABE18" s="6" t="s">
        <v>34</v>
      </c>
      <c r="ABF18" s="6" t="s">
        <v>62</v>
      </c>
      <c r="ABG18" s="6" t="s">
        <v>15</v>
      </c>
      <c r="ABH18" s="6" t="s">
        <v>26</v>
      </c>
      <c r="ABI18" s="6" t="s">
        <v>34</v>
      </c>
      <c r="ABJ18" s="6" t="s">
        <v>29</v>
      </c>
      <c r="ABK18" s="6" t="s">
        <v>34</v>
      </c>
      <c r="ABL18" s="6" t="s">
        <v>39</v>
      </c>
      <c r="ABM18" s="6" t="s">
        <v>21</v>
      </c>
      <c r="ABN18" s="6" t="s">
        <v>15</v>
      </c>
      <c r="ABO18" s="6" t="s">
        <v>29</v>
      </c>
      <c r="ABP18" s="6" t="s">
        <v>47</v>
      </c>
      <c r="ABQ18" s="6" t="s">
        <v>21</v>
      </c>
      <c r="ABR18" s="6" t="s">
        <v>29</v>
      </c>
      <c r="ABS18" s="6" t="s">
        <v>39</v>
      </c>
      <c r="ABT18" s="6" t="s">
        <v>49</v>
      </c>
      <c r="ABU18" s="6" t="s">
        <v>15</v>
      </c>
      <c r="ABV18" s="6" t="s">
        <v>15</v>
      </c>
      <c r="ABW18" s="6" t="s">
        <v>21</v>
      </c>
      <c r="ABX18" s="6" t="s">
        <v>15</v>
      </c>
      <c r="ABY18" s="6" t="s">
        <v>47</v>
      </c>
      <c r="ABZ18" s="6" t="s">
        <v>39</v>
      </c>
      <c r="ACA18" s="6" t="s">
        <v>47</v>
      </c>
      <c r="ACB18" s="6" t="s">
        <v>47</v>
      </c>
      <c r="ACC18" s="6" t="s">
        <v>29</v>
      </c>
      <c r="ACD18" s="6" t="s">
        <v>49</v>
      </c>
      <c r="ACE18" s="6" t="s">
        <v>62</v>
      </c>
      <c r="ACF18" s="6" t="s">
        <v>34</v>
      </c>
      <c r="ACG18" s="6" t="s">
        <v>26</v>
      </c>
      <c r="ACH18" s="6" t="s">
        <v>49</v>
      </c>
      <c r="ACI18" s="6" t="s">
        <v>34</v>
      </c>
      <c r="ACJ18" s="6" t="s">
        <v>62</v>
      </c>
      <c r="ACK18" s="6" t="s">
        <v>26</v>
      </c>
      <c r="ACL18" s="6" t="s">
        <v>49</v>
      </c>
      <c r="ACM18" s="6" t="s">
        <v>21</v>
      </c>
      <c r="ACN18" s="6" t="s">
        <v>29</v>
      </c>
      <c r="ACO18" s="6" t="s">
        <v>62</v>
      </c>
      <c r="ACP18" s="6" t="s">
        <v>49</v>
      </c>
      <c r="ACQ18" s="6" t="s">
        <v>47</v>
      </c>
      <c r="ACR18" s="6" t="s">
        <v>21</v>
      </c>
      <c r="ACS18" s="6" t="s">
        <v>34</v>
      </c>
      <c r="ACT18" s="6" t="s">
        <v>15</v>
      </c>
      <c r="ACU18" s="6" t="s">
        <v>47</v>
      </c>
      <c r="ACV18" s="6" t="s">
        <v>21</v>
      </c>
      <c r="ACW18" s="6" t="s">
        <v>39</v>
      </c>
      <c r="ACX18" s="6" t="s">
        <v>34</v>
      </c>
      <c r="ACY18" s="6" t="s">
        <v>39</v>
      </c>
      <c r="ACZ18" s="6" t="s">
        <v>21</v>
      </c>
      <c r="ADA18" s="6" t="s">
        <v>29</v>
      </c>
      <c r="ADB18" s="6" t="s">
        <v>49</v>
      </c>
      <c r="ADC18" s="6" t="s">
        <v>49</v>
      </c>
      <c r="ADD18" s="6" t="s">
        <v>34</v>
      </c>
      <c r="ADE18" s="6" t="s">
        <v>15</v>
      </c>
      <c r="ADF18" s="6" t="s">
        <v>26</v>
      </c>
      <c r="ADG18" s="6" t="s">
        <v>26</v>
      </c>
      <c r="ADH18" s="6" t="s">
        <v>26</v>
      </c>
      <c r="ADI18" s="6" t="s">
        <v>49</v>
      </c>
      <c r="ADJ18" s="6" t="s">
        <v>26</v>
      </c>
      <c r="ADK18" s="6" t="s">
        <v>62</v>
      </c>
      <c r="ADL18" s="6" t="s">
        <v>26</v>
      </c>
      <c r="ADM18" s="6" t="s">
        <v>34</v>
      </c>
      <c r="ADN18" s="6" t="s">
        <v>34</v>
      </c>
      <c r="ADO18" s="6" t="s">
        <v>62</v>
      </c>
      <c r="ADP18" s="6" t="s">
        <v>21</v>
      </c>
      <c r="ADQ18" s="6" t="s">
        <v>49</v>
      </c>
      <c r="ADR18" s="6" t="s">
        <v>34</v>
      </c>
      <c r="ADS18" s="6" t="s">
        <v>26</v>
      </c>
      <c r="ADT18" s="6" t="s">
        <v>15</v>
      </c>
      <c r="ADU18" s="6" t="s">
        <v>21</v>
      </c>
      <c r="ADV18" s="6" t="s">
        <v>49</v>
      </c>
      <c r="ADW18" s="6" t="s">
        <v>15</v>
      </c>
      <c r="ADX18" s="6" t="s">
        <v>49</v>
      </c>
      <c r="ADY18" s="6" t="s">
        <v>26</v>
      </c>
      <c r="ADZ18" s="6" t="s">
        <v>15</v>
      </c>
      <c r="AEA18" s="6" t="s">
        <v>34</v>
      </c>
      <c r="AEB18" s="6" t="s">
        <v>62</v>
      </c>
      <c r="AEC18" s="6" t="s">
        <v>26</v>
      </c>
      <c r="AED18" s="6" t="s">
        <v>21</v>
      </c>
      <c r="AEE18" s="6" t="s">
        <v>39</v>
      </c>
      <c r="AEF18" s="6" t="s">
        <v>21</v>
      </c>
      <c r="AEG18" s="6" t="s">
        <v>34</v>
      </c>
      <c r="AEH18" s="6" t="s">
        <v>15</v>
      </c>
      <c r="AEI18" s="6" t="s">
        <v>15</v>
      </c>
      <c r="AEJ18" s="6" t="s">
        <v>39</v>
      </c>
      <c r="AEK18" s="6" t="s">
        <v>21</v>
      </c>
      <c r="AEL18" s="6" t="s">
        <v>15</v>
      </c>
      <c r="AEM18" s="6" t="s">
        <v>49</v>
      </c>
      <c r="AEN18" s="6" t="s">
        <v>39</v>
      </c>
      <c r="AEO18" s="6" t="s">
        <v>29</v>
      </c>
      <c r="AEP18" s="6" t="s">
        <v>39</v>
      </c>
      <c r="AEQ18" s="6" t="s">
        <v>39</v>
      </c>
      <c r="AER18" s="6" t="s">
        <v>21</v>
      </c>
      <c r="AES18" s="6" t="s">
        <v>26</v>
      </c>
      <c r="AET18" s="6" t="s">
        <v>21</v>
      </c>
      <c r="AEU18" s="6" t="s">
        <v>39</v>
      </c>
      <c r="AEV18" s="6" t="s">
        <v>34</v>
      </c>
      <c r="AEW18" s="6" t="s">
        <v>29</v>
      </c>
      <c r="AEX18" s="6" t="s">
        <v>62</v>
      </c>
      <c r="AEY18" s="6" t="s">
        <v>15</v>
      </c>
      <c r="AEZ18" s="6" t="s">
        <v>49</v>
      </c>
      <c r="AFA18" s="6" t="s">
        <v>34</v>
      </c>
      <c r="AFB18" s="6" t="s">
        <v>34</v>
      </c>
      <c r="AFC18" s="6" t="s">
        <v>26</v>
      </c>
      <c r="AFD18" s="6" t="s">
        <v>39</v>
      </c>
      <c r="AFE18" s="6" t="s">
        <v>47</v>
      </c>
      <c r="AFF18" s="6" t="s">
        <v>26</v>
      </c>
      <c r="AFG18" s="6" t="s">
        <v>21</v>
      </c>
      <c r="AFH18" s="6" t="s">
        <v>34</v>
      </c>
      <c r="AFI18" s="6" t="s">
        <v>39</v>
      </c>
      <c r="AFJ18" s="6" t="s">
        <v>26</v>
      </c>
      <c r="AFK18" s="6" t="s">
        <v>39</v>
      </c>
      <c r="AFL18" s="6" t="s">
        <v>62</v>
      </c>
      <c r="AFM18" s="6" t="s">
        <v>47</v>
      </c>
      <c r="AFN18" s="6" t="s">
        <v>21</v>
      </c>
      <c r="AFO18" s="6" t="s">
        <v>62</v>
      </c>
      <c r="AFP18" s="6" t="s">
        <v>62</v>
      </c>
      <c r="AFQ18" s="6" t="s">
        <v>39</v>
      </c>
      <c r="AFR18" s="6" t="s">
        <v>39</v>
      </c>
      <c r="AFS18" s="6" t="s">
        <v>21</v>
      </c>
      <c r="AFT18" s="6" t="s">
        <v>39</v>
      </c>
      <c r="AFU18" s="6" t="s">
        <v>39</v>
      </c>
      <c r="AFV18" s="6" t="s">
        <v>34</v>
      </c>
      <c r="AFW18" s="6" t="s">
        <v>29</v>
      </c>
      <c r="AFX18" s="6" t="s">
        <v>21</v>
      </c>
      <c r="AFY18" s="6" t="s">
        <v>26</v>
      </c>
      <c r="AFZ18" s="6" t="s">
        <v>49</v>
      </c>
      <c r="AGA18" s="6" t="s">
        <v>39</v>
      </c>
      <c r="AGB18" s="6" t="s">
        <v>26</v>
      </c>
      <c r="AGC18" s="6" t="s">
        <v>34</v>
      </c>
      <c r="AGD18" s="6" t="s">
        <v>26</v>
      </c>
      <c r="AGE18" s="6" t="s">
        <v>39</v>
      </c>
      <c r="AGF18" s="6" t="s">
        <v>21</v>
      </c>
      <c r="AGG18" s="6" t="s">
        <v>15</v>
      </c>
      <c r="AGH18" s="6" t="s">
        <v>49</v>
      </c>
      <c r="AGI18" s="6" t="s">
        <v>39</v>
      </c>
      <c r="AGJ18" s="6" t="s">
        <v>62</v>
      </c>
      <c r="AGK18" s="6" t="s">
        <v>39</v>
      </c>
      <c r="AGL18" s="6" t="s">
        <v>26</v>
      </c>
      <c r="AGM18" s="6" t="s">
        <v>34</v>
      </c>
      <c r="AGN18" s="6" t="s">
        <v>29</v>
      </c>
      <c r="AGO18" s="6" t="s">
        <v>26</v>
      </c>
      <c r="AGP18" s="6" t="s">
        <v>39</v>
      </c>
      <c r="AGQ18" s="6" t="s">
        <v>15</v>
      </c>
      <c r="AGR18" s="6" t="s">
        <v>47</v>
      </c>
      <c r="AGS18" s="6" t="s">
        <v>34</v>
      </c>
      <c r="AGT18" s="6" t="s">
        <v>34</v>
      </c>
      <c r="AGU18" s="6" t="s">
        <v>62</v>
      </c>
      <c r="AGV18" s="6" t="s">
        <v>62</v>
      </c>
      <c r="AGW18" s="6" t="s">
        <v>39</v>
      </c>
      <c r="AGX18" s="6" t="s">
        <v>34</v>
      </c>
      <c r="AGY18" s="6" t="s">
        <v>29</v>
      </c>
      <c r="AGZ18" s="6" t="s">
        <v>21</v>
      </c>
      <c r="AHA18" s="6" t="s">
        <v>26</v>
      </c>
      <c r="AHB18" s="6" t="s">
        <v>39</v>
      </c>
      <c r="AHC18" s="6" t="s">
        <v>62</v>
      </c>
      <c r="AHD18" s="6" t="s">
        <v>26</v>
      </c>
      <c r="AHE18" s="6" t="s">
        <v>34</v>
      </c>
      <c r="AHF18" s="6" t="s">
        <v>15</v>
      </c>
      <c r="AHG18" s="6" t="s">
        <v>39</v>
      </c>
      <c r="AHH18" s="6" t="s">
        <v>49</v>
      </c>
      <c r="AHI18" s="6" t="s">
        <v>21</v>
      </c>
      <c r="AHJ18" s="6" t="s">
        <v>34</v>
      </c>
      <c r="AHK18" s="6" t="s">
        <v>15</v>
      </c>
      <c r="AHL18" s="6" t="s">
        <v>49</v>
      </c>
      <c r="AHM18" s="6" t="s">
        <v>39</v>
      </c>
      <c r="AHN18" s="6" t="s">
        <v>29</v>
      </c>
      <c r="AHO18" s="6" t="s">
        <v>34</v>
      </c>
      <c r="AHP18" s="6" t="s">
        <v>26</v>
      </c>
      <c r="AHQ18" s="6" t="s">
        <v>34</v>
      </c>
      <c r="AHR18" s="6" t="s">
        <v>29</v>
      </c>
      <c r="AHS18" s="6" t="s">
        <v>21</v>
      </c>
      <c r="AHT18" s="6" t="s">
        <v>26</v>
      </c>
      <c r="AHU18" s="6" t="s">
        <v>49</v>
      </c>
      <c r="AHV18" s="6" t="s">
        <v>34</v>
      </c>
      <c r="AHW18" s="6" t="s">
        <v>47</v>
      </c>
      <c r="AHX18" s="6" t="s">
        <v>29</v>
      </c>
      <c r="AHY18" s="6" t="s">
        <v>39</v>
      </c>
      <c r="AHZ18" s="6" t="s">
        <v>29</v>
      </c>
      <c r="AIA18" s="6" t="s">
        <v>47</v>
      </c>
      <c r="AIB18" s="6" t="s">
        <v>29</v>
      </c>
      <c r="AIC18" s="6" t="s">
        <v>26</v>
      </c>
      <c r="AID18" s="6" t="s">
        <v>39</v>
      </c>
      <c r="AIE18" s="6" t="s">
        <v>15</v>
      </c>
      <c r="AIF18" s="6" t="s">
        <v>39</v>
      </c>
      <c r="AIG18" s="6" t="s">
        <v>39</v>
      </c>
      <c r="AIH18" s="6" t="s">
        <v>26</v>
      </c>
      <c r="AII18" s="6" t="s">
        <v>15</v>
      </c>
      <c r="AIJ18" s="6" t="s">
        <v>21</v>
      </c>
      <c r="AIK18" s="6" t="s">
        <v>26</v>
      </c>
      <c r="AIL18" s="6" t="s">
        <v>49</v>
      </c>
      <c r="AIM18" s="6" t="s">
        <v>26</v>
      </c>
      <c r="AIN18" s="6" t="s">
        <v>49</v>
      </c>
      <c r="AIO18" s="6" t="s">
        <v>29</v>
      </c>
      <c r="AIP18" s="6" t="s">
        <v>62</v>
      </c>
      <c r="AIQ18" s="6" t="s">
        <v>47</v>
      </c>
      <c r="AIR18" s="6" t="s">
        <v>47</v>
      </c>
      <c r="AIS18" s="6" t="s">
        <v>39</v>
      </c>
      <c r="AIT18" s="6" t="s">
        <v>21</v>
      </c>
      <c r="AIU18" s="6" t="s">
        <v>21</v>
      </c>
      <c r="AIV18" s="6" t="s">
        <v>39</v>
      </c>
      <c r="AIW18" s="6" t="s">
        <v>29</v>
      </c>
      <c r="AIX18" s="6" t="s">
        <v>34</v>
      </c>
      <c r="AIY18" s="6" t="s">
        <v>39</v>
      </c>
      <c r="AIZ18" s="6" t="s">
        <v>47</v>
      </c>
      <c r="AJA18" s="6" t="s">
        <v>21</v>
      </c>
      <c r="AJB18" s="6" t="s">
        <v>34</v>
      </c>
      <c r="AJC18" s="6" t="s">
        <v>34</v>
      </c>
      <c r="AJD18" s="6" t="s">
        <v>39</v>
      </c>
      <c r="AJE18" s="6" t="s">
        <v>49</v>
      </c>
      <c r="AJF18" s="6" t="s">
        <v>34</v>
      </c>
      <c r="AJG18" s="6" t="s">
        <v>62</v>
      </c>
      <c r="AJH18" s="6" t="s">
        <v>29</v>
      </c>
      <c r="AJI18" s="6" t="s">
        <v>26</v>
      </c>
      <c r="AJJ18" s="6" t="s">
        <v>34</v>
      </c>
      <c r="AJK18" s="6" t="s">
        <v>49</v>
      </c>
      <c r="AJL18" s="6" t="s">
        <v>29</v>
      </c>
      <c r="AJM18" s="6" t="s">
        <v>21</v>
      </c>
      <c r="AJN18" s="6" t="s">
        <v>39</v>
      </c>
      <c r="AJO18" s="6" t="s">
        <v>34</v>
      </c>
      <c r="AJP18" s="6" t="s">
        <v>34</v>
      </c>
      <c r="AJQ18" s="6" t="s">
        <v>29</v>
      </c>
      <c r="AJR18" s="6" t="s">
        <v>62</v>
      </c>
      <c r="AJS18" s="6" t="s">
        <v>29</v>
      </c>
      <c r="AJT18" s="6" t="s">
        <v>21</v>
      </c>
      <c r="AJU18" s="6" t="s">
        <v>62</v>
      </c>
      <c r="AJV18" s="6" t="s">
        <v>47</v>
      </c>
      <c r="AJW18" s="6" t="s">
        <v>62</v>
      </c>
      <c r="AJX18" s="6" t="s">
        <v>21</v>
      </c>
      <c r="AJY18" s="6" t="s">
        <v>39</v>
      </c>
      <c r="AJZ18" s="6" t="s">
        <v>34</v>
      </c>
      <c r="AKA18" s="6" t="s">
        <v>62</v>
      </c>
      <c r="AKB18" s="6" t="s">
        <v>26</v>
      </c>
      <c r="AKC18" s="6" t="s">
        <v>47</v>
      </c>
      <c r="AKD18" s="6" t="s">
        <v>15</v>
      </c>
      <c r="AKE18" s="6" t="s">
        <v>26</v>
      </c>
      <c r="AKF18" s="6" t="s">
        <v>15</v>
      </c>
      <c r="AKG18" s="6" t="s">
        <v>62</v>
      </c>
      <c r="AKH18" s="6" t="s">
        <v>34</v>
      </c>
      <c r="AKI18" s="6" t="s">
        <v>34</v>
      </c>
      <c r="AKJ18" s="6" t="s">
        <v>62</v>
      </c>
      <c r="AKK18" s="6" t="s">
        <v>26</v>
      </c>
      <c r="AKL18" s="6" t="s">
        <v>62</v>
      </c>
      <c r="AKM18" s="6" t="s">
        <v>34</v>
      </c>
      <c r="AKN18" s="6" t="s">
        <v>39</v>
      </c>
      <c r="AKO18" s="6" t="s">
        <v>47</v>
      </c>
      <c r="AKP18" s="6" t="s">
        <v>21</v>
      </c>
      <c r="AKQ18" s="6" t="s">
        <v>47</v>
      </c>
      <c r="AKR18" s="6" t="s">
        <v>26</v>
      </c>
      <c r="AKS18" s="6" t="s">
        <v>49</v>
      </c>
      <c r="AKT18" s="6" t="s">
        <v>47</v>
      </c>
      <c r="AKU18" s="6" t="s">
        <v>34</v>
      </c>
      <c r="AKV18" s="6" t="s">
        <v>49</v>
      </c>
      <c r="AKW18" s="6" t="s">
        <v>49</v>
      </c>
      <c r="AKX18" s="6" t="s">
        <v>26</v>
      </c>
      <c r="AKY18" s="6" t="s">
        <v>34</v>
      </c>
      <c r="AKZ18" s="6" t="s">
        <v>62</v>
      </c>
      <c r="ALA18" s="6" t="s">
        <v>62</v>
      </c>
      <c r="ALB18" s="6" t="s">
        <v>49</v>
      </c>
      <c r="ALC18" s="6" t="s">
        <v>39</v>
      </c>
      <c r="ALD18" s="6" t="s">
        <v>47</v>
      </c>
      <c r="ALE18" s="6" t="s">
        <v>47</v>
      </c>
      <c r="ALF18" s="6" t="s">
        <v>26</v>
      </c>
      <c r="ALG18" s="6" t="s">
        <v>21</v>
      </c>
      <c r="ALH18" s="6" t="s">
        <v>29</v>
      </c>
      <c r="ALI18" s="6" t="s">
        <v>21</v>
      </c>
      <c r="ALJ18" s="6" t="s">
        <v>49</v>
      </c>
      <c r="ALK18" s="6" t="s">
        <v>49</v>
      </c>
      <c r="ALL18" s="6" t="s">
        <v>34</v>
      </c>
      <c r="ALM18" s="6" t="s">
        <v>15</v>
      </c>
      <c r="ALN18" s="6" t="s">
        <v>49</v>
      </c>
      <c r="ALO18" s="6" t="s">
        <v>49</v>
      </c>
      <c r="ALP18" s="6" t="s">
        <v>62</v>
      </c>
      <c r="ALQ18" s="6" t="s">
        <v>62</v>
      </c>
      <c r="ALR18" s="6" t="s">
        <v>21</v>
      </c>
      <c r="ALS18" s="6" t="s">
        <v>47</v>
      </c>
      <c r="ALT18" s="6" t="s">
        <v>21</v>
      </c>
      <c r="ALU18" s="6" t="s">
        <v>39</v>
      </c>
      <c r="ALV18" s="6" t="s">
        <v>39</v>
      </c>
      <c r="ALW18" s="6" t="s">
        <v>34</v>
      </c>
      <c r="ALX18" s="6" t="s">
        <v>29</v>
      </c>
    </row>
    <row r="19" spans="1:1012" x14ac:dyDescent="0.3">
      <c r="A19" s="6" t="s">
        <v>55</v>
      </c>
      <c r="B19" s="6" t="s">
        <v>24</v>
      </c>
      <c r="C19" s="7">
        <v>24</v>
      </c>
      <c r="D19" s="5" t="s">
        <v>32</v>
      </c>
      <c r="E19" s="6" t="s">
        <v>13</v>
      </c>
      <c r="F19" s="6" t="s">
        <v>56</v>
      </c>
      <c r="G19" s="5">
        <v>17</v>
      </c>
      <c r="H19" s="8">
        <v>44774</v>
      </c>
      <c r="I19" s="6" t="s">
        <v>21</v>
      </c>
      <c r="J19" s="6" t="s">
        <v>27</v>
      </c>
      <c r="L19" s="14" t="s">
        <v>9</v>
      </c>
      <c r="M19" s="6" t="s">
        <v>16</v>
      </c>
      <c r="N19" s="6" t="s">
        <v>22</v>
      </c>
      <c r="O19" s="6" t="s">
        <v>27</v>
      </c>
      <c r="P19" s="6" t="s">
        <v>27</v>
      </c>
      <c r="Q19" s="6" t="s">
        <v>22</v>
      </c>
      <c r="R19" s="6" t="s">
        <v>16</v>
      </c>
      <c r="S19" s="6" t="s">
        <v>22</v>
      </c>
      <c r="T19" s="6" t="s">
        <v>16</v>
      </c>
      <c r="U19" s="6" t="s">
        <v>22</v>
      </c>
      <c r="V19" s="6" t="s">
        <v>16</v>
      </c>
      <c r="W19" s="6" t="s">
        <v>22</v>
      </c>
      <c r="X19" s="6" t="s">
        <v>16</v>
      </c>
      <c r="Y19" s="6" t="s">
        <v>16</v>
      </c>
      <c r="Z19" s="6" t="s">
        <v>27</v>
      </c>
      <c r="AA19" s="6" t="s">
        <v>27</v>
      </c>
      <c r="AB19" s="6" t="s">
        <v>16</v>
      </c>
      <c r="AC19" s="6" t="s">
        <v>22</v>
      </c>
      <c r="AD19" s="6" t="s">
        <v>27</v>
      </c>
      <c r="AE19" s="6" t="s">
        <v>27</v>
      </c>
      <c r="AF19" s="6" t="s">
        <v>22</v>
      </c>
      <c r="AG19" s="6" t="s">
        <v>27</v>
      </c>
      <c r="AH19" s="6" t="s">
        <v>16</v>
      </c>
      <c r="AI19" s="6" t="s">
        <v>65</v>
      </c>
      <c r="AJ19" s="6" t="s">
        <v>22</v>
      </c>
      <c r="AK19" s="6" t="s">
        <v>22</v>
      </c>
      <c r="AL19" s="6" t="s">
        <v>27</v>
      </c>
      <c r="AM19" s="6" t="s">
        <v>16</v>
      </c>
      <c r="AN19" s="6" t="s">
        <v>22</v>
      </c>
      <c r="AO19" s="6" t="s">
        <v>22</v>
      </c>
      <c r="AP19" s="6" t="s">
        <v>16</v>
      </c>
      <c r="AQ19" s="6" t="s">
        <v>22</v>
      </c>
      <c r="AR19" s="6" t="s">
        <v>27</v>
      </c>
      <c r="AS19" s="6" t="s">
        <v>16</v>
      </c>
      <c r="AT19" s="6" t="s">
        <v>27</v>
      </c>
      <c r="AU19" s="6" t="s">
        <v>22</v>
      </c>
      <c r="AV19" s="6" t="s">
        <v>16</v>
      </c>
      <c r="AW19" s="6" t="s">
        <v>27</v>
      </c>
      <c r="AX19" s="6" t="s">
        <v>27</v>
      </c>
      <c r="AY19" s="6" t="s">
        <v>16</v>
      </c>
      <c r="AZ19" s="6" t="s">
        <v>27</v>
      </c>
      <c r="BA19" s="6" t="s">
        <v>27</v>
      </c>
      <c r="BB19" s="6" t="s">
        <v>16</v>
      </c>
      <c r="BC19" s="6" t="s">
        <v>22</v>
      </c>
      <c r="BD19" s="6" t="s">
        <v>22</v>
      </c>
      <c r="BE19" s="6" t="s">
        <v>27</v>
      </c>
      <c r="BF19" s="6" t="s">
        <v>27</v>
      </c>
      <c r="BG19" s="6" t="s">
        <v>65</v>
      </c>
      <c r="BH19" s="6" t="s">
        <v>65</v>
      </c>
      <c r="BI19" s="6" t="s">
        <v>22</v>
      </c>
      <c r="BJ19" s="6" t="s">
        <v>22</v>
      </c>
      <c r="BK19" s="6" t="s">
        <v>27</v>
      </c>
      <c r="BL19" s="6" t="s">
        <v>65</v>
      </c>
      <c r="BM19" s="6" t="s">
        <v>22</v>
      </c>
      <c r="BN19" s="6" t="s">
        <v>27</v>
      </c>
      <c r="BO19" s="6" t="s">
        <v>27</v>
      </c>
      <c r="BP19" s="6" t="s">
        <v>27</v>
      </c>
      <c r="BQ19" s="6" t="s">
        <v>22</v>
      </c>
      <c r="BR19" s="6" t="s">
        <v>16</v>
      </c>
      <c r="BS19" s="6" t="s">
        <v>22</v>
      </c>
      <c r="BT19" s="6" t="s">
        <v>27</v>
      </c>
      <c r="BU19" s="6" t="s">
        <v>22</v>
      </c>
      <c r="BV19" s="6" t="s">
        <v>16</v>
      </c>
      <c r="BW19" s="6" t="s">
        <v>16</v>
      </c>
      <c r="BX19" s="6" t="s">
        <v>27</v>
      </c>
      <c r="BY19" s="6" t="s">
        <v>27</v>
      </c>
      <c r="BZ19" s="6" t="s">
        <v>16</v>
      </c>
      <c r="CA19" s="6" t="s">
        <v>22</v>
      </c>
      <c r="CB19" s="6" t="s">
        <v>27</v>
      </c>
      <c r="CC19" s="6" t="s">
        <v>16</v>
      </c>
      <c r="CD19" s="6" t="s">
        <v>22</v>
      </c>
      <c r="CE19" s="6" t="s">
        <v>16</v>
      </c>
      <c r="CF19" s="6" t="s">
        <v>22</v>
      </c>
      <c r="CG19" s="6" t="s">
        <v>27</v>
      </c>
      <c r="CH19" s="6" t="s">
        <v>16</v>
      </c>
      <c r="CI19" s="6" t="s">
        <v>27</v>
      </c>
      <c r="CJ19" s="6" t="s">
        <v>22</v>
      </c>
      <c r="CK19" s="6" t="s">
        <v>22</v>
      </c>
      <c r="CL19" s="6" t="s">
        <v>65</v>
      </c>
      <c r="CM19" s="6" t="s">
        <v>22</v>
      </c>
      <c r="CN19" s="6" t="s">
        <v>27</v>
      </c>
      <c r="CO19" s="6" t="s">
        <v>22</v>
      </c>
      <c r="CP19" s="6" t="s">
        <v>22</v>
      </c>
      <c r="CQ19" s="6" t="s">
        <v>27</v>
      </c>
      <c r="CR19" s="6" t="s">
        <v>27</v>
      </c>
      <c r="CS19" s="6" t="s">
        <v>27</v>
      </c>
      <c r="CT19" s="6" t="s">
        <v>16</v>
      </c>
      <c r="CU19" s="6" t="s">
        <v>16</v>
      </c>
      <c r="CV19" s="6" t="s">
        <v>27</v>
      </c>
      <c r="CW19" s="6" t="s">
        <v>65</v>
      </c>
      <c r="CX19" s="6" t="s">
        <v>22</v>
      </c>
      <c r="CY19" s="6" t="s">
        <v>27</v>
      </c>
      <c r="CZ19" s="6" t="s">
        <v>16</v>
      </c>
      <c r="DA19" s="6" t="s">
        <v>16</v>
      </c>
      <c r="DB19" s="6" t="s">
        <v>16</v>
      </c>
      <c r="DC19" s="6" t="s">
        <v>22</v>
      </c>
      <c r="DD19" s="6" t="s">
        <v>16</v>
      </c>
      <c r="DE19" s="6" t="s">
        <v>22</v>
      </c>
      <c r="DF19" s="6" t="s">
        <v>27</v>
      </c>
      <c r="DG19" s="6" t="s">
        <v>22</v>
      </c>
      <c r="DH19" s="6" t="s">
        <v>27</v>
      </c>
      <c r="DI19" s="6" t="s">
        <v>27</v>
      </c>
      <c r="DJ19" s="6" t="s">
        <v>22</v>
      </c>
      <c r="DK19" s="6" t="s">
        <v>22</v>
      </c>
      <c r="DL19" s="6" t="s">
        <v>27</v>
      </c>
      <c r="DM19" s="6" t="s">
        <v>16</v>
      </c>
      <c r="DN19" s="6" t="s">
        <v>27</v>
      </c>
      <c r="DO19" s="6" t="s">
        <v>22</v>
      </c>
      <c r="DP19" s="6" t="s">
        <v>27</v>
      </c>
      <c r="DQ19" s="6" t="s">
        <v>22</v>
      </c>
      <c r="DR19" s="6" t="s">
        <v>27</v>
      </c>
      <c r="DS19" s="6" t="s">
        <v>22</v>
      </c>
      <c r="DT19" s="6" t="s">
        <v>16</v>
      </c>
      <c r="DU19" s="6" t="s">
        <v>22</v>
      </c>
      <c r="DV19" s="6" t="s">
        <v>22</v>
      </c>
      <c r="DW19" s="6" t="s">
        <v>22</v>
      </c>
      <c r="DX19" s="6" t="s">
        <v>65</v>
      </c>
      <c r="DY19" s="6" t="s">
        <v>16</v>
      </c>
      <c r="DZ19" s="6" t="s">
        <v>16</v>
      </c>
      <c r="EA19" s="6" t="s">
        <v>22</v>
      </c>
      <c r="EB19" s="6" t="s">
        <v>27</v>
      </c>
      <c r="EC19" s="6" t="s">
        <v>22</v>
      </c>
      <c r="ED19" s="6" t="s">
        <v>16</v>
      </c>
      <c r="EE19" s="6" t="s">
        <v>22</v>
      </c>
      <c r="EF19" s="6" t="s">
        <v>16</v>
      </c>
      <c r="EG19" s="6" t="s">
        <v>27</v>
      </c>
      <c r="EH19" s="6" t="s">
        <v>16</v>
      </c>
      <c r="EI19" s="6" t="s">
        <v>22</v>
      </c>
      <c r="EJ19" s="6" t="s">
        <v>27</v>
      </c>
      <c r="EK19" s="6" t="s">
        <v>16</v>
      </c>
      <c r="EL19" s="6" t="s">
        <v>27</v>
      </c>
      <c r="EM19" s="6" t="s">
        <v>22</v>
      </c>
      <c r="EN19" s="6" t="s">
        <v>16</v>
      </c>
      <c r="EO19" s="6" t="s">
        <v>16</v>
      </c>
      <c r="EP19" s="6" t="s">
        <v>27</v>
      </c>
      <c r="EQ19" s="6" t="s">
        <v>16</v>
      </c>
      <c r="ER19" s="6" t="s">
        <v>27</v>
      </c>
      <c r="ES19" s="6" t="s">
        <v>27</v>
      </c>
      <c r="ET19" s="6" t="s">
        <v>22</v>
      </c>
      <c r="EU19" s="6" t="s">
        <v>27</v>
      </c>
      <c r="EV19" s="6" t="s">
        <v>22</v>
      </c>
      <c r="EW19" s="6" t="s">
        <v>16</v>
      </c>
      <c r="EX19" s="6" t="s">
        <v>27</v>
      </c>
      <c r="EY19" s="6" t="s">
        <v>16</v>
      </c>
      <c r="EZ19" s="6" t="s">
        <v>16</v>
      </c>
      <c r="FA19" s="6" t="s">
        <v>27</v>
      </c>
      <c r="FB19" s="6" t="s">
        <v>65</v>
      </c>
      <c r="FC19" s="6" t="s">
        <v>27</v>
      </c>
      <c r="FD19" s="6" t="s">
        <v>27</v>
      </c>
      <c r="FE19" s="6" t="s">
        <v>22</v>
      </c>
      <c r="FF19" s="6" t="s">
        <v>27</v>
      </c>
      <c r="FG19" s="6" t="s">
        <v>16</v>
      </c>
      <c r="FH19" s="6" t="s">
        <v>16</v>
      </c>
      <c r="FI19" s="6" t="s">
        <v>22</v>
      </c>
      <c r="FJ19" s="6" t="s">
        <v>16</v>
      </c>
      <c r="FK19" s="6" t="s">
        <v>65</v>
      </c>
      <c r="FL19" s="6" t="s">
        <v>16</v>
      </c>
      <c r="FM19" s="6" t="s">
        <v>22</v>
      </c>
      <c r="FN19" s="6" t="s">
        <v>16</v>
      </c>
      <c r="FO19" s="6" t="s">
        <v>27</v>
      </c>
      <c r="FP19" s="6" t="s">
        <v>65</v>
      </c>
      <c r="FQ19" s="6" t="s">
        <v>22</v>
      </c>
      <c r="FR19" s="6" t="s">
        <v>27</v>
      </c>
      <c r="FS19" s="6" t="s">
        <v>27</v>
      </c>
      <c r="FT19" s="6" t="s">
        <v>27</v>
      </c>
      <c r="FU19" s="6" t="s">
        <v>27</v>
      </c>
      <c r="FV19" s="6" t="s">
        <v>65</v>
      </c>
      <c r="FW19" s="6" t="s">
        <v>27</v>
      </c>
      <c r="FX19" s="6" t="s">
        <v>27</v>
      </c>
      <c r="FY19" s="6" t="s">
        <v>27</v>
      </c>
      <c r="FZ19" s="6" t="s">
        <v>27</v>
      </c>
      <c r="GA19" s="6" t="s">
        <v>27</v>
      </c>
      <c r="GB19" s="6" t="s">
        <v>16</v>
      </c>
      <c r="GC19" s="6" t="s">
        <v>27</v>
      </c>
      <c r="GD19" s="6" t="s">
        <v>22</v>
      </c>
      <c r="GE19" s="6" t="s">
        <v>65</v>
      </c>
      <c r="GF19" s="6" t="s">
        <v>27</v>
      </c>
      <c r="GG19" s="6" t="s">
        <v>27</v>
      </c>
      <c r="GH19" s="6" t="s">
        <v>22</v>
      </c>
      <c r="GI19" s="6" t="s">
        <v>16</v>
      </c>
      <c r="GJ19" s="6" t="s">
        <v>16</v>
      </c>
      <c r="GK19" s="6" t="s">
        <v>16</v>
      </c>
      <c r="GL19" s="6" t="s">
        <v>65</v>
      </c>
      <c r="GM19" s="6" t="s">
        <v>16</v>
      </c>
      <c r="GN19" s="6" t="s">
        <v>16</v>
      </c>
      <c r="GO19" s="6" t="s">
        <v>16</v>
      </c>
      <c r="GP19" s="6" t="s">
        <v>16</v>
      </c>
      <c r="GQ19" s="6" t="s">
        <v>16</v>
      </c>
      <c r="GR19" s="6" t="s">
        <v>16</v>
      </c>
      <c r="GS19" s="6" t="s">
        <v>27</v>
      </c>
      <c r="GT19" s="6" t="s">
        <v>27</v>
      </c>
      <c r="GU19" s="6" t="s">
        <v>27</v>
      </c>
      <c r="GV19" s="6" t="s">
        <v>16</v>
      </c>
      <c r="GW19" s="6" t="s">
        <v>16</v>
      </c>
      <c r="GX19" s="6" t="s">
        <v>16</v>
      </c>
      <c r="GY19" s="6" t="s">
        <v>16</v>
      </c>
      <c r="GZ19" s="6" t="s">
        <v>16</v>
      </c>
      <c r="HA19" s="6" t="s">
        <v>22</v>
      </c>
      <c r="HB19" s="6" t="s">
        <v>27</v>
      </c>
      <c r="HC19" s="6" t="s">
        <v>16</v>
      </c>
      <c r="HD19" s="6" t="s">
        <v>22</v>
      </c>
      <c r="HE19" s="6" t="s">
        <v>16</v>
      </c>
      <c r="HF19" s="6" t="s">
        <v>27</v>
      </c>
      <c r="HG19" s="6" t="s">
        <v>22</v>
      </c>
      <c r="HH19" s="6" t="s">
        <v>27</v>
      </c>
      <c r="HI19" s="6" t="s">
        <v>16</v>
      </c>
      <c r="HJ19" s="6" t="s">
        <v>16</v>
      </c>
      <c r="HK19" s="6" t="s">
        <v>22</v>
      </c>
      <c r="HL19" s="6" t="s">
        <v>22</v>
      </c>
      <c r="HM19" s="6" t="s">
        <v>27</v>
      </c>
      <c r="HN19" s="6" t="s">
        <v>16</v>
      </c>
      <c r="HO19" s="6" t="s">
        <v>16</v>
      </c>
      <c r="HP19" s="6" t="s">
        <v>27</v>
      </c>
      <c r="HQ19" s="6" t="s">
        <v>16</v>
      </c>
      <c r="HR19" s="6" t="s">
        <v>22</v>
      </c>
      <c r="HS19" s="6" t="s">
        <v>16</v>
      </c>
      <c r="HT19" s="6" t="s">
        <v>27</v>
      </c>
      <c r="HU19" s="6" t="s">
        <v>65</v>
      </c>
      <c r="HV19" s="6" t="s">
        <v>65</v>
      </c>
      <c r="HW19" s="6" t="s">
        <v>16</v>
      </c>
      <c r="HX19" s="6" t="s">
        <v>16</v>
      </c>
      <c r="HY19" s="6" t="s">
        <v>27</v>
      </c>
      <c r="HZ19" s="6" t="s">
        <v>16</v>
      </c>
      <c r="IA19" s="6" t="s">
        <v>16</v>
      </c>
      <c r="IB19" s="6" t="s">
        <v>16</v>
      </c>
      <c r="IC19" s="6" t="s">
        <v>22</v>
      </c>
      <c r="ID19" s="6" t="s">
        <v>27</v>
      </c>
      <c r="IE19" s="6" t="s">
        <v>27</v>
      </c>
      <c r="IF19" s="6" t="s">
        <v>16</v>
      </c>
      <c r="IG19" s="6" t="s">
        <v>27</v>
      </c>
      <c r="IH19" s="6" t="s">
        <v>22</v>
      </c>
      <c r="II19" s="6" t="s">
        <v>27</v>
      </c>
      <c r="IJ19" s="6" t="s">
        <v>27</v>
      </c>
      <c r="IK19" s="6" t="s">
        <v>27</v>
      </c>
      <c r="IL19" s="6" t="s">
        <v>27</v>
      </c>
      <c r="IM19" s="6" t="s">
        <v>27</v>
      </c>
      <c r="IN19" s="6" t="s">
        <v>27</v>
      </c>
      <c r="IO19" s="6" t="s">
        <v>22</v>
      </c>
      <c r="IP19" s="6" t="s">
        <v>27</v>
      </c>
      <c r="IQ19" s="6" t="s">
        <v>22</v>
      </c>
      <c r="IR19" s="6" t="s">
        <v>16</v>
      </c>
      <c r="IS19" s="6" t="s">
        <v>27</v>
      </c>
      <c r="IT19" s="6" t="s">
        <v>16</v>
      </c>
      <c r="IU19" s="6" t="s">
        <v>65</v>
      </c>
      <c r="IV19" s="6" t="s">
        <v>27</v>
      </c>
      <c r="IW19" s="6" t="s">
        <v>22</v>
      </c>
      <c r="IX19" s="6" t="s">
        <v>16</v>
      </c>
      <c r="IY19" s="6" t="s">
        <v>16</v>
      </c>
      <c r="IZ19" s="6" t="s">
        <v>65</v>
      </c>
      <c r="JA19" s="6" t="s">
        <v>27</v>
      </c>
      <c r="JB19" s="6" t="s">
        <v>65</v>
      </c>
      <c r="JC19" s="6" t="s">
        <v>16</v>
      </c>
      <c r="JD19" s="6" t="s">
        <v>22</v>
      </c>
      <c r="JE19" s="6" t="s">
        <v>16</v>
      </c>
      <c r="JF19" s="6" t="s">
        <v>22</v>
      </c>
      <c r="JG19" s="6" t="s">
        <v>16</v>
      </c>
      <c r="JH19" s="6" t="s">
        <v>16</v>
      </c>
      <c r="JI19" s="6" t="s">
        <v>65</v>
      </c>
      <c r="JJ19" s="6" t="s">
        <v>22</v>
      </c>
      <c r="JK19" s="6" t="s">
        <v>16</v>
      </c>
      <c r="JL19" s="6" t="s">
        <v>16</v>
      </c>
      <c r="JM19" s="6" t="s">
        <v>16</v>
      </c>
      <c r="JN19" s="6" t="s">
        <v>27</v>
      </c>
      <c r="JO19" s="6" t="s">
        <v>16</v>
      </c>
      <c r="JP19" s="6" t="s">
        <v>27</v>
      </c>
      <c r="JQ19" s="6" t="s">
        <v>27</v>
      </c>
      <c r="JR19" s="6" t="s">
        <v>27</v>
      </c>
      <c r="JS19" s="6" t="s">
        <v>65</v>
      </c>
      <c r="JT19" s="6" t="s">
        <v>16</v>
      </c>
      <c r="JU19" s="6" t="s">
        <v>22</v>
      </c>
      <c r="JV19" s="6" t="s">
        <v>22</v>
      </c>
      <c r="JW19" s="6" t="s">
        <v>22</v>
      </c>
      <c r="JX19" s="6" t="s">
        <v>22</v>
      </c>
      <c r="JY19" s="6" t="s">
        <v>16</v>
      </c>
      <c r="JZ19" s="6" t="s">
        <v>16</v>
      </c>
      <c r="KA19" s="6" t="s">
        <v>27</v>
      </c>
      <c r="KB19" s="6" t="s">
        <v>27</v>
      </c>
      <c r="KC19" s="6" t="s">
        <v>22</v>
      </c>
      <c r="KD19" s="6" t="s">
        <v>27</v>
      </c>
      <c r="KE19" s="6" t="s">
        <v>27</v>
      </c>
      <c r="KF19" s="6" t="s">
        <v>22</v>
      </c>
      <c r="KG19" s="6" t="s">
        <v>22</v>
      </c>
      <c r="KH19" s="6" t="s">
        <v>22</v>
      </c>
      <c r="KI19" s="6" t="s">
        <v>27</v>
      </c>
      <c r="KJ19" s="6" t="s">
        <v>27</v>
      </c>
      <c r="KK19" s="6" t="s">
        <v>27</v>
      </c>
      <c r="KL19" s="6" t="s">
        <v>27</v>
      </c>
      <c r="KM19" s="6" t="s">
        <v>16</v>
      </c>
      <c r="KN19" s="6" t="s">
        <v>27</v>
      </c>
      <c r="KO19" s="6" t="s">
        <v>65</v>
      </c>
      <c r="KP19" s="6" t="s">
        <v>16</v>
      </c>
      <c r="KQ19" s="6" t="s">
        <v>22</v>
      </c>
      <c r="KR19" s="6" t="s">
        <v>27</v>
      </c>
      <c r="KS19" s="6" t="s">
        <v>65</v>
      </c>
      <c r="KT19" s="6" t="s">
        <v>22</v>
      </c>
      <c r="KU19" s="6" t="s">
        <v>22</v>
      </c>
      <c r="KV19" s="6" t="s">
        <v>27</v>
      </c>
      <c r="KW19" s="6" t="s">
        <v>16</v>
      </c>
      <c r="KX19" s="6" t="s">
        <v>65</v>
      </c>
      <c r="KY19" s="6" t="s">
        <v>65</v>
      </c>
      <c r="KZ19" s="6" t="s">
        <v>16</v>
      </c>
      <c r="LA19" s="6" t="s">
        <v>22</v>
      </c>
      <c r="LB19" s="6" t="s">
        <v>16</v>
      </c>
      <c r="LC19" s="6" t="s">
        <v>16</v>
      </c>
      <c r="LD19" s="6" t="s">
        <v>16</v>
      </c>
      <c r="LE19" s="6" t="s">
        <v>22</v>
      </c>
      <c r="LF19" s="6" t="s">
        <v>27</v>
      </c>
      <c r="LG19" s="6" t="s">
        <v>16</v>
      </c>
      <c r="LH19" s="6" t="s">
        <v>16</v>
      </c>
      <c r="LI19" s="6" t="s">
        <v>27</v>
      </c>
      <c r="LJ19" s="6" t="s">
        <v>16</v>
      </c>
      <c r="LK19" s="6" t="s">
        <v>22</v>
      </c>
      <c r="LL19" s="6" t="s">
        <v>16</v>
      </c>
      <c r="LM19" s="6" t="s">
        <v>27</v>
      </c>
      <c r="LN19" s="6" t="s">
        <v>22</v>
      </c>
      <c r="LO19" s="6" t="s">
        <v>27</v>
      </c>
      <c r="LP19" s="6" t="s">
        <v>27</v>
      </c>
      <c r="LQ19" s="6" t="s">
        <v>22</v>
      </c>
      <c r="LR19" s="6" t="s">
        <v>16</v>
      </c>
      <c r="LS19" s="6" t="s">
        <v>16</v>
      </c>
      <c r="LT19" s="6" t="s">
        <v>65</v>
      </c>
      <c r="LU19" s="6" t="s">
        <v>65</v>
      </c>
      <c r="LV19" s="6" t="s">
        <v>22</v>
      </c>
      <c r="LW19" s="6" t="s">
        <v>27</v>
      </c>
      <c r="LX19" s="6" t="s">
        <v>65</v>
      </c>
      <c r="LY19" s="6" t="s">
        <v>27</v>
      </c>
      <c r="LZ19" s="6" t="s">
        <v>22</v>
      </c>
      <c r="MA19" s="6" t="s">
        <v>27</v>
      </c>
      <c r="MB19" s="6" t="s">
        <v>27</v>
      </c>
      <c r="MC19" s="6" t="s">
        <v>27</v>
      </c>
      <c r="MD19" s="6" t="s">
        <v>16</v>
      </c>
      <c r="ME19" s="6" t="s">
        <v>27</v>
      </c>
      <c r="MF19" s="6" t="s">
        <v>22</v>
      </c>
      <c r="MG19" s="6" t="s">
        <v>22</v>
      </c>
      <c r="MH19" s="6" t="s">
        <v>22</v>
      </c>
      <c r="MI19" s="6" t="s">
        <v>16</v>
      </c>
      <c r="MJ19" s="6" t="s">
        <v>16</v>
      </c>
      <c r="MK19" s="6" t="s">
        <v>27</v>
      </c>
      <c r="ML19" s="6" t="s">
        <v>65</v>
      </c>
      <c r="MM19" s="6" t="s">
        <v>22</v>
      </c>
      <c r="MN19" s="6" t="s">
        <v>27</v>
      </c>
      <c r="MO19" s="6" t="s">
        <v>16</v>
      </c>
      <c r="MP19" s="6" t="s">
        <v>22</v>
      </c>
      <c r="MQ19" s="6" t="s">
        <v>27</v>
      </c>
      <c r="MR19" s="6" t="s">
        <v>27</v>
      </c>
      <c r="MS19" s="6" t="s">
        <v>27</v>
      </c>
      <c r="MT19" s="6" t="s">
        <v>27</v>
      </c>
      <c r="MU19" s="6" t="s">
        <v>16</v>
      </c>
      <c r="MV19" s="6" t="s">
        <v>27</v>
      </c>
      <c r="MW19" s="6" t="s">
        <v>16</v>
      </c>
      <c r="MX19" s="6" t="s">
        <v>16</v>
      </c>
      <c r="MY19" s="6" t="s">
        <v>22</v>
      </c>
      <c r="MZ19" s="6" t="s">
        <v>27</v>
      </c>
      <c r="NA19" s="6" t="s">
        <v>65</v>
      </c>
      <c r="NB19" s="6" t="s">
        <v>22</v>
      </c>
      <c r="NC19" s="6" t="s">
        <v>22</v>
      </c>
      <c r="ND19" s="6" t="s">
        <v>22</v>
      </c>
      <c r="NE19" s="6" t="s">
        <v>27</v>
      </c>
      <c r="NF19" s="6" t="s">
        <v>16</v>
      </c>
      <c r="NG19" s="6" t="s">
        <v>27</v>
      </c>
      <c r="NH19" s="6" t="s">
        <v>27</v>
      </c>
      <c r="NI19" s="6" t="s">
        <v>16</v>
      </c>
      <c r="NJ19" s="6" t="s">
        <v>27</v>
      </c>
      <c r="NK19" s="6" t="s">
        <v>27</v>
      </c>
      <c r="NL19" s="6" t="s">
        <v>27</v>
      </c>
      <c r="NM19" s="6" t="s">
        <v>16</v>
      </c>
      <c r="NN19" s="6" t="s">
        <v>27</v>
      </c>
      <c r="NO19" s="6" t="s">
        <v>16</v>
      </c>
      <c r="NP19" s="6" t="s">
        <v>22</v>
      </c>
      <c r="NQ19" s="6" t="s">
        <v>27</v>
      </c>
      <c r="NR19" s="6" t="s">
        <v>27</v>
      </c>
      <c r="NS19" s="6" t="s">
        <v>22</v>
      </c>
      <c r="NT19" s="6" t="s">
        <v>16</v>
      </c>
      <c r="NU19" s="6" t="s">
        <v>27</v>
      </c>
      <c r="NV19" s="6" t="s">
        <v>27</v>
      </c>
      <c r="NW19" s="6" t="s">
        <v>27</v>
      </c>
      <c r="NX19" s="6" t="s">
        <v>27</v>
      </c>
      <c r="NY19" s="6" t="s">
        <v>22</v>
      </c>
      <c r="NZ19" s="6" t="s">
        <v>22</v>
      </c>
      <c r="OA19" s="6" t="s">
        <v>22</v>
      </c>
      <c r="OB19" s="6" t="s">
        <v>27</v>
      </c>
      <c r="OC19" s="6" t="s">
        <v>65</v>
      </c>
      <c r="OD19" s="6" t="s">
        <v>27</v>
      </c>
      <c r="OE19" s="6" t="s">
        <v>27</v>
      </c>
      <c r="OF19" s="6" t="s">
        <v>27</v>
      </c>
      <c r="OG19" s="6" t="s">
        <v>22</v>
      </c>
      <c r="OH19" s="6" t="s">
        <v>16</v>
      </c>
      <c r="OI19" s="6" t="s">
        <v>16</v>
      </c>
      <c r="OJ19" s="6" t="s">
        <v>16</v>
      </c>
      <c r="OK19" s="6" t="s">
        <v>22</v>
      </c>
      <c r="OL19" s="6" t="s">
        <v>16</v>
      </c>
      <c r="OM19" s="6" t="s">
        <v>16</v>
      </c>
      <c r="ON19" s="6" t="s">
        <v>27</v>
      </c>
      <c r="OO19" s="6" t="s">
        <v>22</v>
      </c>
      <c r="OP19" s="6" t="s">
        <v>27</v>
      </c>
      <c r="OQ19" s="6" t="s">
        <v>16</v>
      </c>
      <c r="OR19" s="6" t="s">
        <v>16</v>
      </c>
      <c r="OS19" s="6" t="s">
        <v>16</v>
      </c>
      <c r="OT19" s="6" t="s">
        <v>22</v>
      </c>
      <c r="OU19" s="6" t="s">
        <v>65</v>
      </c>
      <c r="OV19" s="6" t="s">
        <v>16</v>
      </c>
      <c r="OW19" s="6" t="s">
        <v>27</v>
      </c>
      <c r="OX19" s="6" t="s">
        <v>22</v>
      </c>
      <c r="OY19" s="6" t="s">
        <v>22</v>
      </c>
      <c r="OZ19" s="6" t="s">
        <v>16</v>
      </c>
      <c r="PA19" s="6" t="s">
        <v>27</v>
      </c>
      <c r="PB19" s="6" t="s">
        <v>22</v>
      </c>
      <c r="PC19" s="6" t="s">
        <v>22</v>
      </c>
      <c r="PD19" s="6" t="s">
        <v>16</v>
      </c>
      <c r="PE19" s="6" t="s">
        <v>16</v>
      </c>
      <c r="PF19" s="6" t="s">
        <v>16</v>
      </c>
      <c r="PG19" s="6" t="s">
        <v>65</v>
      </c>
      <c r="PH19" s="6" t="s">
        <v>27</v>
      </c>
      <c r="PI19" s="6" t="s">
        <v>16</v>
      </c>
      <c r="PJ19" s="6" t="s">
        <v>27</v>
      </c>
      <c r="PK19" s="6" t="s">
        <v>65</v>
      </c>
      <c r="PL19" s="6" t="s">
        <v>27</v>
      </c>
      <c r="PM19" s="6" t="s">
        <v>16</v>
      </c>
      <c r="PN19" s="6" t="s">
        <v>27</v>
      </c>
      <c r="PO19" s="6" t="s">
        <v>22</v>
      </c>
      <c r="PP19" s="6" t="s">
        <v>16</v>
      </c>
      <c r="PQ19" s="6" t="s">
        <v>27</v>
      </c>
      <c r="PR19" s="6" t="s">
        <v>22</v>
      </c>
      <c r="PS19" s="6" t="s">
        <v>22</v>
      </c>
      <c r="PT19" s="6" t="s">
        <v>27</v>
      </c>
      <c r="PU19" s="6" t="s">
        <v>22</v>
      </c>
      <c r="PV19" s="6" t="s">
        <v>22</v>
      </c>
      <c r="PW19" s="6" t="s">
        <v>22</v>
      </c>
      <c r="PX19" s="6" t="s">
        <v>22</v>
      </c>
      <c r="PY19" s="6" t="s">
        <v>27</v>
      </c>
      <c r="PZ19" s="6" t="s">
        <v>16</v>
      </c>
      <c r="QA19" s="6" t="s">
        <v>27</v>
      </c>
      <c r="QB19" s="6" t="s">
        <v>22</v>
      </c>
      <c r="QC19" s="6" t="s">
        <v>22</v>
      </c>
      <c r="QD19" s="6" t="s">
        <v>16</v>
      </c>
      <c r="QE19" s="6" t="s">
        <v>22</v>
      </c>
      <c r="QF19" s="6" t="s">
        <v>27</v>
      </c>
      <c r="QG19" s="6" t="s">
        <v>27</v>
      </c>
      <c r="QH19" s="6" t="s">
        <v>27</v>
      </c>
      <c r="QI19" s="6" t="s">
        <v>27</v>
      </c>
      <c r="QJ19" s="6" t="s">
        <v>22</v>
      </c>
      <c r="QK19" s="6" t="s">
        <v>16</v>
      </c>
      <c r="QL19" s="6" t="s">
        <v>27</v>
      </c>
      <c r="QM19" s="6" t="s">
        <v>16</v>
      </c>
      <c r="QN19" s="6" t="s">
        <v>16</v>
      </c>
      <c r="QO19" s="6" t="s">
        <v>27</v>
      </c>
      <c r="QP19" s="6" t="s">
        <v>27</v>
      </c>
      <c r="QQ19" s="6" t="s">
        <v>27</v>
      </c>
      <c r="QR19" s="6" t="s">
        <v>16</v>
      </c>
      <c r="QS19" s="6" t="s">
        <v>22</v>
      </c>
      <c r="QT19" s="6" t="s">
        <v>22</v>
      </c>
      <c r="QU19" s="6" t="s">
        <v>27</v>
      </c>
      <c r="QV19" s="6" t="s">
        <v>22</v>
      </c>
      <c r="QW19" s="6" t="s">
        <v>27</v>
      </c>
      <c r="QX19" s="6" t="s">
        <v>22</v>
      </c>
      <c r="QY19" s="6" t="s">
        <v>22</v>
      </c>
      <c r="QZ19" s="6" t="s">
        <v>16</v>
      </c>
      <c r="RA19" s="6" t="s">
        <v>22</v>
      </c>
      <c r="RB19" s="6" t="s">
        <v>65</v>
      </c>
      <c r="RC19" s="6" t="s">
        <v>27</v>
      </c>
      <c r="RD19" s="6" t="s">
        <v>27</v>
      </c>
      <c r="RE19" s="6" t="s">
        <v>16</v>
      </c>
      <c r="RF19" s="6" t="s">
        <v>65</v>
      </c>
      <c r="RG19" s="6" t="s">
        <v>27</v>
      </c>
      <c r="RH19" s="6" t="s">
        <v>22</v>
      </c>
      <c r="RI19" s="6" t="s">
        <v>16</v>
      </c>
      <c r="RJ19" s="6" t="s">
        <v>27</v>
      </c>
      <c r="RK19" s="6" t="s">
        <v>27</v>
      </c>
      <c r="RL19" s="6" t="s">
        <v>16</v>
      </c>
      <c r="RM19" s="6" t="s">
        <v>22</v>
      </c>
      <c r="RN19" s="6" t="s">
        <v>22</v>
      </c>
      <c r="RO19" s="6" t="s">
        <v>27</v>
      </c>
      <c r="RP19" s="6" t="s">
        <v>27</v>
      </c>
      <c r="RQ19" s="6" t="s">
        <v>27</v>
      </c>
      <c r="RR19" s="6" t="s">
        <v>16</v>
      </c>
      <c r="RS19" s="6" t="s">
        <v>27</v>
      </c>
      <c r="RT19" s="6" t="s">
        <v>27</v>
      </c>
      <c r="RU19" s="6" t="s">
        <v>16</v>
      </c>
      <c r="RV19" s="6" t="s">
        <v>16</v>
      </c>
      <c r="RW19" s="6" t="s">
        <v>16</v>
      </c>
      <c r="RX19" s="6" t="s">
        <v>27</v>
      </c>
      <c r="RY19" s="6" t="s">
        <v>27</v>
      </c>
      <c r="RZ19" s="6" t="s">
        <v>22</v>
      </c>
      <c r="SA19" s="6" t="s">
        <v>16</v>
      </c>
      <c r="SB19" s="6" t="s">
        <v>22</v>
      </c>
      <c r="SC19" s="6" t="s">
        <v>22</v>
      </c>
      <c r="SD19" s="6" t="s">
        <v>27</v>
      </c>
      <c r="SE19" s="6" t="s">
        <v>16</v>
      </c>
      <c r="SF19" s="6" t="s">
        <v>22</v>
      </c>
      <c r="SG19" s="6" t="s">
        <v>65</v>
      </c>
      <c r="SH19" s="6" t="s">
        <v>22</v>
      </c>
      <c r="SI19" s="6" t="s">
        <v>16</v>
      </c>
      <c r="SJ19" s="6" t="s">
        <v>22</v>
      </c>
      <c r="SK19" s="6" t="s">
        <v>22</v>
      </c>
      <c r="SL19" s="6" t="s">
        <v>16</v>
      </c>
      <c r="SM19" s="6" t="s">
        <v>27</v>
      </c>
      <c r="SN19" s="6" t="s">
        <v>16</v>
      </c>
      <c r="SO19" s="6" t="s">
        <v>27</v>
      </c>
      <c r="SP19" s="6" t="s">
        <v>27</v>
      </c>
      <c r="SQ19" s="6" t="s">
        <v>16</v>
      </c>
      <c r="SR19" s="6" t="s">
        <v>27</v>
      </c>
      <c r="SS19" s="6" t="s">
        <v>16</v>
      </c>
      <c r="ST19" s="6" t="s">
        <v>27</v>
      </c>
      <c r="SU19" s="6" t="s">
        <v>22</v>
      </c>
      <c r="SV19" s="6" t="s">
        <v>16</v>
      </c>
      <c r="SW19" s="6" t="s">
        <v>27</v>
      </c>
      <c r="SX19" s="6" t="s">
        <v>65</v>
      </c>
      <c r="SY19" s="6" t="s">
        <v>16</v>
      </c>
      <c r="SZ19" s="6" t="s">
        <v>27</v>
      </c>
      <c r="TA19" s="6" t="s">
        <v>16</v>
      </c>
      <c r="TB19" s="6" t="s">
        <v>27</v>
      </c>
      <c r="TC19" s="6" t="s">
        <v>16</v>
      </c>
      <c r="TD19" s="6" t="s">
        <v>27</v>
      </c>
      <c r="TE19" s="6" t="s">
        <v>16</v>
      </c>
      <c r="TF19" s="6" t="s">
        <v>16</v>
      </c>
      <c r="TG19" s="6" t="s">
        <v>65</v>
      </c>
      <c r="TH19" s="6" t="s">
        <v>22</v>
      </c>
      <c r="TI19" s="6" t="s">
        <v>16</v>
      </c>
      <c r="TJ19" s="6" t="s">
        <v>16</v>
      </c>
      <c r="TK19" s="6" t="s">
        <v>27</v>
      </c>
      <c r="TL19" s="6" t="s">
        <v>16</v>
      </c>
      <c r="TM19" s="6" t="s">
        <v>65</v>
      </c>
      <c r="TN19" s="6" t="s">
        <v>22</v>
      </c>
      <c r="TO19" s="6" t="s">
        <v>22</v>
      </c>
      <c r="TP19" s="6" t="s">
        <v>16</v>
      </c>
      <c r="TQ19" s="6" t="s">
        <v>16</v>
      </c>
      <c r="TR19" s="6" t="s">
        <v>22</v>
      </c>
      <c r="TS19" s="6" t="s">
        <v>22</v>
      </c>
      <c r="TT19" s="6" t="s">
        <v>16</v>
      </c>
      <c r="TU19" s="6" t="s">
        <v>27</v>
      </c>
      <c r="TV19" s="6" t="s">
        <v>16</v>
      </c>
      <c r="TW19" s="6" t="s">
        <v>16</v>
      </c>
      <c r="TX19" s="6" t="s">
        <v>27</v>
      </c>
      <c r="TY19" s="6" t="s">
        <v>16</v>
      </c>
      <c r="TZ19" s="6" t="s">
        <v>27</v>
      </c>
      <c r="UA19" s="6" t="s">
        <v>16</v>
      </c>
      <c r="UB19" s="6" t="s">
        <v>27</v>
      </c>
      <c r="UC19" s="6" t="s">
        <v>27</v>
      </c>
      <c r="UD19" s="6" t="s">
        <v>16</v>
      </c>
      <c r="UE19" s="6" t="s">
        <v>27</v>
      </c>
      <c r="UF19" s="6" t="s">
        <v>16</v>
      </c>
      <c r="UG19" s="6" t="s">
        <v>27</v>
      </c>
      <c r="UH19" s="6" t="s">
        <v>16</v>
      </c>
      <c r="UI19" s="6" t="s">
        <v>27</v>
      </c>
      <c r="UJ19" s="6" t="s">
        <v>27</v>
      </c>
      <c r="UK19" s="6" t="s">
        <v>16</v>
      </c>
      <c r="UL19" s="6" t="s">
        <v>27</v>
      </c>
      <c r="UM19" s="6" t="s">
        <v>65</v>
      </c>
      <c r="UN19" s="6" t="s">
        <v>65</v>
      </c>
      <c r="UO19" s="6" t="s">
        <v>16</v>
      </c>
      <c r="UP19" s="6" t="s">
        <v>22</v>
      </c>
      <c r="UQ19" s="6" t="s">
        <v>27</v>
      </c>
      <c r="UR19" s="6" t="s">
        <v>27</v>
      </c>
      <c r="US19" s="6" t="s">
        <v>22</v>
      </c>
      <c r="UT19" s="6" t="s">
        <v>16</v>
      </c>
      <c r="UU19" s="6" t="s">
        <v>27</v>
      </c>
      <c r="UV19" s="6" t="s">
        <v>16</v>
      </c>
      <c r="UW19" s="6" t="s">
        <v>27</v>
      </c>
      <c r="UX19" s="6" t="s">
        <v>22</v>
      </c>
      <c r="UY19" s="6" t="s">
        <v>16</v>
      </c>
      <c r="UZ19" s="6" t="s">
        <v>27</v>
      </c>
      <c r="VA19" s="6" t="s">
        <v>27</v>
      </c>
      <c r="VB19" s="6" t="s">
        <v>22</v>
      </c>
      <c r="VC19" s="6" t="s">
        <v>16</v>
      </c>
      <c r="VD19" s="6" t="s">
        <v>16</v>
      </c>
      <c r="VE19" s="6" t="s">
        <v>16</v>
      </c>
      <c r="VF19" s="6" t="s">
        <v>27</v>
      </c>
      <c r="VG19" s="6" t="s">
        <v>27</v>
      </c>
      <c r="VH19" s="6" t="s">
        <v>27</v>
      </c>
      <c r="VI19" s="6" t="s">
        <v>22</v>
      </c>
      <c r="VJ19" s="6" t="s">
        <v>16</v>
      </c>
      <c r="VK19" s="6" t="s">
        <v>65</v>
      </c>
      <c r="VL19" s="6" t="s">
        <v>22</v>
      </c>
      <c r="VM19" s="6" t="s">
        <v>16</v>
      </c>
      <c r="VN19" s="6" t="s">
        <v>22</v>
      </c>
      <c r="VO19" s="6" t="s">
        <v>22</v>
      </c>
      <c r="VP19" s="6" t="s">
        <v>27</v>
      </c>
      <c r="VQ19" s="6" t="s">
        <v>16</v>
      </c>
      <c r="VR19" s="6" t="s">
        <v>22</v>
      </c>
      <c r="VS19" s="6" t="s">
        <v>16</v>
      </c>
      <c r="VT19" s="6" t="s">
        <v>27</v>
      </c>
      <c r="VU19" s="6" t="s">
        <v>22</v>
      </c>
      <c r="VV19" s="6" t="s">
        <v>16</v>
      </c>
      <c r="VW19" s="6" t="s">
        <v>22</v>
      </c>
      <c r="VX19" s="6" t="s">
        <v>65</v>
      </c>
      <c r="VY19" s="6" t="s">
        <v>27</v>
      </c>
      <c r="VZ19" s="6" t="s">
        <v>22</v>
      </c>
      <c r="WA19" s="6" t="s">
        <v>16</v>
      </c>
      <c r="WB19" s="6" t="s">
        <v>16</v>
      </c>
      <c r="WC19" s="6" t="s">
        <v>16</v>
      </c>
      <c r="WD19" s="6" t="s">
        <v>22</v>
      </c>
      <c r="WE19" s="6" t="s">
        <v>65</v>
      </c>
      <c r="WF19" s="6" t="s">
        <v>16</v>
      </c>
      <c r="WG19" s="6" t="s">
        <v>16</v>
      </c>
      <c r="WH19" s="6" t="s">
        <v>16</v>
      </c>
      <c r="WI19" s="6" t="s">
        <v>27</v>
      </c>
      <c r="WJ19" s="6" t="s">
        <v>27</v>
      </c>
      <c r="WK19" s="6" t="s">
        <v>27</v>
      </c>
      <c r="WL19" s="6" t="s">
        <v>22</v>
      </c>
      <c r="WM19" s="6" t="s">
        <v>16</v>
      </c>
      <c r="WN19" s="6" t="s">
        <v>27</v>
      </c>
      <c r="WO19" s="6" t="s">
        <v>22</v>
      </c>
      <c r="WP19" s="6" t="s">
        <v>16</v>
      </c>
      <c r="WQ19" s="6" t="s">
        <v>27</v>
      </c>
      <c r="WR19" s="6" t="s">
        <v>27</v>
      </c>
      <c r="WS19" s="6" t="s">
        <v>27</v>
      </c>
      <c r="WT19" s="6" t="s">
        <v>16</v>
      </c>
      <c r="WU19" s="6" t="s">
        <v>22</v>
      </c>
      <c r="WV19" s="6" t="s">
        <v>16</v>
      </c>
      <c r="WW19" s="6" t="s">
        <v>16</v>
      </c>
      <c r="WX19" s="6" t="s">
        <v>27</v>
      </c>
      <c r="WY19" s="6" t="s">
        <v>22</v>
      </c>
      <c r="WZ19" s="6" t="s">
        <v>22</v>
      </c>
      <c r="XA19" s="6" t="s">
        <v>22</v>
      </c>
      <c r="XB19" s="6" t="s">
        <v>27</v>
      </c>
      <c r="XC19" s="6" t="s">
        <v>65</v>
      </c>
      <c r="XD19" s="6" t="s">
        <v>27</v>
      </c>
      <c r="XE19" s="6" t="s">
        <v>22</v>
      </c>
      <c r="XF19" s="6" t="s">
        <v>16</v>
      </c>
      <c r="XG19" s="6" t="s">
        <v>16</v>
      </c>
      <c r="XH19" s="6" t="s">
        <v>16</v>
      </c>
      <c r="XI19" s="6" t="s">
        <v>65</v>
      </c>
      <c r="XJ19" s="6" t="s">
        <v>22</v>
      </c>
      <c r="XK19" s="6" t="s">
        <v>22</v>
      </c>
      <c r="XL19" s="6" t="s">
        <v>22</v>
      </c>
      <c r="XM19" s="6" t="s">
        <v>27</v>
      </c>
      <c r="XN19" s="6" t="s">
        <v>65</v>
      </c>
      <c r="XO19" s="6" t="s">
        <v>22</v>
      </c>
      <c r="XP19" s="6" t="s">
        <v>16</v>
      </c>
      <c r="XQ19" s="6" t="s">
        <v>27</v>
      </c>
      <c r="XR19" s="6" t="s">
        <v>65</v>
      </c>
      <c r="XS19" s="6" t="s">
        <v>22</v>
      </c>
      <c r="XT19" s="6" t="s">
        <v>16</v>
      </c>
      <c r="XU19" s="6" t="s">
        <v>27</v>
      </c>
      <c r="XV19" s="6" t="s">
        <v>16</v>
      </c>
      <c r="XW19" s="6" t="s">
        <v>22</v>
      </c>
      <c r="XX19" s="6" t="s">
        <v>16</v>
      </c>
      <c r="XY19" s="6" t="s">
        <v>27</v>
      </c>
      <c r="XZ19" s="6" t="s">
        <v>65</v>
      </c>
      <c r="YA19" s="6" t="s">
        <v>27</v>
      </c>
      <c r="YB19" s="6" t="s">
        <v>16</v>
      </c>
      <c r="YC19" s="6" t="s">
        <v>27</v>
      </c>
      <c r="YD19" s="6" t="s">
        <v>16</v>
      </c>
      <c r="YE19" s="6" t="s">
        <v>16</v>
      </c>
      <c r="YF19" s="6" t="s">
        <v>65</v>
      </c>
      <c r="YG19" s="6" t="s">
        <v>27</v>
      </c>
      <c r="YH19" s="6" t="s">
        <v>22</v>
      </c>
      <c r="YI19" s="6" t="s">
        <v>16</v>
      </c>
      <c r="YJ19" s="6" t="s">
        <v>27</v>
      </c>
      <c r="YK19" s="6" t="s">
        <v>22</v>
      </c>
      <c r="YL19" s="6" t="s">
        <v>27</v>
      </c>
      <c r="YM19" s="6" t="s">
        <v>16</v>
      </c>
      <c r="YN19" s="6" t="s">
        <v>22</v>
      </c>
      <c r="YO19" s="6" t="s">
        <v>65</v>
      </c>
      <c r="YP19" s="6" t="s">
        <v>16</v>
      </c>
      <c r="YQ19" s="6" t="s">
        <v>16</v>
      </c>
      <c r="YR19" s="6" t="s">
        <v>16</v>
      </c>
      <c r="YS19" s="6" t="s">
        <v>27</v>
      </c>
      <c r="YT19" s="6" t="s">
        <v>65</v>
      </c>
      <c r="YU19" s="6" t="s">
        <v>27</v>
      </c>
      <c r="YV19" s="6" t="s">
        <v>16</v>
      </c>
      <c r="YW19" s="6" t="s">
        <v>22</v>
      </c>
      <c r="YX19" s="6" t="s">
        <v>27</v>
      </c>
      <c r="YY19" s="6" t="s">
        <v>16</v>
      </c>
      <c r="YZ19" s="6" t="s">
        <v>22</v>
      </c>
      <c r="ZA19" s="6" t="s">
        <v>16</v>
      </c>
      <c r="ZB19" s="6" t="s">
        <v>22</v>
      </c>
      <c r="ZC19" s="6" t="s">
        <v>65</v>
      </c>
      <c r="ZD19" s="6" t="s">
        <v>16</v>
      </c>
      <c r="ZE19" s="6" t="s">
        <v>22</v>
      </c>
      <c r="ZF19" s="6" t="s">
        <v>16</v>
      </c>
      <c r="ZG19" s="6" t="s">
        <v>16</v>
      </c>
      <c r="ZH19" s="6" t="s">
        <v>22</v>
      </c>
      <c r="ZI19" s="6" t="s">
        <v>22</v>
      </c>
      <c r="ZJ19" s="6" t="s">
        <v>27</v>
      </c>
      <c r="ZK19" s="6" t="s">
        <v>16</v>
      </c>
      <c r="ZL19" s="6" t="s">
        <v>16</v>
      </c>
      <c r="ZM19" s="6" t="s">
        <v>22</v>
      </c>
      <c r="ZN19" s="6" t="s">
        <v>65</v>
      </c>
      <c r="ZO19" s="6" t="s">
        <v>27</v>
      </c>
      <c r="ZP19" s="6" t="s">
        <v>16</v>
      </c>
      <c r="ZQ19" s="6" t="s">
        <v>16</v>
      </c>
      <c r="ZR19" s="6" t="s">
        <v>27</v>
      </c>
      <c r="ZS19" s="6" t="s">
        <v>27</v>
      </c>
      <c r="ZT19" s="6" t="s">
        <v>27</v>
      </c>
      <c r="ZU19" s="6" t="s">
        <v>16</v>
      </c>
      <c r="ZV19" s="6" t="s">
        <v>22</v>
      </c>
      <c r="ZW19" s="6" t="s">
        <v>27</v>
      </c>
      <c r="ZX19" s="6" t="s">
        <v>27</v>
      </c>
      <c r="ZY19" s="6" t="s">
        <v>27</v>
      </c>
      <c r="ZZ19" s="6" t="s">
        <v>22</v>
      </c>
      <c r="AAA19" s="6" t="s">
        <v>27</v>
      </c>
      <c r="AAB19" s="6" t="s">
        <v>27</v>
      </c>
      <c r="AAC19" s="6" t="s">
        <v>22</v>
      </c>
      <c r="AAD19" s="6" t="s">
        <v>16</v>
      </c>
      <c r="AAE19" s="6" t="s">
        <v>65</v>
      </c>
      <c r="AAF19" s="6" t="s">
        <v>65</v>
      </c>
      <c r="AAG19" s="6" t="s">
        <v>27</v>
      </c>
      <c r="AAH19" s="6" t="s">
        <v>22</v>
      </c>
      <c r="AAI19" s="6" t="s">
        <v>22</v>
      </c>
      <c r="AAJ19" s="6" t="s">
        <v>27</v>
      </c>
      <c r="AAK19" s="6" t="s">
        <v>22</v>
      </c>
      <c r="AAL19" s="6" t="s">
        <v>16</v>
      </c>
      <c r="AAM19" s="6" t="s">
        <v>27</v>
      </c>
      <c r="AAN19" s="6" t="s">
        <v>27</v>
      </c>
      <c r="AAO19" s="6" t="s">
        <v>65</v>
      </c>
      <c r="AAP19" s="6" t="s">
        <v>16</v>
      </c>
      <c r="AAQ19" s="6" t="s">
        <v>16</v>
      </c>
      <c r="AAR19" s="6" t="s">
        <v>65</v>
      </c>
      <c r="AAS19" s="6" t="s">
        <v>27</v>
      </c>
      <c r="AAT19" s="6" t="s">
        <v>27</v>
      </c>
      <c r="AAU19" s="6" t="s">
        <v>16</v>
      </c>
      <c r="AAV19" s="6" t="s">
        <v>16</v>
      </c>
      <c r="AAW19" s="6" t="s">
        <v>65</v>
      </c>
      <c r="AAX19" s="6" t="s">
        <v>27</v>
      </c>
      <c r="AAY19" s="6" t="s">
        <v>16</v>
      </c>
      <c r="AAZ19" s="6" t="s">
        <v>27</v>
      </c>
      <c r="ABA19" s="6" t="s">
        <v>16</v>
      </c>
      <c r="ABB19" s="6" t="s">
        <v>22</v>
      </c>
      <c r="ABC19" s="6" t="s">
        <v>27</v>
      </c>
      <c r="ABD19" s="6" t="s">
        <v>27</v>
      </c>
      <c r="ABE19" s="6" t="s">
        <v>27</v>
      </c>
      <c r="ABF19" s="6" t="s">
        <v>65</v>
      </c>
      <c r="ABG19" s="6" t="s">
        <v>27</v>
      </c>
      <c r="ABH19" s="6" t="s">
        <v>27</v>
      </c>
      <c r="ABI19" s="6" t="s">
        <v>16</v>
      </c>
      <c r="ABJ19" s="6" t="s">
        <v>16</v>
      </c>
      <c r="ABK19" s="6" t="s">
        <v>22</v>
      </c>
      <c r="ABL19" s="6" t="s">
        <v>22</v>
      </c>
      <c r="ABM19" s="6" t="s">
        <v>65</v>
      </c>
      <c r="ABN19" s="6" t="s">
        <v>27</v>
      </c>
      <c r="ABO19" s="6" t="s">
        <v>65</v>
      </c>
      <c r="ABP19" s="6" t="s">
        <v>27</v>
      </c>
      <c r="ABQ19" s="6" t="s">
        <v>16</v>
      </c>
      <c r="ABR19" s="6" t="s">
        <v>22</v>
      </c>
      <c r="ABS19" s="6" t="s">
        <v>27</v>
      </c>
      <c r="ABT19" s="6" t="s">
        <v>16</v>
      </c>
      <c r="ABU19" s="6" t="s">
        <v>22</v>
      </c>
      <c r="ABV19" s="6" t="s">
        <v>22</v>
      </c>
      <c r="ABW19" s="6" t="s">
        <v>16</v>
      </c>
      <c r="ABX19" s="6" t="s">
        <v>27</v>
      </c>
      <c r="ABY19" s="6" t="s">
        <v>22</v>
      </c>
      <c r="ABZ19" s="6" t="s">
        <v>65</v>
      </c>
      <c r="ACA19" s="6" t="s">
        <v>16</v>
      </c>
      <c r="ACB19" s="6" t="s">
        <v>22</v>
      </c>
      <c r="ACC19" s="6" t="s">
        <v>16</v>
      </c>
      <c r="ACD19" s="6" t="s">
        <v>65</v>
      </c>
      <c r="ACE19" s="6" t="s">
        <v>16</v>
      </c>
      <c r="ACF19" s="6" t="s">
        <v>22</v>
      </c>
      <c r="ACG19" s="6" t="s">
        <v>27</v>
      </c>
      <c r="ACH19" s="6" t="s">
        <v>27</v>
      </c>
      <c r="ACI19" s="6" t="s">
        <v>27</v>
      </c>
      <c r="ACJ19" s="6" t="s">
        <v>22</v>
      </c>
      <c r="ACK19" s="6" t="s">
        <v>27</v>
      </c>
      <c r="ACL19" s="6" t="s">
        <v>65</v>
      </c>
      <c r="ACM19" s="6" t="s">
        <v>65</v>
      </c>
      <c r="ACN19" s="6" t="s">
        <v>22</v>
      </c>
      <c r="ACO19" s="6" t="s">
        <v>27</v>
      </c>
      <c r="ACP19" s="6" t="s">
        <v>22</v>
      </c>
      <c r="ACQ19" s="6" t="s">
        <v>16</v>
      </c>
      <c r="ACR19" s="6" t="s">
        <v>16</v>
      </c>
      <c r="ACS19" s="6" t="s">
        <v>16</v>
      </c>
      <c r="ACT19" s="6" t="s">
        <v>22</v>
      </c>
      <c r="ACU19" s="6" t="s">
        <v>16</v>
      </c>
      <c r="ACV19" s="6" t="s">
        <v>27</v>
      </c>
      <c r="ACW19" s="6" t="s">
        <v>22</v>
      </c>
      <c r="ACX19" s="6" t="s">
        <v>27</v>
      </c>
      <c r="ACY19" s="6" t="s">
        <v>16</v>
      </c>
      <c r="ACZ19" s="6" t="s">
        <v>16</v>
      </c>
      <c r="ADA19" s="6" t="s">
        <v>27</v>
      </c>
      <c r="ADB19" s="6" t="s">
        <v>22</v>
      </c>
      <c r="ADC19" s="6" t="s">
        <v>27</v>
      </c>
      <c r="ADD19" s="6" t="s">
        <v>22</v>
      </c>
      <c r="ADE19" s="6" t="s">
        <v>27</v>
      </c>
      <c r="ADF19" s="6" t="s">
        <v>22</v>
      </c>
      <c r="ADG19" s="6" t="s">
        <v>22</v>
      </c>
      <c r="ADH19" s="6" t="s">
        <v>16</v>
      </c>
      <c r="ADI19" s="6" t="s">
        <v>22</v>
      </c>
      <c r="ADJ19" s="6" t="s">
        <v>22</v>
      </c>
      <c r="ADK19" s="6" t="s">
        <v>65</v>
      </c>
      <c r="ADL19" s="6" t="s">
        <v>27</v>
      </c>
      <c r="ADM19" s="6" t="s">
        <v>27</v>
      </c>
      <c r="ADN19" s="6" t="s">
        <v>65</v>
      </c>
      <c r="ADO19" s="6" t="s">
        <v>65</v>
      </c>
      <c r="ADP19" s="6" t="s">
        <v>27</v>
      </c>
      <c r="ADQ19" s="6" t="s">
        <v>65</v>
      </c>
      <c r="ADR19" s="6" t="s">
        <v>16</v>
      </c>
      <c r="ADS19" s="6" t="s">
        <v>16</v>
      </c>
      <c r="ADT19" s="6" t="s">
        <v>22</v>
      </c>
      <c r="ADU19" s="6" t="s">
        <v>27</v>
      </c>
      <c r="ADV19" s="6" t="s">
        <v>27</v>
      </c>
      <c r="ADW19" s="6" t="s">
        <v>22</v>
      </c>
      <c r="ADX19" s="6" t="s">
        <v>65</v>
      </c>
      <c r="ADY19" s="6" t="s">
        <v>22</v>
      </c>
      <c r="ADZ19" s="6" t="s">
        <v>27</v>
      </c>
      <c r="AEA19" s="6" t="s">
        <v>22</v>
      </c>
      <c r="AEB19" s="6" t="s">
        <v>16</v>
      </c>
      <c r="AEC19" s="6" t="s">
        <v>27</v>
      </c>
      <c r="AED19" s="6" t="s">
        <v>16</v>
      </c>
      <c r="AEE19" s="6" t="s">
        <v>16</v>
      </c>
      <c r="AEF19" s="6" t="s">
        <v>22</v>
      </c>
      <c r="AEG19" s="6" t="s">
        <v>27</v>
      </c>
      <c r="AEH19" s="6" t="s">
        <v>27</v>
      </c>
      <c r="AEI19" s="6" t="s">
        <v>27</v>
      </c>
      <c r="AEJ19" s="6" t="s">
        <v>22</v>
      </c>
      <c r="AEK19" s="6" t="s">
        <v>16</v>
      </c>
      <c r="AEL19" s="6" t="s">
        <v>27</v>
      </c>
      <c r="AEM19" s="6" t="s">
        <v>27</v>
      </c>
      <c r="AEN19" s="6" t="s">
        <v>27</v>
      </c>
      <c r="AEO19" s="6" t="s">
        <v>22</v>
      </c>
      <c r="AEP19" s="6" t="s">
        <v>22</v>
      </c>
      <c r="AEQ19" s="6" t="s">
        <v>27</v>
      </c>
      <c r="AER19" s="6" t="s">
        <v>16</v>
      </c>
      <c r="AES19" s="6" t="s">
        <v>22</v>
      </c>
      <c r="AET19" s="6" t="s">
        <v>65</v>
      </c>
      <c r="AEU19" s="6" t="s">
        <v>22</v>
      </c>
      <c r="AEV19" s="6" t="s">
        <v>65</v>
      </c>
      <c r="AEW19" s="6" t="s">
        <v>27</v>
      </c>
      <c r="AEX19" s="6" t="s">
        <v>27</v>
      </c>
      <c r="AEY19" s="6" t="s">
        <v>22</v>
      </c>
      <c r="AEZ19" s="6" t="s">
        <v>27</v>
      </c>
      <c r="AFA19" s="6" t="s">
        <v>22</v>
      </c>
      <c r="AFB19" s="6" t="s">
        <v>65</v>
      </c>
      <c r="AFC19" s="6" t="s">
        <v>22</v>
      </c>
      <c r="AFD19" s="6" t="s">
        <v>22</v>
      </c>
      <c r="AFE19" s="6" t="s">
        <v>27</v>
      </c>
      <c r="AFF19" s="6" t="s">
        <v>16</v>
      </c>
      <c r="AFG19" s="6" t="s">
        <v>27</v>
      </c>
      <c r="AFH19" s="6" t="s">
        <v>65</v>
      </c>
      <c r="AFI19" s="6" t="s">
        <v>16</v>
      </c>
      <c r="AFJ19" s="6" t="s">
        <v>27</v>
      </c>
      <c r="AFK19" s="6" t="s">
        <v>16</v>
      </c>
      <c r="AFL19" s="6" t="s">
        <v>27</v>
      </c>
      <c r="AFM19" s="6" t="s">
        <v>16</v>
      </c>
      <c r="AFN19" s="6" t="s">
        <v>27</v>
      </c>
      <c r="AFO19" s="6" t="s">
        <v>16</v>
      </c>
      <c r="AFP19" s="6" t="s">
        <v>65</v>
      </c>
      <c r="AFQ19" s="6" t="s">
        <v>27</v>
      </c>
      <c r="AFR19" s="6" t="s">
        <v>27</v>
      </c>
      <c r="AFS19" s="6" t="s">
        <v>16</v>
      </c>
      <c r="AFT19" s="6" t="s">
        <v>27</v>
      </c>
      <c r="AFU19" s="6" t="s">
        <v>22</v>
      </c>
      <c r="AFV19" s="6" t="s">
        <v>22</v>
      </c>
      <c r="AFW19" s="6" t="s">
        <v>16</v>
      </c>
      <c r="AFX19" s="6" t="s">
        <v>65</v>
      </c>
      <c r="AFY19" s="6" t="s">
        <v>27</v>
      </c>
      <c r="AFZ19" s="6" t="s">
        <v>22</v>
      </c>
      <c r="AGA19" s="6" t="s">
        <v>16</v>
      </c>
      <c r="AGB19" s="6" t="s">
        <v>22</v>
      </c>
      <c r="AGC19" s="6" t="s">
        <v>27</v>
      </c>
      <c r="AGD19" s="6" t="s">
        <v>27</v>
      </c>
      <c r="AGE19" s="6" t="s">
        <v>27</v>
      </c>
      <c r="AGF19" s="6" t="s">
        <v>27</v>
      </c>
      <c r="AGG19" s="6" t="s">
        <v>27</v>
      </c>
      <c r="AGH19" s="6" t="s">
        <v>27</v>
      </c>
      <c r="AGI19" s="6" t="s">
        <v>27</v>
      </c>
      <c r="AGJ19" s="6" t="s">
        <v>22</v>
      </c>
      <c r="AGK19" s="6" t="s">
        <v>16</v>
      </c>
      <c r="AGL19" s="6" t="s">
        <v>27</v>
      </c>
      <c r="AGM19" s="6" t="s">
        <v>27</v>
      </c>
      <c r="AGN19" s="6" t="s">
        <v>27</v>
      </c>
      <c r="AGO19" s="6" t="s">
        <v>16</v>
      </c>
      <c r="AGP19" s="6" t="s">
        <v>16</v>
      </c>
      <c r="AGQ19" s="6" t="s">
        <v>65</v>
      </c>
      <c r="AGR19" s="6" t="s">
        <v>65</v>
      </c>
      <c r="AGS19" s="6" t="s">
        <v>65</v>
      </c>
      <c r="AGT19" s="6" t="s">
        <v>16</v>
      </c>
      <c r="AGU19" s="6" t="s">
        <v>27</v>
      </c>
      <c r="AGV19" s="6" t="s">
        <v>27</v>
      </c>
      <c r="AGW19" s="6" t="s">
        <v>27</v>
      </c>
      <c r="AGX19" s="6" t="s">
        <v>22</v>
      </c>
      <c r="AGY19" s="6" t="s">
        <v>65</v>
      </c>
      <c r="AGZ19" s="6" t="s">
        <v>22</v>
      </c>
      <c r="AHA19" s="6" t="s">
        <v>16</v>
      </c>
      <c r="AHB19" s="6" t="s">
        <v>65</v>
      </c>
      <c r="AHC19" s="6" t="s">
        <v>22</v>
      </c>
      <c r="AHD19" s="6" t="s">
        <v>22</v>
      </c>
      <c r="AHE19" s="6" t="s">
        <v>27</v>
      </c>
      <c r="AHF19" s="6" t="s">
        <v>27</v>
      </c>
      <c r="AHG19" s="6" t="s">
        <v>65</v>
      </c>
      <c r="AHH19" s="6" t="s">
        <v>16</v>
      </c>
      <c r="AHI19" s="6" t="s">
        <v>27</v>
      </c>
      <c r="AHJ19" s="6" t="s">
        <v>16</v>
      </c>
      <c r="AHK19" s="6" t="s">
        <v>27</v>
      </c>
      <c r="AHL19" s="6" t="s">
        <v>16</v>
      </c>
      <c r="AHM19" s="6" t="s">
        <v>27</v>
      </c>
      <c r="AHN19" s="6" t="s">
        <v>22</v>
      </c>
      <c r="AHO19" s="6" t="s">
        <v>27</v>
      </c>
      <c r="AHP19" s="6" t="s">
        <v>22</v>
      </c>
      <c r="AHQ19" s="6" t="s">
        <v>65</v>
      </c>
      <c r="AHR19" s="6" t="s">
        <v>65</v>
      </c>
      <c r="AHS19" s="6" t="s">
        <v>16</v>
      </c>
      <c r="AHT19" s="6" t="s">
        <v>22</v>
      </c>
      <c r="AHU19" s="6" t="s">
        <v>27</v>
      </c>
      <c r="AHV19" s="6" t="s">
        <v>22</v>
      </c>
      <c r="AHW19" s="6" t="s">
        <v>22</v>
      </c>
      <c r="AHX19" s="6" t="s">
        <v>16</v>
      </c>
      <c r="AHY19" s="6" t="s">
        <v>27</v>
      </c>
      <c r="AHZ19" s="6" t="s">
        <v>16</v>
      </c>
      <c r="AIA19" s="6" t="s">
        <v>22</v>
      </c>
      <c r="AIB19" s="6" t="s">
        <v>27</v>
      </c>
      <c r="AIC19" s="6" t="s">
        <v>27</v>
      </c>
      <c r="AID19" s="6" t="s">
        <v>16</v>
      </c>
      <c r="AIE19" s="6" t="s">
        <v>16</v>
      </c>
      <c r="AIF19" s="6" t="s">
        <v>27</v>
      </c>
      <c r="AIG19" s="6" t="s">
        <v>27</v>
      </c>
      <c r="AIH19" s="6" t="s">
        <v>27</v>
      </c>
      <c r="AII19" s="6" t="s">
        <v>22</v>
      </c>
      <c r="AIJ19" s="6" t="s">
        <v>16</v>
      </c>
      <c r="AIK19" s="6" t="s">
        <v>65</v>
      </c>
      <c r="AIL19" s="6" t="s">
        <v>27</v>
      </c>
      <c r="AIM19" s="6" t="s">
        <v>22</v>
      </c>
      <c r="AIN19" s="6" t="s">
        <v>27</v>
      </c>
      <c r="AIO19" s="6" t="s">
        <v>65</v>
      </c>
      <c r="AIP19" s="6" t="s">
        <v>27</v>
      </c>
      <c r="AIQ19" s="6" t="s">
        <v>27</v>
      </c>
      <c r="AIR19" s="6" t="s">
        <v>22</v>
      </c>
      <c r="AIS19" s="6" t="s">
        <v>27</v>
      </c>
      <c r="AIT19" s="6" t="s">
        <v>27</v>
      </c>
      <c r="AIU19" s="6" t="s">
        <v>22</v>
      </c>
      <c r="AIV19" s="6" t="s">
        <v>22</v>
      </c>
      <c r="AIW19" s="6" t="s">
        <v>22</v>
      </c>
      <c r="AIX19" s="6" t="s">
        <v>16</v>
      </c>
      <c r="AIY19" s="6" t="s">
        <v>16</v>
      </c>
      <c r="AIZ19" s="6" t="s">
        <v>27</v>
      </c>
      <c r="AJA19" s="6" t="s">
        <v>65</v>
      </c>
      <c r="AJB19" s="6" t="s">
        <v>16</v>
      </c>
      <c r="AJC19" s="6" t="s">
        <v>22</v>
      </c>
      <c r="AJD19" s="6" t="s">
        <v>22</v>
      </c>
      <c r="AJE19" s="6" t="s">
        <v>22</v>
      </c>
      <c r="AJF19" s="6" t="s">
        <v>27</v>
      </c>
      <c r="AJG19" s="6" t="s">
        <v>22</v>
      </c>
      <c r="AJH19" s="6" t="s">
        <v>16</v>
      </c>
      <c r="AJI19" s="6" t="s">
        <v>27</v>
      </c>
      <c r="AJJ19" s="6" t="s">
        <v>65</v>
      </c>
      <c r="AJK19" s="6" t="s">
        <v>22</v>
      </c>
      <c r="AJL19" s="6" t="s">
        <v>27</v>
      </c>
      <c r="AJM19" s="6" t="s">
        <v>27</v>
      </c>
      <c r="AJN19" s="6" t="s">
        <v>16</v>
      </c>
      <c r="AJO19" s="6" t="s">
        <v>22</v>
      </c>
      <c r="AJP19" s="6" t="s">
        <v>27</v>
      </c>
      <c r="AJQ19" s="6" t="s">
        <v>65</v>
      </c>
      <c r="AJR19" s="6" t="s">
        <v>16</v>
      </c>
      <c r="AJS19" s="6" t="s">
        <v>16</v>
      </c>
      <c r="AJT19" s="6" t="s">
        <v>27</v>
      </c>
      <c r="AJU19" s="6" t="s">
        <v>22</v>
      </c>
      <c r="AJV19" s="6" t="s">
        <v>27</v>
      </c>
      <c r="AJW19" s="6" t="s">
        <v>65</v>
      </c>
      <c r="AJX19" s="6" t="s">
        <v>27</v>
      </c>
      <c r="AJY19" s="6" t="s">
        <v>22</v>
      </c>
      <c r="AJZ19" s="6" t="s">
        <v>16</v>
      </c>
      <c r="AKA19" s="6" t="s">
        <v>65</v>
      </c>
      <c r="AKB19" s="6" t="s">
        <v>27</v>
      </c>
      <c r="AKC19" s="6" t="s">
        <v>22</v>
      </c>
      <c r="AKD19" s="6" t="s">
        <v>16</v>
      </c>
      <c r="AKE19" s="6" t="s">
        <v>16</v>
      </c>
      <c r="AKF19" s="6" t="s">
        <v>16</v>
      </c>
      <c r="AKG19" s="6" t="s">
        <v>27</v>
      </c>
      <c r="AKH19" s="6" t="s">
        <v>27</v>
      </c>
      <c r="AKI19" s="6" t="s">
        <v>27</v>
      </c>
      <c r="AKJ19" s="6" t="s">
        <v>27</v>
      </c>
      <c r="AKK19" s="6" t="s">
        <v>16</v>
      </c>
      <c r="AKL19" s="6" t="s">
        <v>27</v>
      </c>
      <c r="AKM19" s="6" t="s">
        <v>22</v>
      </c>
      <c r="AKN19" s="6" t="s">
        <v>22</v>
      </c>
      <c r="AKO19" s="6" t="s">
        <v>16</v>
      </c>
      <c r="AKP19" s="6" t="s">
        <v>27</v>
      </c>
      <c r="AKQ19" s="6" t="s">
        <v>27</v>
      </c>
      <c r="AKR19" s="6" t="s">
        <v>16</v>
      </c>
      <c r="AKS19" s="6" t="s">
        <v>22</v>
      </c>
      <c r="AKT19" s="6" t="s">
        <v>65</v>
      </c>
      <c r="AKU19" s="6" t="s">
        <v>16</v>
      </c>
      <c r="AKV19" s="6" t="s">
        <v>27</v>
      </c>
      <c r="AKW19" s="6" t="s">
        <v>27</v>
      </c>
      <c r="AKX19" s="6" t="s">
        <v>65</v>
      </c>
      <c r="AKY19" s="6" t="s">
        <v>27</v>
      </c>
      <c r="AKZ19" s="6" t="s">
        <v>27</v>
      </c>
      <c r="ALA19" s="6" t="s">
        <v>27</v>
      </c>
      <c r="ALB19" s="6" t="s">
        <v>16</v>
      </c>
      <c r="ALC19" s="6" t="s">
        <v>27</v>
      </c>
      <c r="ALD19" s="6" t="s">
        <v>27</v>
      </c>
      <c r="ALE19" s="6" t="s">
        <v>27</v>
      </c>
      <c r="ALF19" s="6" t="s">
        <v>27</v>
      </c>
      <c r="ALG19" s="6" t="s">
        <v>16</v>
      </c>
      <c r="ALH19" s="6" t="s">
        <v>16</v>
      </c>
      <c r="ALI19" s="6" t="s">
        <v>65</v>
      </c>
      <c r="ALJ19" s="6" t="s">
        <v>22</v>
      </c>
      <c r="ALK19" s="6" t="s">
        <v>16</v>
      </c>
      <c r="ALL19" s="6" t="s">
        <v>22</v>
      </c>
      <c r="ALM19" s="6" t="s">
        <v>27</v>
      </c>
      <c r="ALN19" s="6" t="s">
        <v>65</v>
      </c>
      <c r="ALO19" s="6" t="s">
        <v>16</v>
      </c>
      <c r="ALP19" s="6" t="s">
        <v>22</v>
      </c>
      <c r="ALQ19" s="6" t="s">
        <v>22</v>
      </c>
      <c r="ALR19" s="6" t="s">
        <v>27</v>
      </c>
      <c r="ALS19" s="6" t="s">
        <v>65</v>
      </c>
      <c r="ALT19" s="6" t="s">
        <v>22</v>
      </c>
      <c r="ALU19" s="6" t="s">
        <v>27</v>
      </c>
      <c r="ALV19" s="6" t="s">
        <v>16</v>
      </c>
      <c r="ALW19" s="6" t="s">
        <v>16</v>
      </c>
      <c r="ALX19" s="6" t="s">
        <v>27</v>
      </c>
    </row>
    <row r="20" spans="1:1012" x14ac:dyDescent="0.3">
      <c r="A20" s="6" t="s">
        <v>57</v>
      </c>
      <c r="B20" s="6" t="s">
        <v>24</v>
      </c>
      <c r="C20" s="7">
        <v>32</v>
      </c>
      <c r="D20" s="5" t="s">
        <v>18</v>
      </c>
      <c r="E20" s="6" t="s">
        <v>13</v>
      </c>
      <c r="F20" s="6" t="s">
        <v>56</v>
      </c>
      <c r="G20" s="5">
        <v>5</v>
      </c>
      <c r="H20" s="8">
        <v>45122</v>
      </c>
      <c r="I20" s="6" t="s">
        <v>15</v>
      </c>
      <c r="J20" s="6" t="s">
        <v>27</v>
      </c>
    </row>
    <row r="21" spans="1:1012" x14ac:dyDescent="0.3">
      <c r="A21" s="6" t="s">
        <v>58</v>
      </c>
      <c r="B21" s="6" t="s">
        <v>11</v>
      </c>
      <c r="C21" s="7">
        <v>36</v>
      </c>
      <c r="D21" s="5" t="s">
        <v>12</v>
      </c>
      <c r="E21" s="6" t="s">
        <v>19</v>
      </c>
      <c r="F21" s="6" t="s">
        <v>54</v>
      </c>
      <c r="G21" s="5">
        <v>19</v>
      </c>
      <c r="H21" s="8">
        <v>44721</v>
      </c>
      <c r="I21" s="6" t="s">
        <v>29</v>
      </c>
      <c r="J21" s="6" t="s">
        <v>22</v>
      </c>
      <c r="L21" s="10" t="s">
        <v>0</v>
      </c>
      <c r="M21" s="10" t="s">
        <v>1</v>
      </c>
      <c r="N21" s="10" t="s">
        <v>9</v>
      </c>
    </row>
    <row r="22" spans="1:1012" x14ac:dyDescent="0.3">
      <c r="A22" s="6" t="s">
        <v>59</v>
      </c>
      <c r="B22" s="6" t="s">
        <v>31</v>
      </c>
      <c r="C22" s="7">
        <v>30</v>
      </c>
      <c r="D22" s="5" t="s">
        <v>18</v>
      </c>
      <c r="E22" s="6" t="s">
        <v>19</v>
      </c>
      <c r="F22" s="6" t="s">
        <v>14</v>
      </c>
      <c r="G22" s="5">
        <v>4</v>
      </c>
      <c r="H22" s="8">
        <v>45172</v>
      </c>
      <c r="I22" s="6" t="s">
        <v>47</v>
      </c>
      <c r="J22" s="6" t="s">
        <v>27</v>
      </c>
      <c r="L22" s="6" t="s">
        <v>28</v>
      </c>
      <c r="M22" s="5" t="str">
        <f>HLOOKUP(L22,L10:ALX19,2,FALSE)</f>
        <v>Amazon Prime</v>
      </c>
      <c r="N22" s="5" t="str">
        <f>HLOOKUP(L22,L10:ALX19,10,FALSE)</f>
        <v>Standard</v>
      </c>
    </row>
    <row r="23" spans="1:1012" x14ac:dyDescent="0.3">
      <c r="A23" s="6" t="s">
        <v>60</v>
      </c>
      <c r="B23" s="6" t="s">
        <v>61</v>
      </c>
      <c r="C23" s="7">
        <v>33</v>
      </c>
      <c r="D23" s="5" t="s">
        <v>18</v>
      </c>
      <c r="E23" s="6" t="s">
        <v>19</v>
      </c>
      <c r="F23" s="6" t="s">
        <v>56</v>
      </c>
      <c r="G23" s="5">
        <v>40</v>
      </c>
      <c r="H23" s="8">
        <v>44070</v>
      </c>
      <c r="I23" s="6" t="s">
        <v>62</v>
      </c>
      <c r="J23" s="6" t="s">
        <v>16</v>
      </c>
    </row>
    <row r="24" spans="1:1012" x14ac:dyDescent="0.3">
      <c r="A24" s="6" t="s">
        <v>63</v>
      </c>
      <c r="B24" s="6" t="s">
        <v>42</v>
      </c>
      <c r="C24" s="7">
        <v>39</v>
      </c>
      <c r="D24" s="5" t="s">
        <v>12</v>
      </c>
      <c r="E24" s="6" t="s">
        <v>19</v>
      </c>
      <c r="F24" s="6" t="s">
        <v>64</v>
      </c>
      <c r="G24" s="5">
        <v>43</v>
      </c>
      <c r="H24" s="8">
        <v>43991</v>
      </c>
      <c r="I24" s="6" t="s">
        <v>39</v>
      </c>
      <c r="J24" s="6" t="s">
        <v>65</v>
      </c>
    </row>
    <row r="25" spans="1:1012" x14ac:dyDescent="0.3">
      <c r="A25" s="6" t="s">
        <v>66</v>
      </c>
      <c r="B25" s="6" t="s">
        <v>42</v>
      </c>
      <c r="C25" s="7">
        <v>35</v>
      </c>
      <c r="D25" s="5" t="s">
        <v>12</v>
      </c>
      <c r="E25" s="6" t="s">
        <v>19</v>
      </c>
      <c r="F25" s="6" t="s">
        <v>20</v>
      </c>
      <c r="G25" s="5">
        <v>19</v>
      </c>
      <c r="H25" s="8">
        <v>44716</v>
      </c>
      <c r="I25" s="6" t="s">
        <v>39</v>
      </c>
      <c r="J25" s="6" t="s">
        <v>22</v>
      </c>
    </row>
    <row r="26" spans="1:1012" x14ac:dyDescent="0.3">
      <c r="A26" s="6" t="s">
        <v>67</v>
      </c>
      <c r="B26" s="6" t="s">
        <v>31</v>
      </c>
      <c r="C26" s="7">
        <v>26</v>
      </c>
      <c r="D26" s="5" t="s">
        <v>18</v>
      </c>
      <c r="E26" s="6" t="s">
        <v>19</v>
      </c>
      <c r="F26" s="6" t="s">
        <v>64</v>
      </c>
      <c r="G26" s="5">
        <v>23</v>
      </c>
      <c r="H26" s="8">
        <v>44590</v>
      </c>
      <c r="I26" s="6" t="s">
        <v>21</v>
      </c>
      <c r="J26" s="6" t="s">
        <v>22</v>
      </c>
    </row>
    <row r="27" spans="1:1012" x14ac:dyDescent="0.3">
      <c r="A27" s="6" t="s">
        <v>68</v>
      </c>
      <c r="B27" s="6" t="s">
        <v>31</v>
      </c>
      <c r="C27" s="7">
        <v>29</v>
      </c>
      <c r="D27" s="5" t="s">
        <v>18</v>
      </c>
      <c r="E27" s="6" t="s">
        <v>19</v>
      </c>
      <c r="F27" s="6" t="s">
        <v>14</v>
      </c>
      <c r="G27" s="5">
        <v>3</v>
      </c>
      <c r="H27" s="8">
        <v>45184</v>
      </c>
      <c r="I27" s="6" t="s">
        <v>29</v>
      </c>
      <c r="J27" s="6" t="s">
        <v>27</v>
      </c>
    </row>
    <row r="28" spans="1:1012" x14ac:dyDescent="0.3">
      <c r="A28" s="6" t="s">
        <v>69</v>
      </c>
      <c r="B28" s="6" t="s">
        <v>24</v>
      </c>
      <c r="C28" s="7">
        <v>47</v>
      </c>
      <c r="D28" s="5" t="s">
        <v>46</v>
      </c>
      <c r="E28" s="6" t="s">
        <v>19</v>
      </c>
      <c r="F28" s="6" t="s">
        <v>20</v>
      </c>
      <c r="G28" s="5">
        <v>25</v>
      </c>
      <c r="H28" s="8">
        <v>44517</v>
      </c>
      <c r="I28" s="6" t="s">
        <v>49</v>
      </c>
      <c r="J28" s="6" t="s">
        <v>16</v>
      </c>
    </row>
    <row r="29" spans="1:1012" x14ac:dyDescent="0.3">
      <c r="A29" s="6" t="s">
        <v>70</v>
      </c>
      <c r="B29" s="6" t="s">
        <v>11</v>
      </c>
      <c r="C29" s="7">
        <v>26</v>
      </c>
      <c r="D29" s="5" t="s">
        <v>18</v>
      </c>
      <c r="E29" s="6" t="s">
        <v>19</v>
      </c>
      <c r="F29" s="6" t="s">
        <v>20</v>
      </c>
      <c r="G29" s="5">
        <v>29</v>
      </c>
      <c r="H29" s="8">
        <v>44401</v>
      </c>
      <c r="I29" s="6" t="s">
        <v>49</v>
      </c>
      <c r="J29" s="6" t="s">
        <v>22</v>
      </c>
    </row>
    <row r="30" spans="1:1012" x14ac:dyDescent="0.3">
      <c r="A30" s="6" t="s">
        <v>71</v>
      </c>
      <c r="B30" s="6" t="s">
        <v>24</v>
      </c>
      <c r="C30" s="7">
        <v>28</v>
      </c>
      <c r="D30" s="5" t="s">
        <v>18</v>
      </c>
      <c r="E30" s="6" t="s">
        <v>13</v>
      </c>
      <c r="F30" s="6" t="s">
        <v>20</v>
      </c>
      <c r="G30" s="5">
        <v>35</v>
      </c>
      <c r="H30" s="8">
        <v>44216</v>
      </c>
      <c r="I30" s="6" t="s">
        <v>26</v>
      </c>
      <c r="J30" s="6" t="s">
        <v>22</v>
      </c>
    </row>
    <row r="31" spans="1:1012" x14ac:dyDescent="0.3">
      <c r="A31" s="6" t="s">
        <v>72</v>
      </c>
      <c r="B31" s="6" t="s">
        <v>11</v>
      </c>
      <c r="C31" s="7">
        <v>28</v>
      </c>
      <c r="D31" s="5" t="s">
        <v>18</v>
      </c>
      <c r="E31" s="6" t="s">
        <v>13</v>
      </c>
      <c r="F31" s="6" t="s">
        <v>20</v>
      </c>
      <c r="G31" s="5">
        <v>11</v>
      </c>
      <c r="H31" s="8">
        <v>44961</v>
      </c>
      <c r="I31" s="6" t="s">
        <v>47</v>
      </c>
      <c r="J31" s="6" t="s">
        <v>16</v>
      </c>
    </row>
    <row r="32" spans="1:1012" x14ac:dyDescent="0.3">
      <c r="A32" s="6" t="s">
        <v>73</v>
      </c>
      <c r="B32" s="6" t="s">
        <v>31</v>
      </c>
      <c r="C32" s="7">
        <v>35</v>
      </c>
      <c r="D32" s="5" t="s">
        <v>12</v>
      </c>
      <c r="E32" s="6" t="s">
        <v>19</v>
      </c>
      <c r="F32" s="6" t="s">
        <v>25</v>
      </c>
      <c r="G32" s="5">
        <v>52</v>
      </c>
      <c r="H32" s="8">
        <v>43725</v>
      </c>
      <c r="I32" s="6" t="s">
        <v>29</v>
      </c>
      <c r="J32" s="6" t="s">
        <v>22</v>
      </c>
    </row>
    <row r="33" spans="1:10" x14ac:dyDescent="0.3">
      <c r="A33" s="6" t="s">
        <v>74</v>
      </c>
      <c r="B33" s="6" t="s">
        <v>61</v>
      </c>
      <c r="C33" s="7">
        <v>20</v>
      </c>
      <c r="D33" s="5" t="s">
        <v>32</v>
      </c>
      <c r="E33" s="6" t="s">
        <v>19</v>
      </c>
      <c r="F33" s="6" t="s">
        <v>36</v>
      </c>
      <c r="G33" s="5">
        <v>42</v>
      </c>
      <c r="H33" s="8">
        <v>44008</v>
      </c>
      <c r="I33" s="6" t="s">
        <v>62</v>
      </c>
      <c r="J33" s="6" t="s">
        <v>27</v>
      </c>
    </row>
    <row r="34" spans="1:10" x14ac:dyDescent="0.3">
      <c r="A34" s="6" t="s">
        <v>75</v>
      </c>
      <c r="B34" s="6" t="s">
        <v>24</v>
      </c>
      <c r="C34" s="7">
        <v>36</v>
      </c>
      <c r="D34" s="5" t="s">
        <v>12</v>
      </c>
      <c r="E34" s="6" t="s">
        <v>13</v>
      </c>
      <c r="F34" s="6" t="s">
        <v>36</v>
      </c>
      <c r="G34" s="5">
        <v>6</v>
      </c>
      <c r="H34" s="8">
        <v>45104</v>
      </c>
      <c r="I34" s="6" t="s">
        <v>21</v>
      </c>
      <c r="J34" s="6" t="s">
        <v>16</v>
      </c>
    </row>
    <row r="35" spans="1:10" x14ac:dyDescent="0.3">
      <c r="A35" s="6" t="s">
        <v>76</v>
      </c>
      <c r="B35" s="6" t="s">
        <v>11</v>
      </c>
      <c r="C35" s="7">
        <v>25</v>
      </c>
      <c r="D35" s="5" t="s">
        <v>18</v>
      </c>
      <c r="E35" s="6" t="s">
        <v>13</v>
      </c>
      <c r="F35" s="6" t="s">
        <v>20</v>
      </c>
      <c r="G35" s="5">
        <v>57</v>
      </c>
      <c r="H35" s="8">
        <v>43557</v>
      </c>
      <c r="I35" s="6" t="s">
        <v>49</v>
      </c>
      <c r="J35" s="6" t="s">
        <v>27</v>
      </c>
    </row>
    <row r="36" spans="1:10" x14ac:dyDescent="0.3">
      <c r="A36" s="6" t="s">
        <v>77</v>
      </c>
      <c r="B36" s="6" t="s">
        <v>42</v>
      </c>
      <c r="C36" s="7">
        <v>52</v>
      </c>
      <c r="D36" s="5" t="s">
        <v>46</v>
      </c>
      <c r="E36" s="6" t="s">
        <v>19</v>
      </c>
      <c r="F36" s="6" t="s">
        <v>64</v>
      </c>
      <c r="G36" s="5">
        <v>37</v>
      </c>
      <c r="H36" s="8">
        <v>44160</v>
      </c>
      <c r="I36" s="6" t="s">
        <v>62</v>
      </c>
      <c r="J36" s="6" t="s">
        <v>22</v>
      </c>
    </row>
    <row r="37" spans="1:10" x14ac:dyDescent="0.3">
      <c r="A37" s="6" t="s">
        <v>78</v>
      </c>
      <c r="B37" s="6" t="s">
        <v>61</v>
      </c>
      <c r="C37" s="7">
        <v>42</v>
      </c>
      <c r="D37" s="5" t="s">
        <v>12</v>
      </c>
      <c r="E37" s="6" t="s">
        <v>19</v>
      </c>
      <c r="F37" s="6" t="s">
        <v>64</v>
      </c>
      <c r="G37" s="5">
        <v>41</v>
      </c>
      <c r="H37" s="8">
        <v>44050</v>
      </c>
      <c r="I37" s="6" t="s">
        <v>47</v>
      </c>
      <c r="J37" s="6" t="s">
        <v>16</v>
      </c>
    </row>
    <row r="38" spans="1:10" x14ac:dyDescent="0.3">
      <c r="A38" s="6" t="s">
        <v>79</v>
      </c>
      <c r="B38" s="6" t="s">
        <v>42</v>
      </c>
      <c r="C38" s="7">
        <v>22</v>
      </c>
      <c r="D38" s="5" t="s">
        <v>32</v>
      </c>
      <c r="E38" s="6" t="s">
        <v>19</v>
      </c>
      <c r="F38" s="6" t="s">
        <v>14</v>
      </c>
      <c r="G38" s="5">
        <v>57</v>
      </c>
      <c r="H38" s="8">
        <v>43553</v>
      </c>
      <c r="I38" s="6" t="s">
        <v>29</v>
      </c>
      <c r="J38" s="6" t="s">
        <v>27</v>
      </c>
    </row>
    <row r="39" spans="1:10" x14ac:dyDescent="0.3">
      <c r="A39" s="6" t="s">
        <v>80</v>
      </c>
      <c r="B39" s="6" t="s">
        <v>31</v>
      </c>
      <c r="C39" s="7">
        <v>22</v>
      </c>
      <c r="D39" s="5" t="s">
        <v>32</v>
      </c>
      <c r="E39" s="6" t="s">
        <v>13</v>
      </c>
      <c r="F39" s="6" t="s">
        <v>54</v>
      </c>
      <c r="G39" s="5">
        <v>33</v>
      </c>
      <c r="H39" s="8">
        <v>44293</v>
      </c>
      <c r="I39" s="6" t="s">
        <v>29</v>
      </c>
      <c r="J39" s="6" t="s">
        <v>27</v>
      </c>
    </row>
    <row r="40" spans="1:10" x14ac:dyDescent="0.3">
      <c r="A40" s="6" t="s">
        <v>81</v>
      </c>
      <c r="B40" s="6" t="s">
        <v>61</v>
      </c>
      <c r="C40" s="7">
        <v>25</v>
      </c>
      <c r="D40" s="5" t="s">
        <v>18</v>
      </c>
      <c r="E40" s="6" t="s">
        <v>19</v>
      </c>
      <c r="F40" s="6" t="s">
        <v>64</v>
      </c>
      <c r="G40" s="5">
        <v>28</v>
      </c>
      <c r="H40" s="8">
        <v>44450</v>
      </c>
      <c r="I40" s="6" t="s">
        <v>15</v>
      </c>
      <c r="J40" s="6" t="s">
        <v>16</v>
      </c>
    </row>
    <row r="41" spans="1:10" x14ac:dyDescent="0.3">
      <c r="A41" s="6" t="s">
        <v>82</v>
      </c>
      <c r="B41" s="6" t="s">
        <v>31</v>
      </c>
      <c r="C41" s="7">
        <v>24</v>
      </c>
      <c r="D41" s="5" t="s">
        <v>32</v>
      </c>
      <c r="E41" s="6" t="s">
        <v>19</v>
      </c>
      <c r="F41" s="6" t="s">
        <v>56</v>
      </c>
      <c r="G41" s="5">
        <v>5</v>
      </c>
      <c r="H41" s="8">
        <v>45121</v>
      </c>
      <c r="I41" s="6" t="s">
        <v>62</v>
      </c>
      <c r="J41" s="6" t="s">
        <v>27</v>
      </c>
    </row>
    <row r="42" spans="1:10" x14ac:dyDescent="0.3">
      <c r="A42" s="6" t="s">
        <v>83</v>
      </c>
      <c r="B42" s="6" t="s">
        <v>61</v>
      </c>
      <c r="C42" s="7">
        <v>35</v>
      </c>
      <c r="D42" s="5" t="s">
        <v>12</v>
      </c>
      <c r="E42" s="6" t="s">
        <v>13</v>
      </c>
      <c r="F42" s="6" t="s">
        <v>33</v>
      </c>
      <c r="G42" s="5">
        <v>53</v>
      </c>
      <c r="H42" s="8">
        <v>43676</v>
      </c>
      <c r="I42" s="6" t="s">
        <v>26</v>
      </c>
      <c r="J42" s="6" t="s">
        <v>27</v>
      </c>
    </row>
    <row r="43" spans="1:10" x14ac:dyDescent="0.3">
      <c r="A43" s="6" t="s">
        <v>84</v>
      </c>
      <c r="B43" s="6" t="s">
        <v>11</v>
      </c>
      <c r="C43" s="7">
        <v>18</v>
      </c>
      <c r="D43" s="5" t="s">
        <v>32</v>
      </c>
      <c r="E43" s="6" t="s">
        <v>13</v>
      </c>
      <c r="F43" s="6" t="s">
        <v>25</v>
      </c>
      <c r="G43" s="5">
        <v>34</v>
      </c>
      <c r="H43" s="8">
        <v>44250</v>
      </c>
      <c r="I43" s="6" t="s">
        <v>34</v>
      </c>
      <c r="J43" s="6" t="s">
        <v>16</v>
      </c>
    </row>
    <row r="44" spans="1:10" x14ac:dyDescent="0.3">
      <c r="A44" s="6" t="s">
        <v>85</v>
      </c>
      <c r="B44" s="6" t="s">
        <v>31</v>
      </c>
      <c r="C44" s="7">
        <v>33</v>
      </c>
      <c r="D44" s="5" t="s">
        <v>18</v>
      </c>
      <c r="E44" s="6" t="s">
        <v>13</v>
      </c>
      <c r="F44" s="6" t="s">
        <v>33</v>
      </c>
      <c r="G44" s="5">
        <v>52</v>
      </c>
      <c r="H44" s="8">
        <v>43710</v>
      </c>
      <c r="I44" s="6" t="s">
        <v>15</v>
      </c>
      <c r="J44" s="6" t="s">
        <v>22</v>
      </c>
    </row>
    <row r="45" spans="1:10" x14ac:dyDescent="0.3">
      <c r="A45" s="6" t="s">
        <v>86</v>
      </c>
      <c r="B45" s="6" t="s">
        <v>11</v>
      </c>
      <c r="C45" s="7">
        <v>22</v>
      </c>
      <c r="D45" s="5" t="s">
        <v>32</v>
      </c>
      <c r="E45" s="6" t="s">
        <v>13</v>
      </c>
      <c r="F45" s="6" t="s">
        <v>33</v>
      </c>
      <c r="G45" s="5">
        <v>23</v>
      </c>
      <c r="H45" s="8">
        <v>44585</v>
      </c>
      <c r="I45" s="6" t="s">
        <v>34</v>
      </c>
      <c r="J45" s="6" t="s">
        <v>22</v>
      </c>
    </row>
    <row r="46" spans="1:10" x14ac:dyDescent="0.3">
      <c r="A46" s="6" t="s">
        <v>87</v>
      </c>
      <c r="B46" s="6" t="s">
        <v>11</v>
      </c>
      <c r="C46" s="7">
        <v>21</v>
      </c>
      <c r="D46" s="5" t="s">
        <v>32</v>
      </c>
      <c r="E46" s="6" t="s">
        <v>13</v>
      </c>
      <c r="F46" s="6" t="s">
        <v>88</v>
      </c>
      <c r="G46" s="5">
        <v>52</v>
      </c>
      <c r="H46" s="8">
        <v>43706</v>
      </c>
      <c r="I46" s="6" t="s">
        <v>62</v>
      </c>
      <c r="J46" s="6" t="s">
        <v>27</v>
      </c>
    </row>
    <row r="47" spans="1:10" x14ac:dyDescent="0.3">
      <c r="A47" s="6" t="s">
        <v>89</v>
      </c>
      <c r="B47" s="6" t="s">
        <v>24</v>
      </c>
      <c r="C47" s="7">
        <v>40</v>
      </c>
      <c r="D47" s="5" t="s">
        <v>12</v>
      </c>
      <c r="E47" s="6" t="s">
        <v>19</v>
      </c>
      <c r="F47" s="6" t="s">
        <v>36</v>
      </c>
      <c r="G47" s="5">
        <v>8</v>
      </c>
      <c r="H47" s="8">
        <v>45052</v>
      </c>
      <c r="I47" s="6" t="s">
        <v>47</v>
      </c>
      <c r="J47" s="6" t="s">
        <v>27</v>
      </c>
    </row>
    <row r="48" spans="1:10" x14ac:dyDescent="0.3">
      <c r="A48" s="6" t="s">
        <v>90</v>
      </c>
      <c r="B48" s="6" t="s">
        <v>11</v>
      </c>
      <c r="C48" s="7">
        <v>20</v>
      </c>
      <c r="D48" s="5" t="s">
        <v>32</v>
      </c>
      <c r="E48" s="6" t="s">
        <v>13</v>
      </c>
      <c r="F48" s="6" t="s">
        <v>88</v>
      </c>
      <c r="G48" s="5">
        <v>21</v>
      </c>
      <c r="H48" s="8">
        <v>44640</v>
      </c>
      <c r="I48" s="6" t="s">
        <v>29</v>
      </c>
      <c r="J48" s="6" t="s">
        <v>65</v>
      </c>
    </row>
    <row r="49" spans="1:10" x14ac:dyDescent="0.3">
      <c r="A49" s="6" t="s">
        <v>91</v>
      </c>
      <c r="B49" s="6" t="s">
        <v>24</v>
      </c>
      <c r="C49" s="7">
        <v>45</v>
      </c>
      <c r="D49" s="5" t="s">
        <v>46</v>
      </c>
      <c r="E49" s="6" t="s">
        <v>19</v>
      </c>
      <c r="F49" s="6" t="s">
        <v>25</v>
      </c>
      <c r="G49" s="5">
        <v>42</v>
      </c>
      <c r="H49" s="8">
        <v>44014</v>
      </c>
      <c r="I49" s="6" t="s">
        <v>29</v>
      </c>
      <c r="J49" s="6" t="s">
        <v>65</v>
      </c>
    </row>
    <row r="50" spans="1:10" x14ac:dyDescent="0.3">
      <c r="A50" s="6" t="s">
        <v>92</v>
      </c>
      <c r="B50" s="6" t="s">
        <v>24</v>
      </c>
      <c r="C50" s="7">
        <v>30</v>
      </c>
      <c r="D50" s="5" t="s">
        <v>18</v>
      </c>
      <c r="E50" s="6" t="s">
        <v>13</v>
      </c>
      <c r="F50" s="6" t="s">
        <v>14</v>
      </c>
      <c r="G50" s="5">
        <v>49</v>
      </c>
      <c r="H50" s="8">
        <v>43815</v>
      </c>
      <c r="I50" s="6" t="s">
        <v>21</v>
      </c>
      <c r="J50" s="6" t="s">
        <v>22</v>
      </c>
    </row>
    <row r="51" spans="1:10" x14ac:dyDescent="0.3">
      <c r="A51" s="6" t="s">
        <v>93</v>
      </c>
      <c r="B51" s="6" t="s">
        <v>61</v>
      </c>
      <c r="C51" s="7">
        <v>21</v>
      </c>
      <c r="D51" s="5" t="s">
        <v>32</v>
      </c>
      <c r="E51" s="6" t="s">
        <v>19</v>
      </c>
      <c r="F51" s="6" t="s">
        <v>38</v>
      </c>
      <c r="G51" s="5">
        <v>5</v>
      </c>
      <c r="H51" s="8">
        <v>45140</v>
      </c>
      <c r="I51" s="6" t="s">
        <v>39</v>
      </c>
      <c r="J51" s="6" t="s">
        <v>22</v>
      </c>
    </row>
    <row r="52" spans="1:10" x14ac:dyDescent="0.3">
      <c r="A52" s="6" t="s">
        <v>94</v>
      </c>
      <c r="B52" s="6" t="s">
        <v>24</v>
      </c>
      <c r="C52" s="7">
        <v>18</v>
      </c>
      <c r="D52" s="5" t="s">
        <v>32</v>
      </c>
      <c r="E52" s="6" t="s">
        <v>13</v>
      </c>
      <c r="F52" s="6" t="s">
        <v>25</v>
      </c>
      <c r="G52" s="5">
        <v>30</v>
      </c>
      <c r="H52" s="8">
        <v>44378</v>
      </c>
      <c r="I52" s="6" t="s">
        <v>34</v>
      </c>
      <c r="J52" s="6" t="s">
        <v>27</v>
      </c>
    </row>
    <row r="53" spans="1:10" x14ac:dyDescent="0.3">
      <c r="A53" s="6" t="s">
        <v>95</v>
      </c>
      <c r="B53" s="6" t="s">
        <v>31</v>
      </c>
      <c r="C53" s="7">
        <v>37</v>
      </c>
      <c r="D53" s="5" t="s">
        <v>12</v>
      </c>
      <c r="E53" s="6" t="s">
        <v>19</v>
      </c>
      <c r="F53" s="6" t="s">
        <v>36</v>
      </c>
      <c r="G53" s="5">
        <v>36</v>
      </c>
      <c r="H53" s="8">
        <v>44200</v>
      </c>
      <c r="I53" s="6" t="s">
        <v>26</v>
      </c>
      <c r="J53" s="6" t="s">
        <v>65</v>
      </c>
    </row>
    <row r="54" spans="1:10" x14ac:dyDescent="0.3">
      <c r="A54" s="6" t="s">
        <v>96</v>
      </c>
      <c r="B54" s="6" t="s">
        <v>31</v>
      </c>
      <c r="C54" s="7">
        <v>35</v>
      </c>
      <c r="D54" s="5" t="s">
        <v>12</v>
      </c>
      <c r="E54" s="6" t="s">
        <v>13</v>
      </c>
      <c r="F54" s="6" t="s">
        <v>36</v>
      </c>
      <c r="G54" s="5">
        <v>20</v>
      </c>
      <c r="H54" s="8">
        <v>44672</v>
      </c>
      <c r="I54" s="6" t="s">
        <v>49</v>
      </c>
      <c r="J54" s="6" t="s">
        <v>22</v>
      </c>
    </row>
    <row r="55" spans="1:10" x14ac:dyDescent="0.3">
      <c r="A55" s="6" t="s">
        <v>97</v>
      </c>
      <c r="B55" s="6" t="s">
        <v>24</v>
      </c>
      <c r="C55" s="7">
        <v>39</v>
      </c>
      <c r="D55" s="5" t="s">
        <v>12</v>
      </c>
      <c r="E55" s="6" t="s">
        <v>13</v>
      </c>
      <c r="F55" s="6" t="s">
        <v>33</v>
      </c>
      <c r="G55" s="5">
        <v>25</v>
      </c>
      <c r="H55" s="8">
        <v>44522</v>
      </c>
      <c r="I55" s="6" t="s">
        <v>26</v>
      </c>
      <c r="J55" s="6" t="s">
        <v>27</v>
      </c>
    </row>
    <row r="56" spans="1:10" x14ac:dyDescent="0.3">
      <c r="A56" s="6" t="s">
        <v>98</v>
      </c>
      <c r="B56" s="6" t="s">
        <v>31</v>
      </c>
      <c r="C56" s="7">
        <v>35</v>
      </c>
      <c r="D56" s="5" t="s">
        <v>12</v>
      </c>
      <c r="E56" s="6" t="s">
        <v>13</v>
      </c>
      <c r="F56" s="6" t="s">
        <v>33</v>
      </c>
      <c r="G56" s="5">
        <v>1</v>
      </c>
      <c r="H56" s="8">
        <v>45234</v>
      </c>
      <c r="I56" s="6" t="s">
        <v>62</v>
      </c>
      <c r="J56" s="6" t="s">
        <v>27</v>
      </c>
    </row>
    <row r="57" spans="1:10" x14ac:dyDescent="0.3">
      <c r="A57" s="6" t="s">
        <v>99</v>
      </c>
      <c r="B57" s="6" t="s">
        <v>31</v>
      </c>
      <c r="C57" s="7">
        <v>25</v>
      </c>
      <c r="D57" s="5" t="s">
        <v>18</v>
      </c>
      <c r="E57" s="6" t="s">
        <v>19</v>
      </c>
      <c r="F57" s="6" t="s">
        <v>36</v>
      </c>
      <c r="G57" s="5">
        <v>17</v>
      </c>
      <c r="H57" s="8">
        <v>44763</v>
      </c>
      <c r="I57" s="6" t="s">
        <v>26</v>
      </c>
      <c r="J57" s="6" t="s">
        <v>27</v>
      </c>
    </row>
    <row r="58" spans="1:10" x14ac:dyDescent="0.3">
      <c r="A58" s="6" t="s">
        <v>100</v>
      </c>
      <c r="B58" s="6" t="s">
        <v>42</v>
      </c>
      <c r="C58" s="7">
        <v>32</v>
      </c>
      <c r="D58" s="5" t="s">
        <v>18</v>
      </c>
      <c r="E58" s="6" t="s">
        <v>13</v>
      </c>
      <c r="F58" s="6" t="s">
        <v>25</v>
      </c>
      <c r="G58" s="5">
        <v>20</v>
      </c>
      <c r="H58" s="8">
        <v>44683</v>
      </c>
      <c r="I58" s="6" t="s">
        <v>21</v>
      </c>
      <c r="J58" s="6" t="s">
        <v>22</v>
      </c>
    </row>
    <row r="59" spans="1:10" x14ac:dyDescent="0.3">
      <c r="A59" s="6" t="s">
        <v>101</v>
      </c>
      <c r="B59" s="6" t="s">
        <v>24</v>
      </c>
      <c r="C59" s="7">
        <v>23</v>
      </c>
      <c r="D59" s="5" t="s">
        <v>32</v>
      </c>
      <c r="E59" s="6" t="s">
        <v>13</v>
      </c>
      <c r="F59" s="6" t="s">
        <v>20</v>
      </c>
      <c r="G59" s="5">
        <v>40</v>
      </c>
      <c r="H59" s="8">
        <v>44091</v>
      </c>
      <c r="I59" s="6" t="s">
        <v>49</v>
      </c>
      <c r="J59" s="6" t="s">
        <v>16</v>
      </c>
    </row>
    <row r="60" spans="1:10" x14ac:dyDescent="0.3">
      <c r="A60" s="6" t="s">
        <v>102</v>
      </c>
      <c r="B60" s="6" t="s">
        <v>31</v>
      </c>
      <c r="C60" s="7">
        <v>21</v>
      </c>
      <c r="D60" s="5" t="s">
        <v>32</v>
      </c>
      <c r="E60" s="6" t="s">
        <v>19</v>
      </c>
      <c r="F60" s="6" t="s">
        <v>54</v>
      </c>
      <c r="G60" s="5">
        <v>35</v>
      </c>
      <c r="H60" s="8">
        <v>44234</v>
      </c>
      <c r="I60" s="6" t="s">
        <v>34</v>
      </c>
      <c r="J60" s="6" t="s">
        <v>22</v>
      </c>
    </row>
    <row r="61" spans="1:10" x14ac:dyDescent="0.3">
      <c r="A61" s="6" t="s">
        <v>103</v>
      </c>
      <c r="B61" s="6" t="s">
        <v>42</v>
      </c>
      <c r="C61" s="7">
        <v>18</v>
      </c>
      <c r="D61" s="5" t="s">
        <v>32</v>
      </c>
      <c r="E61" s="6" t="s">
        <v>13</v>
      </c>
      <c r="F61" s="6" t="s">
        <v>88</v>
      </c>
      <c r="G61" s="5">
        <v>48</v>
      </c>
      <c r="H61" s="8">
        <v>43844</v>
      </c>
      <c r="I61" s="6" t="s">
        <v>49</v>
      </c>
      <c r="J61" s="6" t="s">
        <v>27</v>
      </c>
    </row>
    <row r="62" spans="1:10" x14ac:dyDescent="0.3">
      <c r="A62" s="6" t="s">
        <v>104</v>
      </c>
      <c r="B62" s="6" t="s">
        <v>61</v>
      </c>
      <c r="C62" s="7">
        <v>27</v>
      </c>
      <c r="D62" s="5" t="s">
        <v>18</v>
      </c>
      <c r="E62" s="6" t="s">
        <v>105</v>
      </c>
      <c r="F62" s="6" t="s">
        <v>38</v>
      </c>
      <c r="G62" s="5">
        <v>30</v>
      </c>
      <c r="H62" s="8">
        <v>44374</v>
      </c>
      <c r="I62" s="6" t="s">
        <v>29</v>
      </c>
      <c r="J62" s="6" t="s">
        <v>22</v>
      </c>
    </row>
    <row r="63" spans="1:10" x14ac:dyDescent="0.3">
      <c r="A63" s="6" t="s">
        <v>106</v>
      </c>
      <c r="B63" s="6" t="s">
        <v>31</v>
      </c>
      <c r="C63" s="7">
        <v>26</v>
      </c>
      <c r="D63" s="5" t="s">
        <v>18</v>
      </c>
      <c r="E63" s="6" t="s">
        <v>19</v>
      </c>
      <c r="F63" s="6" t="s">
        <v>88</v>
      </c>
      <c r="G63" s="5">
        <v>47</v>
      </c>
      <c r="H63" s="8">
        <v>43866</v>
      </c>
      <c r="I63" s="6" t="s">
        <v>39</v>
      </c>
      <c r="J63" s="6" t="s">
        <v>16</v>
      </c>
    </row>
    <row r="64" spans="1:10" x14ac:dyDescent="0.3">
      <c r="A64" s="6" t="s">
        <v>107</v>
      </c>
      <c r="B64" s="6" t="s">
        <v>11</v>
      </c>
      <c r="C64" s="7">
        <v>25</v>
      </c>
      <c r="D64" s="5" t="s">
        <v>18</v>
      </c>
      <c r="E64" s="6" t="s">
        <v>19</v>
      </c>
      <c r="F64" s="6" t="s">
        <v>36</v>
      </c>
      <c r="G64" s="5">
        <v>20</v>
      </c>
      <c r="H64" s="8">
        <v>44673</v>
      </c>
      <c r="I64" s="6" t="s">
        <v>62</v>
      </c>
      <c r="J64" s="6" t="s">
        <v>16</v>
      </c>
    </row>
    <row r="65" spans="1:10" x14ac:dyDescent="0.3">
      <c r="A65" s="6" t="s">
        <v>108</v>
      </c>
      <c r="B65" s="6" t="s">
        <v>42</v>
      </c>
      <c r="C65" s="7">
        <v>38</v>
      </c>
      <c r="D65" s="5" t="s">
        <v>12</v>
      </c>
      <c r="E65" s="6" t="s">
        <v>13</v>
      </c>
      <c r="F65" s="6" t="s">
        <v>64</v>
      </c>
      <c r="G65" s="5">
        <v>40</v>
      </c>
      <c r="H65" s="8">
        <v>44091</v>
      </c>
      <c r="I65" s="6" t="s">
        <v>34</v>
      </c>
      <c r="J65" s="6" t="s">
        <v>27</v>
      </c>
    </row>
    <row r="66" spans="1:10" x14ac:dyDescent="0.3">
      <c r="A66" s="6" t="s">
        <v>109</v>
      </c>
      <c r="B66" s="6" t="s">
        <v>61</v>
      </c>
      <c r="C66" s="7">
        <v>43</v>
      </c>
      <c r="D66" s="5" t="s">
        <v>12</v>
      </c>
      <c r="E66" s="6" t="s">
        <v>19</v>
      </c>
      <c r="F66" s="6" t="s">
        <v>14</v>
      </c>
      <c r="G66" s="5">
        <v>53</v>
      </c>
      <c r="H66" s="8">
        <v>43674</v>
      </c>
      <c r="I66" s="6" t="s">
        <v>15</v>
      </c>
      <c r="J66" s="6" t="s">
        <v>27</v>
      </c>
    </row>
    <row r="67" spans="1:10" x14ac:dyDescent="0.3">
      <c r="A67" s="6" t="s">
        <v>110</v>
      </c>
      <c r="B67" s="6" t="s">
        <v>24</v>
      </c>
      <c r="C67" s="7">
        <v>44</v>
      </c>
      <c r="D67" s="5" t="s">
        <v>12</v>
      </c>
      <c r="E67" s="6" t="s">
        <v>13</v>
      </c>
      <c r="F67" s="6" t="s">
        <v>88</v>
      </c>
      <c r="G67" s="5">
        <v>25</v>
      </c>
      <c r="H67" s="8">
        <v>44515</v>
      </c>
      <c r="I67" s="6" t="s">
        <v>39</v>
      </c>
      <c r="J67" s="6" t="s">
        <v>16</v>
      </c>
    </row>
    <row r="68" spans="1:10" x14ac:dyDescent="0.3">
      <c r="A68" s="6" t="s">
        <v>111</v>
      </c>
      <c r="B68" s="6" t="s">
        <v>31</v>
      </c>
      <c r="C68" s="7">
        <v>31</v>
      </c>
      <c r="D68" s="5" t="s">
        <v>18</v>
      </c>
      <c r="E68" s="6" t="s">
        <v>19</v>
      </c>
      <c r="F68" s="6" t="s">
        <v>36</v>
      </c>
      <c r="G68" s="5">
        <v>56</v>
      </c>
      <c r="H68" s="8">
        <v>43611</v>
      </c>
      <c r="I68" s="6" t="s">
        <v>21</v>
      </c>
      <c r="J68" s="6" t="s">
        <v>22</v>
      </c>
    </row>
    <row r="69" spans="1:10" x14ac:dyDescent="0.3">
      <c r="A69" s="6" t="s">
        <v>112</v>
      </c>
      <c r="B69" s="6" t="s">
        <v>31</v>
      </c>
      <c r="C69" s="7">
        <v>31</v>
      </c>
      <c r="D69" s="5" t="s">
        <v>18</v>
      </c>
      <c r="E69" s="6" t="s">
        <v>19</v>
      </c>
      <c r="F69" s="6" t="s">
        <v>36</v>
      </c>
      <c r="G69" s="5">
        <v>26</v>
      </c>
      <c r="H69" s="8">
        <v>44508</v>
      </c>
      <c r="I69" s="6" t="s">
        <v>21</v>
      </c>
      <c r="J69" s="6" t="s">
        <v>27</v>
      </c>
    </row>
    <row r="70" spans="1:10" x14ac:dyDescent="0.3">
      <c r="A70" s="6" t="s">
        <v>113</v>
      </c>
      <c r="B70" s="6" t="s">
        <v>11</v>
      </c>
      <c r="C70" s="7">
        <v>30</v>
      </c>
      <c r="D70" s="5" t="s">
        <v>18</v>
      </c>
      <c r="E70" s="6" t="s">
        <v>13</v>
      </c>
      <c r="F70" s="6" t="s">
        <v>14</v>
      </c>
      <c r="G70" s="5">
        <v>45</v>
      </c>
      <c r="H70" s="8">
        <v>43933</v>
      </c>
      <c r="I70" s="6" t="s">
        <v>49</v>
      </c>
      <c r="J70" s="6" t="s">
        <v>16</v>
      </c>
    </row>
    <row r="71" spans="1:10" x14ac:dyDescent="0.3">
      <c r="A71" s="6" t="s">
        <v>114</v>
      </c>
      <c r="B71" s="6" t="s">
        <v>11</v>
      </c>
      <c r="C71" s="7">
        <v>25</v>
      </c>
      <c r="D71" s="5" t="s">
        <v>18</v>
      </c>
      <c r="E71" s="6" t="s">
        <v>19</v>
      </c>
      <c r="F71" s="6" t="s">
        <v>64</v>
      </c>
      <c r="G71" s="5">
        <v>41</v>
      </c>
      <c r="H71" s="8">
        <v>44060</v>
      </c>
      <c r="I71" s="6" t="s">
        <v>39</v>
      </c>
      <c r="J71" s="6" t="s">
        <v>22</v>
      </c>
    </row>
    <row r="72" spans="1:10" x14ac:dyDescent="0.3">
      <c r="A72" s="6" t="s">
        <v>115</v>
      </c>
      <c r="B72" s="6" t="s">
        <v>24</v>
      </c>
      <c r="C72" s="7">
        <v>51</v>
      </c>
      <c r="D72" s="5" t="s">
        <v>46</v>
      </c>
      <c r="E72" s="6" t="s">
        <v>105</v>
      </c>
      <c r="F72" s="6" t="s">
        <v>56</v>
      </c>
      <c r="G72" s="5">
        <v>38</v>
      </c>
      <c r="H72" s="8">
        <v>44147</v>
      </c>
      <c r="I72" s="6" t="s">
        <v>34</v>
      </c>
      <c r="J72" s="6" t="s">
        <v>16</v>
      </c>
    </row>
    <row r="73" spans="1:10" x14ac:dyDescent="0.3">
      <c r="A73" s="6" t="s">
        <v>116</v>
      </c>
      <c r="B73" s="6" t="s">
        <v>31</v>
      </c>
      <c r="C73" s="7">
        <v>21</v>
      </c>
      <c r="D73" s="5" t="s">
        <v>32</v>
      </c>
      <c r="E73" s="6" t="s">
        <v>13</v>
      </c>
      <c r="F73" s="6" t="s">
        <v>88</v>
      </c>
      <c r="G73" s="5">
        <v>15</v>
      </c>
      <c r="H73" s="8">
        <v>44842</v>
      </c>
      <c r="I73" s="6" t="s">
        <v>29</v>
      </c>
      <c r="J73" s="6" t="s">
        <v>22</v>
      </c>
    </row>
    <row r="74" spans="1:10" x14ac:dyDescent="0.3">
      <c r="A74" s="6" t="s">
        <v>117</v>
      </c>
      <c r="B74" s="6" t="s">
        <v>31</v>
      </c>
      <c r="C74" s="7">
        <v>42</v>
      </c>
      <c r="D74" s="5" t="s">
        <v>12</v>
      </c>
      <c r="E74" s="6" t="s">
        <v>13</v>
      </c>
      <c r="F74" s="6" t="s">
        <v>25</v>
      </c>
      <c r="G74" s="5">
        <v>9</v>
      </c>
      <c r="H74" s="8">
        <v>44993</v>
      </c>
      <c r="I74" s="6" t="s">
        <v>47</v>
      </c>
      <c r="J74" s="6" t="s">
        <v>27</v>
      </c>
    </row>
    <row r="75" spans="1:10" x14ac:dyDescent="0.3">
      <c r="A75" s="6" t="s">
        <v>118</v>
      </c>
      <c r="B75" s="6" t="s">
        <v>42</v>
      </c>
      <c r="C75" s="7">
        <v>29</v>
      </c>
      <c r="D75" s="5" t="s">
        <v>18</v>
      </c>
      <c r="E75" s="6" t="s">
        <v>19</v>
      </c>
      <c r="F75" s="6" t="s">
        <v>38</v>
      </c>
      <c r="G75" s="5">
        <v>31</v>
      </c>
      <c r="H75" s="8">
        <v>44337</v>
      </c>
      <c r="I75" s="6" t="s">
        <v>62</v>
      </c>
      <c r="J75" s="6" t="s">
        <v>16</v>
      </c>
    </row>
    <row r="76" spans="1:10" x14ac:dyDescent="0.3">
      <c r="A76" s="6" t="s">
        <v>119</v>
      </c>
      <c r="B76" s="6" t="s">
        <v>11</v>
      </c>
      <c r="C76" s="7">
        <v>31</v>
      </c>
      <c r="D76" s="5" t="s">
        <v>18</v>
      </c>
      <c r="E76" s="6" t="s">
        <v>13</v>
      </c>
      <c r="F76" s="6" t="s">
        <v>36</v>
      </c>
      <c r="G76" s="5">
        <v>6</v>
      </c>
      <c r="H76" s="8">
        <v>45112</v>
      </c>
      <c r="I76" s="6" t="s">
        <v>29</v>
      </c>
      <c r="J76" s="6" t="s">
        <v>27</v>
      </c>
    </row>
    <row r="77" spans="1:10" x14ac:dyDescent="0.3">
      <c r="A77" s="6" t="s">
        <v>120</v>
      </c>
      <c r="B77" s="6" t="s">
        <v>11</v>
      </c>
      <c r="C77" s="7">
        <v>38</v>
      </c>
      <c r="D77" s="5" t="s">
        <v>12</v>
      </c>
      <c r="E77" s="6" t="s">
        <v>13</v>
      </c>
      <c r="F77" s="6" t="s">
        <v>38</v>
      </c>
      <c r="G77" s="5">
        <v>59</v>
      </c>
      <c r="H77" s="8">
        <v>43516</v>
      </c>
      <c r="I77" s="6" t="s">
        <v>62</v>
      </c>
      <c r="J77" s="6" t="s">
        <v>22</v>
      </c>
    </row>
    <row r="78" spans="1:10" x14ac:dyDescent="0.3">
      <c r="A78" s="6" t="s">
        <v>121</v>
      </c>
      <c r="B78" s="6" t="s">
        <v>61</v>
      </c>
      <c r="C78" s="7">
        <v>38</v>
      </c>
      <c r="D78" s="5" t="s">
        <v>12</v>
      </c>
      <c r="E78" s="6" t="s">
        <v>19</v>
      </c>
      <c r="F78" s="6" t="s">
        <v>36</v>
      </c>
      <c r="G78" s="5">
        <v>5</v>
      </c>
      <c r="H78" s="8">
        <v>45125</v>
      </c>
      <c r="I78" s="6" t="s">
        <v>29</v>
      </c>
      <c r="J78" s="6" t="s">
        <v>22</v>
      </c>
    </row>
    <row r="79" spans="1:10" x14ac:dyDescent="0.3">
      <c r="A79" s="6" t="s">
        <v>122</v>
      </c>
      <c r="B79" s="6" t="s">
        <v>24</v>
      </c>
      <c r="C79" s="7">
        <v>37</v>
      </c>
      <c r="D79" s="5" t="s">
        <v>12</v>
      </c>
      <c r="E79" s="6" t="s">
        <v>19</v>
      </c>
      <c r="F79" s="6" t="s">
        <v>64</v>
      </c>
      <c r="G79" s="5">
        <v>60</v>
      </c>
      <c r="H79" s="8">
        <v>43485</v>
      </c>
      <c r="I79" s="6" t="s">
        <v>47</v>
      </c>
      <c r="J79" s="6" t="s">
        <v>65</v>
      </c>
    </row>
    <row r="80" spans="1:10" x14ac:dyDescent="0.3">
      <c r="A80" s="6" t="s">
        <v>123</v>
      </c>
      <c r="B80" s="6" t="s">
        <v>31</v>
      </c>
      <c r="C80" s="7">
        <v>29</v>
      </c>
      <c r="D80" s="5" t="s">
        <v>18</v>
      </c>
      <c r="E80" s="6" t="s">
        <v>13</v>
      </c>
      <c r="F80" s="6" t="s">
        <v>20</v>
      </c>
      <c r="G80" s="5">
        <v>56</v>
      </c>
      <c r="H80" s="8">
        <v>43609</v>
      </c>
      <c r="I80" s="6" t="s">
        <v>49</v>
      </c>
      <c r="J80" s="6" t="s">
        <v>22</v>
      </c>
    </row>
    <row r="81" spans="1:10" x14ac:dyDescent="0.3">
      <c r="A81" s="6" t="s">
        <v>124</v>
      </c>
      <c r="B81" s="6" t="s">
        <v>61</v>
      </c>
      <c r="C81" s="7">
        <v>33</v>
      </c>
      <c r="D81" s="5" t="s">
        <v>18</v>
      </c>
      <c r="E81" s="6" t="s">
        <v>13</v>
      </c>
      <c r="F81" s="6" t="s">
        <v>54</v>
      </c>
      <c r="G81" s="5">
        <v>60</v>
      </c>
      <c r="H81" s="8">
        <v>43481</v>
      </c>
      <c r="I81" s="6" t="s">
        <v>39</v>
      </c>
      <c r="J81" s="6" t="s">
        <v>27</v>
      </c>
    </row>
    <row r="82" spans="1:10" x14ac:dyDescent="0.3">
      <c r="A82" s="6" t="s">
        <v>125</v>
      </c>
      <c r="B82" s="6" t="s">
        <v>24</v>
      </c>
      <c r="C82" s="7">
        <v>41</v>
      </c>
      <c r="D82" s="5" t="s">
        <v>12</v>
      </c>
      <c r="E82" s="6" t="s">
        <v>13</v>
      </c>
      <c r="F82" s="6" t="s">
        <v>88</v>
      </c>
      <c r="G82" s="5">
        <v>41</v>
      </c>
      <c r="H82" s="8">
        <v>44041</v>
      </c>
      <c r="I82" s="6" t="s">
        <v>29</v>
      </c>
      <c r="J82" s="6" t="s">
        <v>22</v>
      </c>
    </row>
    <row r="83" spans="1:10" x14ac:dyDescent="0.3">
      <c r="A83" s="6" t="s">
        <v>126</v>
      </c>
      <c r="B83" s="6" t="s">
        <v>42</v>
      </c>
      <c r="C83" s="7">
        <v>30</v>
      </c>
      <c r="D83" s="5" t="s">
        <v>18</v>
      </c>
      <c r="E83" s="6" t="s">
        <v>13</v>
      </c>
      <c r="F83" s="6" t="s">
        <v>64</v>
      </c>
      <c r="G83" s="5">
        <v>8</v>
      </c>
      <c r="H83" s="8">
        <v>45035</v>
      </c>
      <c r="I83" s="6" t="s">
        <v>21</v>
      </c>
      <c r="J83" s="6" t="s">
        <v>22</v>
      </c>
    </row>
    <row r="84" spans="1:10" x14ac:dyDescent="0.3">
      <c r="A84" s="6" t="s">
        <v>127</v>
      </c>
      <c r="B84" s="6" t="s">
        <v>31</v>
      </c>
      <c r="C84" s="7">
        <v>30</v>
      </c>
      <c r="D84" s="5" t="s">
        <v>18</v>
      </c>
      <c r="E84" s="6" t="s">
        <v>13</v>
      </c>
      <c r="F84" s="6" t="s">
        <v>56</v>
      </c>
      <c r="G84" s="5">
        <v>9</v>
      </c>
      <c r="H84" s="8">
        <v>45017</v>
      </c>
      <c r="I84" s="6" t="s">
        <v>47</v>
      </c>
      <c r="J84" s="6" t="s">
        <v>27</v>
      </c>
    </row>
    <row r="85" spans="1:10" x14ac:dyDescent="0.3">
      <c r="A85" s="6" t="s">
        <v>128</v>
      </c>
      <c r="B85" s="6" t="s">
        <v>31</v>
      </c>
      <c r="C85" s="7">
        <v>19</v>
      </c>
      <c r="D85" s="5" t="s">
        <v>32</v>
      </c>
      <c r="E85" s="6" t="s">
        <v>19</v>
      </c>
      <c r="F85" s="6" t="s">
        <v>56</v>
      </c>
      <c r="G85" s="5">
        <v>40</v>
      </c>
      <c r="H85" s="8">
        <v>44083</v>
      </c>
      <c r="I85" s="6" t="s">
        <v>49</v>
      </c>
      <c r="J85" s="6" t="s">
        <v>27</v>
      </c>
    </row>
    <row r="86" spans="1:10" x14ac:dyDescent="0.3">
      <c r="A86" s="6" t="s">
        <v>129</v>
      </c>
      <c r="B86" s="6" t="s">
        <v>24</v>
      </c>
      <c r="C86" s="7">
        <v>37</v>
      </c>
      <c r="D86" s="5" t="s">
        <v>12</v>
      </c>
      <c r="E86" s="6" t="s">
        <v>13</v>
      </c>
      <c r="F86" s="6" t="s">
        <v>64</v>
      </c>
      <c r="G86" s="5">
        <v>41</v>
      </c>
      <c r="H86" s="8">
        <v>44056</v>
      </c>
      <c r="I86" s="6" t="s">
        <v>49</v>
      </c>
      <c r="J86" s="6" t="s">
        <v>27</v>
      </c>
    </row>
    <row r="87" spans="1:10" x14ac:dyDescent="0.3">
      <c r="A87" s="6" t="s">
        <v>130</v>
      </c>
      <c r="B87" s="6" t="s">
        <v>42</v>
      </c>
      <c r="C87" s="7">
        <v>49</v>
      </c>
      <c r="D87" s="5" t="s">
        <v>46</v>
      </c>
      <c r="E87" s="6" t="s">
        <v>13</v>
      </c>
      <c r="F87" s="6" t="s">
        <v>54</v>
      </c>
      <c r="G87" s="5">
        <v>17</v>
      </c>
      <c r="H87" s="8">
        <v>44779</v>
      </c>
      <c r="I87" s="6" t="s">
        <v>29</v>
      </c>
      <c r="J87" s="6" t="s">
        <v>16</v>
      </c>
    </row>
    <row r="88" spans="1:10" x14ac:dyDescent="0.3">
      <c r="A88" s="6" t="s">
        <v>131</v>
      </c>
      <c r="B88" s="6" t="s">
        <v>11</v>
      </c>
      <c r="C88" s="7">
        <v>18</v>
      </c>
      <c r="D88" s="5" t="s">
        <v>32</v>
      </c>
      <c r="E88" s="6" t="s">
        <v>19</v>
      </c>
      <c r="F88" s="6" t="s">
        <v>88</v>
      </c>
      <c r="G88" s="5">
        <v>23</v>
      </c>
      <c r="H88" s="8">
        <v>44601</v>
      </c>
      <c r="I88" s="6" t="s">
        <v>34</v>
      </c>
      <c r="J88" s="6" t="s">
        <v>16</v>
      </c>
    </row>
    <row r="89" spans="1:10" x14ac:dyDescent="0.3">
      <c r="A89" s="6" t="s">
        <v>132</v>
      </c>
      <c r="B89" s="6" t="s">
        <v>24</v>
      </c>
      <c r="C89" s="7">
        <v>37</v>
      </c>
      <c r="D89" s="5" t="s">
        <v>12</v>
      </c>
      <c r="E89" s="6" t="s">
        <v>19</v>
      </c>
      <c r="F89" s="6" t="s">
        <v>38</v>
      </c>
      <c r="G89" s="5">
        <v>42</v>
      </c>
      <c r="H89" s="8">
        <v>44003</v>
      </c>
      <c r="I89" s="6" t="s">
        <v>62</v>
      </c>
      <c r="J89" s="6" t="s">
        <v>27</v>
      </c>
    </row>
    <row r="90" spans="1:10" x14ac:dyDescent="0.3">
      <c r="A90" s="6" t="s">
        <v>133</v>
      </c>
      <c r="B90" s="6" t="s">
        <v>31</v>
      </c>
      <c r="C90" s="7">
        <v>27</v>
      </c>
      <c r="D90" s="5" t="s">
        <v>18</v>
      </c>
      <c r="E90" s="6" t="s">
        <v>13</v>
      </c>
      <c r="F90" s="6" t="s">
        <v>38</v>
      </c>
      <c r="G90" s="5">
        <v>56</v>
      </c>
      <c r="H90" s="8">
        <v>43602</v>
      </c>
      <c r="I90" s="6" t="s">
        <v>34</v>
      </c>
      <c r="J90" s="6" t="s">
        <v>65</v>
      </c>
    </row>
    <row r="91" spans="1:10" x14ac:dyDescent="0.3">
      <c r="A91" s="6" t="s">
        <v>134</v>
      </c>
      <c r="B91" s="6" t="s">
        <v>24</v>
      </c>
      <c r="C91" s="7">
        <v>47</v>
      </c>
      <c r="D91" s="5" t="s">
        <v>46</v>
      </c>
      <c r="E91" s="6" t="s">
        <v>13</v>
      </c>
      <c r="F91" s="6" t="s">
        <v>56</v>
      </c>
      <c r="G91" s="5">
        <v>47</v>
      </c>
      <c r="H91" s="8">
        <v>43872</v>
      </c>
      <c r="I91" s="6" t="s">
        <v>47</v>
      </c>
      <c r="J91" s="6" t="s">
        <v>22</v>
      </c>
    </row>
    <row r="92" spans="1:10" x14ac:dyDescent="0.3">
      <c r="A92" s="6" t="s">
        <v>135</v>
      </c>
      <c r="B92" s="6" t="s">
        <v>31</v>
      </c>
      <c r="C92" s="7">
        <v>20</v>
      </c>
      <c r="D92" s="5" t="s">
        <v>32</v>
      </c>
      <c r="E92" s="6" t="s">
        <v>13</v>
      </c>
      <c r="F92" s="6" t="s">
        <v>64</v>
      </c>
      <c r="G92" s="5">
        <v>9</v>
      </c>
      <c r="H92" s="8">
        <v>44998</v>
      </c>
      <c r="I92" s="6" t="s">
        <v>29</v>
      </c>
      <c r="J92" s="6" t="s">
        <v>27</v>
      </c>
    </row>
    <row r="93" spans="1:10" x14ac:dyDescent="0.3">
      <c r="A93" s="6" t="s">
        <v>136</v>
      </c>
      <c r="B93" s="6" t="s">
        <v>31</v>
      </c>
      <c r="C93" s="7">
        <v>27</v>
      </c>
      <c r="D93" s="5" t="s">
        <v>18</v>
      </c>
      <c r="E93" s="6" t="s">
        <v>13</v>
      </c>
      <c r="F93" s="6" t="s">
        <v>20</v>
      </c>
      <c r="G93" s="5">
        <v>24</v>
      </c>
      <c r="H93" s="8">
        <v>44563</v>
      </c>
      <c r="I93" s="6" t="s">
        <v>26</v>
      </c>
      <c r="J93" s="6" t="s">
        <v>16</v>
      </c>
    </row>
    <row r="94" spans="1:10" x14ac:dyDescent="0.3">
      <c r="A94" s="6" t="s">
        <v>137</v>
      </c>
      <c r="B94" s="6" t="s">
        <v>24</v>
      </c>
      <c r="C94" s="7">
        <v>18</v>
      </c>
      <c r="D94" s="5" t="s">
        <v>32</v>
      </c>
      <c r="E94" s="6" t="s">
        <v>19</v>
      </c>
      <c r="F94" s="6" t="s">
        <v>54</v>
      </c>
      <c r="G94" s="5">
        <v>41</v>
      </c>
      <c r="H94" s="8">
        <v>44039</v>
      </c>
      <c r="I94" s="6" t="s">
        <v>49</v>
      </c>
      <c r="J94" s="6" t="s">
        <v>16</v>
      </c>
    </row>
    <row r="95" spans="1:10" x14ac:dyDescent="0.3">
      <c r="A95" s="6" t="s">
        <v>138</v>
      </c>
      <c r="B95" s="6" t="s">
        <v>24</v>
      </c>
      <c r="C95" s="7">
        <v>31</v>
      </c>
      <c r="D95" s="5" t="s">
        <v>18</v>
      </c>
      <c r="E95" s="6" t="s">
        <v>13</v>
      </c>
      <c r="F95" s="6" t="s">
        <v>36</v>
      </c>
      <c r="G95" s="5">
        <v>16</v>
      </c>
      <c r="H95" s="8">
        <v>44783</v>
      </c>
      <c r="I95" s="6" t="s">
        <v>62</v>
      </c>
      <c r="J95" s="6" t="s">
        <v>16</v>
      </c>
    </row>
    <row r="96" spans="1:10" x14ac:dyDescent="0.3">
      <c r="A96" s="6" t="s">
        <v>139</v>
      </c>
      <c r="B96" s="6" t="s">
        <v>24</v>
      </c>
      <c r="C96" s="7">
        <v>18</v>
      </c>
      <c r="D96" s="5" t="s">
        <v>32</v>
      </c>
      <c r="E96" s="6" t="s">
        <v>19</v>
      </c>
      <c r="F96" s="6" t="s">
        <v>54</v>
      </c>
      <c r="G96" s="5">
        <v>56</v>
      </c>
      <c r="H96" s="8">
        <v>43590</v>
      </c>
      <c r="I96" s="6" t="s">
        <v>15</v>
      </c>
      <c r="J96" s="6" t="s">
        <v>22</v>
      </c>
    </row>
    <row r="97" spans="1:10" x14ac:dyDescent="0.3">
      <c r="A97" s="6" t="s">
        <v>140</v>
      </c>
      <c r="B97" s="6" t="s">
        <v>31</v>
      </c>
      <c r="C97" s="7">
        <v>18</v>
      </c>
      <c r="D97" s="5" t="s">
        <v>32</v>
      </c>
      <c r="E97" s="6" t="s">
        <v>13</v>
      </c>
      <c r="F97" s="6" t="s">
        <v>33</v>
      </c>
      <c r="G97" s="5">
        <v>11</v>
      </c>
      <c r="H97" s="8">
        <v>44961</v>
      </c>
      <c r="I97" s="6" t="s">
        <v>49</v>
      </c>
      <c r="J97" s="6" t="s">
        <v>16</v>
      </c>
    </row>
    <row r="98" spans="1:10" x14ac:dyDescent="0.3">
      <c r="A98" s="6" t="s">
        <v>141</v>
      </c>
      <c r="B98" s="6" t="s">
        <v>24</v>
      </c>
      <c r="C98" s="7">
        <v>37</v>
      </c>
      <c r="D98" s="5" t="s">
        <v>12</v>
      </c>
      <c r="E98" s="6" t="s">
        <v>13</v>
      </c>
      <c r="F98" s="6" t="s">
        <v>38</v>
      </c>
      <c r="G98" s="5">
        <v>58</v>
      </c>
      <c r="H98" s="8">
        <v>43544</v>
      </c>
      <c r="I98" s="6" t="s">
        <v>34</v>
      </c>
      <c r="J98" s="6" t="s">
        <v>22</v>
      </c>
    </row>
    <row r="99" spans="1:10" x14ac:dyDescent="0.3">
      <c r="A99" s="6" t="s">
        <v>142</v>
      </c>
      <c r="B99" s="6" t="s">
        <v>31</v>
      </c>
      <c r="C99" s="7">
        <v>32</v>
      </c>
      <c r="D99" s="5" t="s">
        <v>18</v>
      </c>
      <c r="E99" s="6" t="s">
        <v>19</v>
      </c>
      <c r="F99" s="6" t="s">
        <v>33</v>
      </c>
      <c r="G99" s="5">
        <v>50</v>
      </c>
      <c r="H99" s="8">
        <v>43773</v>
      </c>
      <c r="I99" s="6" t="s">
        <v>62</v>
      </c>
      <c r="J99" s="6" t="s">
        <v>27</v>
      </c>
    </row>
    <row r="100" spans="1:10" x14ac:dyDescent="0.3">
      <c r="A100" s="6" t="s">
        <v>143</v>
      </c>
      <c r="B100" s="6" t="s">
        <v>11</v>
      </c>
      <c r="C100" s="7">
        <v>18</v>
      </c>
      <c r="D100" s="5" t="s">
        <v>32</v>
      </c>
      <c r="E100" s="6" t="s">
        <v>13</v>
      </c>
      <c r="F100" s="6" t="s">
        <v>33</v>
      </c>
      <c r="G100" s="5">
        <v>40</v>
      </c>
      <c r="H100" s="8">
        <v>44085</v>
      </c>
      <c r="I100" s="6" t="s">
        <v>15</v>
      </c>
      <c r="J100" s="6" t="s">
        <v>22</v>
      </c>
    </row>
    <row r="101" spans="1:10" x14ac:dyDescent="0.3">
      <c r="A101" s="6" t="s">
        <v>144</v>
      </c>
      <c r="B101" s="6" t="s">
        <v>11</v>
      </c>
      <c r="C101" s="7">
        <v>29</v>
      </c>
      <c r="D101" s="5" t="s">
        <v>18</v>
      </c>
      <c r="E101" s="6" t="s">
        <v>19</v>
      </c>
      <c r="F101" s="6" t="s">
        <v>33</v>
      </c>
      <c r="G101" s="5">
        <v>38</v>
      </c>
      <c r="H101" s="8">
        <v>44128</v>
      </c>
      <c r="I101" s="6" t="s">
        <v>47</v>
      </c>
      <c r="J101" s="6" t="s">
        <v>27</v>
      </c>
    </row>
    <row r="102" spans="1:10" x14ac:dyDescent="0.3">
      <c r="A102" s="6" t="s">
        <v>145</v>
      </c>
      <c r="B102" s="6" t="s">
        <v>42</v>
      </c>
      <c r="C102" s="7">
        <v>18</v>
      </c>
      <c r="D102" s="5" t="s">
        <v>32</v>
      </c>
      <c r="E102" s="6" t="s">
        <v>19</v>
      </c>
      <c r="F102" s="6" t="s">
        <v>56</v>
      </c>
      <c r="G102" s="5">
        <v>10</v>
      </c>
      <c r="H102" s="8">
        <v>44989</v>
      </c>
      <c r="I102" s="6" t="s">
        <v>47</v>
      </c>
      <c r="J102" s="6" t="s">
        <v>27</v>
      </c>
    </row>
    <row r="103" spans="1:10" x14ac:dyDescent="0.3">
      <c r="A103" s="6" t="s">
        <v>146</v>
      </c>
      <c r="B103" s="6" t="s">
        <v>24</v>
      </c>
      <c r="C103" s="7">
        <v>43</v>
      </c>
      <c r="D103" s="5" t="s">
        <v>12</v>
      </c>
      <c r="E103" s="6" t="s">
        <v>13</v>
      </c>
      <c r="F103" s="6" t="s">
        <v>25</v>
      </c>
      <c r="G103" s="5">
        <v>55</v>
      </c>
      <c r="H103" s="8">
        <v>43642</v>
      </c>
      <c r="I103" s="6" t="s">
        <v>15</v>
      </c>
      <c r="J103" s="6" t="s">
        <v>22</v>
      </c>
    </row>
    <row r="104" spans="1:10" x14ac:dyDescent="0.3">
      <c r="A104" s="6" t="s">
        <v>147</v>
      </c>
      <c r="B104" s="6" t="s">
        <v>42</v>
      </c>
      <c r="C104" s="7">
        <v>34</v>
      </c>
      <c r="D104" s="5" t="s">
        <v>18</v>
      </c>
      <c r="E104" s="6" t="s">
        <v>19</v>
      </c>
      <c r="F104" s="6" t="s">
        <v>56</v>
      </c>
      <c r="G104" s="5">
        <v>19</v>
      </c>
      <c r="H104" s="8">
        <v>44703</v>
      </c>
      <c r="I104" s="6" t="s">
        <v>29</v>
      </c>
      <c r="J104" s="6" t="s">
        <v>22</v>
      </c>
    </row>
    <row r="105" spans="1:10" x14ac:dyDescent="0.3">
      <c r="A105" s="6" t="s">
        <v>148</v>
      </c>
      <c r="B105" s="6" t="s">
        <v>24</v>
      </c>
      <c r="C105" s="7">
        <v>51</v>
      </c>
      <c r="D105" s="5" t="s">
        <v>46</v>
      </c>
      <c r="E105" s="6" t="s">
        <v>19</v>
      </c>
      <c r="F105" s="6" t="s">
        <v>64</v>
      </c>
      <c r="G105" s="5">
        <v>6</v>
      </c>
      <c r="H105" s="8">
        <v>45101</v>
      </c>
      <c r="I105" s="6" t="s">
        <v>49</v>
      </c>
      <c r="J105" s="6" t="s">
        <v>27</v>
      </c>
    </row>
    <row r="106" spans="1:10" x14ac:dyDescent="0.3">
      <c r="A106" s="6" t="s">
        <v>149</v>
      </c>
      <c r="B106" s="6" t="s">
        <v>24</v>
      </c>
      <c r="C106" s="7">
        <v>30</v>
      </c>
      <c r="D106" s="5" t="s">
        <v>18</v>
      </c>
      <c r="E106" s="6" t="s">
        <v>13</v>
      </c>
      <c r="F106" s="6" t="s">
        <v>56</v>
      </c>
      <c r="G106" s="5">
        <v>42</v>
      </c>
      <c r="H106" s="8">
        <v>44003</v>
      </c>
      <c r="I106" s="6" t="s">
        <v>49</v>
      </c>
      <c r="J106" s="6" t="s">
        <v>16</v>
      </c>
    </row>
    <row r="107" spans="1:10" x14ac:dyDescent="0.3">
      <c r="A107" s="6" t="s">
        <v>150</v>
      </c>
      <c r="B107" s="6" t="s">
        <v>42</v>
      </c>
      <c r="C107" s="7">
        <v>26</v>
      </c>
      <c r="D107" s="5" t="s">
        <v>18</v>
      </c>
      <c r="E107" s="6" t="s">
        <v>13</v>
      </c>
      <c r="F107" s="6" t="s">
        <v>38</v>
      </c>
      <c r="G107" s="5">
        <v>17</v>
      </c>
      <c r="H107" s="8">
        <v>44779</v>
      </c>
      <c r="I107" s="6" t="s">
        <v>34</v>
      </c>
      <c r="J107" s="6" t="s">
        <v>27</v>
      </c>
    </row>
    <row r="108" spans="1:10" x14ac:dyDescent="0.3">
      <c r="A108" s="6" t="s">
        <v>151</v>
      </c>
      <c r="B108" s="6" t="s">
        <v>24</v>
      </c>
      <c r="C108" s="7">
        <v>26</v>
      </c>
      <c r="D108" s="5" t="s">
        <v>18</v>
      </c>
      <c r="E108" s="6" t="s">
        <v>19</v>
      </c>
      <c r="F108" s="6" t="s">
        <v>20</v>
      </c>
      <c r="G108" s="5">
        <v>8</v>
      </c>
      <c r="H108" s="8">
        <v>45030</v>
      </c>
      <c r="I108" s="6" t="s">
        <v>47</v>
      </c>
      <c r="J108" s="6" t="s">
        <v>22</v>
      </c>
    </row>
    <row r="109" spans="1:10" x14ac:dyDescent="0.3">
      <c r="A109" s="6" t="s">
        <v>152</v>
      </c>
      <c r="B109" s="6" t="s">
        <v>61</v>
      </c>
      <c r="C109" s="7">
        <v>30</v>
      </c>
      <c r="D109" s="5" t="s">
        <v>18</v>
      </c>
      <c r="E109" s="6" t="s">
        <v>13</v>
      </c>
      <c r="F109" s="6" t="s">
        <v>54</v>
      </c>
      <c r="G109" s="5">
        <v>59</v>
      </c>
      <c r="H109" s="8">
        <v>43516</v>
      </c>
      <c r="I109" s="6" t="s">
        <v>29</v>
      </c>
      <c r="J109" s="6" t="s">
        <v>27</v>
      </c>
    </row>
    <row r="110" spans="1:10" x14ac:dyDescent="0.3">
      <c r="A110" s="6" t="s">
        <v>153</v>
      </c>
      <c r="B110" s="6" t="s">
        <v>24</v>
      </c>
      <c r="C110" s="7">
        <v>28</v>
      </c>
      <c r="D110" s="5" t="s">
        <v>18</v>
      </c>
      <c r="E110" s="6" t="s">
        <v>13</v>
      </c>
      <c r="F110" s="6" t="s">
        <v>54</v>
      </c>
      <c r="G110" s="5">
        <v>49</v>
      </c>
      <c r="H110" s="8">
        <v>43805</v>
      </c>
      <c r="I110" s="6" t="s">
        <v>39</v>
      </c>
      <c r="J110" s="6" t="s">
        <v>22</v>
      </c>
    </row>
    <row r="111" spans="1:10" x14ac:dyDescent="0.3">
      <c r="A111" s="6" t="s">
        <v>154</v>
      </c>
      <c r="B111" s="6" t="s">
        <v>61</v>
      </c>
      <c r="C111" s="7">
        <v>47</v>
      </c>
      <c r="D111" s="5" t="s">
        <v>46</v>
      </c>
      <c r="E111" s="6" t="s">
        <v>13</v>
      </c>
      <c r="F111" s="6" t="s">
        <v>38</v>
      </c>
      <c r="G111" s="5">
        <v>5</v>
      </c>
      <c r="H111" s="8">
        <v>45128</v>
      </c>
      <c r="I111" s="6" t="s">
        <v>21</v>
      </c>
      <c r="J111" s="6" t="s">
        <v>27</v>
      </c>
    </row>
    <row r="112" spans="1:10" x14ac:dyDescent="0.3">
      <c r="A112" s="6" t="s">
        <v>155</v>
      </c>
      <c r="B112" s="6" t="s">
        <v>11</v>
      </c>
      <c r="C112" s="7">
        <v>35</v>
      </c>
      <c r="D112" s="5" t="s">
        <v>12</v>
      </c>
      <c r="E112" s="6" t="s">
        <v>13</v>
      </c>
      <c r="F112" s="6" t="s">
        <v>33</v>
      </c>
      <c r="G112" s="5">
        <v>44</v>
      </c>
      <c r="H112" s="8">
        <v>43952</v>
      </c>
      <c r="I112" s="6" t="s">
        <v>39</v>
      </c>
      <c r="J112" s="6" t="s">
        <v>22</v>
      </c>
    </row>
    <row r="113" spans="1:10" x14ac:dyDescent="0.3">
      <c r="A113" s="6" t="s">
        <v>156</v>
      </c>
      <c r="B113" s="6" t="s">
        <v>24</v>
      </c>
      <c r="C113" s="7">
        <v>42</v>
      </c>
      <c r="D113" s="5" t="s">
        <v>12</v>
      </c>
      <c r="E113" s="6" t="s">
        <v>19</v>
      </c>
      <c r="F113" s="6" t="s">
        <v>14</v>
      </c>
      <c r="G113" s="5">
        <v>58</v>
      </c>
      <c r="H113" s="8">
        <v>43530</v>
      </c>
      <c r="I113" s="6" t="s">
        <v>29</v>
      </c>
      <c r="J113" s="6" t="s">
        <v>16</v>
      </c>
    </row>
    <row r="114" spans="1:10" x14ac:dyDescent="0.3">
      <c r="A114" s="6" t="s">
        <v>157</v>
      </c>
      <c r="B114" s="6" t="s">
        <v>31</v>
      </c>
      <c r="C114" s="7">
        <v>33</v>
      </c>
      <c r="D114" s="5" t="s">
        <v>18</v>
      </c>
      <c r="E114" s="6" t="s">
        <v>19</v>
      </c>
      <c r="F114" s="6" t="s">
        <v>88</v>
      </c>
      <c r="G114" s="5">
        <v>24</v>
      </c>
      <c r="H114" s="8">
        <v>44571</v>
      </c>
      <c r="I114" s="6" t="s">
        <v>47</v>
      </c>
      <c r="J114" s="6" t="s">
        <v>22</v>
      </c>
    </row>
    <row r="115" spans="1:10" x14ac:dyDescent="0.3">
      <c r="A115" s="6" t="s">
        <v>158</v>
      </c>
      <c r="B115" s="6" t="s">
        <v>11</v>
      </c>
      <c r="C115" s="7">
        <v>29</v>
      </c>
      <c r="D115" s="5" t="s">
        <v>18</v>
      </c>
      <c r="E115" s="6" t="s">
        <v>13</v>
      </c>
      <c r="F115" s="6" t="s">
        <v>14</v>
      </c>
      <c r="G115" s="5">
        <v>33</v>
      </c>
      <c r="H115" s="8">
        <v>44273</v>
      </c>
      <c r="I115" s="6" t="s">
        <v>15</v>
      </c>
      <c r="J115" s="6" t="s">
        <v>22</v>
      </c>
    </row>
    <row r="116" spans="1:10" x14ac:dyDescent="0.3">
      <c r="A116" s="6" t="s">
        <v>159</v>
      </c>
      <c r="B116" s="6" t="s">
        <v>42</v>
      </c>
      <c r="C116" s="7">
        <v>40</v>
      </c>
      <c r="D116" s="5" t="s">
        <v>12</v>
      </c>
      <c r="E116" s="6" t="s">
        <v>13</v>
      </c>
      <c r="F116" s="6" t="s">
        <v>56</v>
      </c>
      <c r="G116" s="5">
        <v>28</v>
      </c>
      <c r="H116" s="8">
        <v>44446</v>
      </c>
      <c r="I116" s="6" t="s">
        <v>39</v>
      </c>
      <c r="J116" s="6" t="s">
        <v>22</v>
      </c>
    </row>
    <row r="117" spans="1:10" x14ac:dyDescent="0.3">
      <c r="A117" s="6" t="s">
        <v>160</v>
      </c>
      <c r="B117" s="6" t="s">
        <v>11</v>
      </c>
      <c r="C117" s="7">
        <v>18</v>
      </c>
      <c r="D117" s="5" t="s">
        <v>32</v>
      </c>
      <c r="E117" s="6" t="s">
        <v>13</v>
      </c>
      <c r="F117" s="6" t="s">
        <v>54</v>
      </c>
      <c r="G117" s="5">
        <v>56</v>
      </c>
      <c r="H117" s="8">
        <v>43596</v>
      </c>
      <c r="I117" s="6" t="s">
        <v>34</v>
      </c>
      <c r="J117" s="6" t="s">
        <v>65</v>
      </c>
    </row>
    <row r="118" spans="1:10" x14ac:dyDescent="0.3">
      <c r="A118" s="6" t="s">
        <v>161</v>
      </c>
      <c r="B118" s="6" t="s">
        <v>24</v>
      </c>
      <c r="C118" s="7">
        <v>33</v>
      </c>
      <c r="D118" s="5" t="s">
        <v>18</v>
      </c>
      <c r="E118" s="6" t="s">
        <v>13</v>
      </c>
      <c r="F118" s="6" t="s">
        <v>88</v>
      </c>
      <c r="G118" s="5">
        <v>25</v>
      </c>
      <c r="H118" s="8">
        <v>44540</v>
      </c>
      <c r="I118" s="6" t="s">
        <v>47</v>
      </c>
      <c r="J118" s="6" t="s">
        <v>16</v>
      </c>
    </row>
    <row r="119" spans="1:10" x14ac:dyDescent="0.3">
      <c r="A119" s="6" t="s">
        <v>162</v>
      </c>
      <c r="B119" s="6" t="s">
        <v>42</v>
      </c>
      <c r="C119" s="7">
        <v>24</v>
      </c>
      <c r="D119" s="5" t="s">
        <v>32</v>
      </c>
      <c r="E119" s="6" t="s">
        <v>13</v>
      </c>
      <c r="F119" s="6" t="s">
        <v>64</v>
      </c>
      <c r="G119" s="5">
        <v>4</v>
      </c>
      <c r="H119" s="8">
        <v>45158</v>
      </c>
      <c r="I119" s="6" t="s">
        <v>62</v>
      </c>
      <c r="J119" s="6" t="s">
        <v>16</v>
      </c>
    </row>
    <row r="120" spans="1:10" x14ac:dyDescent="0.3">
      <c r="A120" s="6" t="s">
        <v>163</v>
      </c>
      <c r="B120" s="6" t="s">
        <v>24</v>
      </c>
      <c r="C120" s="7">
        <v>33</v>
      </c>
      <c r="D120" s="5" t="s">
        <v>18</v>
      </c>
      <c r="E120" s="6" t="s">
        <v>19</v>
      </c>
      <c r="F120" s="6" t="s">
        <v>56</v>
      </c>
      <c r="G120" s="5">
        <v>39</v>
      </c>
      <c r="H120" s="8">
        <v>44120</v>
      </c>
      <c r="I120" s="6" t="s">
        <v>34</v>
      </c>
      <c r="J120" s="6" t="s">
        <v>22</v>
      </c>
    </row>
    <row r="121" spans="1:10" x14ac:dyDescent="0.3">
      <c r="A121" s="6" t="s">
        <v>164</v>
      </c>
      <c r="B121" s="6" t="s">
        <v>61</v>
      </c>
      <c r="C121" s="7">
        <v>18</v>
      </c>
      <c r="D121" s="5" t="s">
        <v>32</v>
      </c>
      <c r="E121" s="6" t="s">
        <v>13</v>
      </c>
      <c r="F121" s="6" t="s">
        <v>88</v>
      </c>
      <c r="G121" s="5">
        <v>22</v>
      </c>
      <c r="H121" s="8">
        <v>44610</v>
      </c>
      <c r="I121" s="6" t="s">
        <v>39</v>
      </c>
      <c r="J121" s="6" t="s">
        <v>27</v>
      </c>
    </row>
    <row r="122" spans="1:10" x14ac:dyDescent="0.3">
      <c r="A122" s="6" t="s">
        <v>165</v>
      </c>
      <c r="B122" s="6" t="s">
        <v>24</v>
      </c>
      <c r="C122" s="7">
        <v>29</v>
      </c>
      <c r="D122" s="5" t="s">
        <v>18</v>
      </c>
      <c r="E122" s="6" t="s">
        <v>19</v>
      </c>
      <c r="F122" s="6" t="s">
        <v>64</v>
      </c>
      <c r="G122" s="5">
        <v>40</v>
      </c>
      <c r="H122" s="8">
        <v>44067</v>
      </c>
      <c r="I122" s="6" t="s">
        <v>21</v>
      </c>
      <c r="J122" s="6" t="s">
        <v>22</v>
      </c>
    </row>
    <row r="123" spans="1:10" x14ac:dyDescent="0.3">
      <c r="A123" s="6" t="s">
        <v>166</v>
      </c>
      <c r="B123" s="6" t="s">
        <v>31</v>
      </c>
      <c r="C123" s="7">
        <v>33</v>
      </c>
      <c r="D123" s="5" t="s">
        <v>18</v>
      </c>
      <c r="E123" s="6" t="s">
        <v>19</v>
      </c>
      <c r="F123" s="6" t="s">
        <v>88</v>
      </c>
      <c r="G123" s="5">
        <v>53</v>
      </c>
      <c r="H123" s="8">
        <v>43676</v>
      </c>
      <c r="I123" s="6" t="s">
        <v>49</v>
      </c>
      <c r="J123" s="6" t="s">
        <v>16</v>
      </c>
    </row>
    <row r="124" spans="1:10" x14ac:dyDescent="0.3">
      <c r="A124" s="6" t="s">
        <v>167</v>
      </c>
      <c r="B124" s="6" t="s">
        <v>24</v>
      </c>
      <c r="C124" s="7">
        <v>38</v>
      </c>
      <c r="D124" s="5" t="s">
        <v>12</v>
      </c>
      <c r="E124" s="6" t="s">
        <v>19</v>
      </c>
      <c r="F124" s="6" t="s">
        <v>36</v>
      </c>
      <c r="G124" s="5">
        <v>60</v>
      </c>
      <c r="H124" s="8">
        <v>43475</v>
      </c>
      <c r="I124" s="6" t="s">
        <v>47</v>
      </c>
      <c r="J124" s="6" t="s">
        <v>22</v>
      </c>
    </row>
    <row r="125" spans="1:10" x14ac:dyDescent="0.3">
      <c r="A125" s="6" t="s">
        <v>168</v>
      </c>
      <c r="B125" s="6" t="s">
        <v>11</v>
      </c>
      <c r="C125" s="7">
        <v>33</v>
      </c>
      <c r="D125" s="5" t="s">
        <v>18</v>
      </c>
      <c r="E125" s="6" t="s">
        <v>19</v>
      </c>
      <c r="F125" s="6" t="s">
        <v>14</v>
      </c>
      <c r="G125" s="5">
        <v>42</v>
      </c>
      <c r="H125" s="8">
        <v>44013</v>
      </c>
      <c r="I125" s="6" t="s">
        <v>26</v>
      </c>
      <c r="J125" s="6" t="s">
        <v>16</v>
      </c>
    </row>
    <row r="126" spans="1:10" x14ac:dyDescent="0.3">
      <c r="A126" s="6" t="s">
        <v>169</v>
      </c>
      <c r="B126" s="6" t="s">
        <v>24</v>
      </c>
      <c r="C126" s="7">
        <v>28</v>
      </c>
      <c r="D126" s="5" t="s">
        <v>18</v>
      </c>
      <c r="E126" s="6" t="s">
        <v>19</v>
      </c>
      <c r="F126" s="6" t="s">
        <v>14</v>
      </c>
      <c r="G126" s="5">
        <v>20</v>
      </c>
      <c r="H126" s="8">
        <v>44673</v>
      </c>
      <c r="I126" s="6" t="s">
        <v>29</v>
      </c>
      <c r="J126" s="6" t="s">
        <v>27</v>
      </c>
    </row>
    <row r="127" spans="1:10" x14ac:dyDescent="0.3">
      <c r="A127" s="6" t="s">
        <v>170</v>
      </c>
      <c r="B127" s="6" t="s">
        <v>24</v>
      </c>
      <c r="C127" s="7">
        <v>53</v>
      </c>
      <c r="D127" s="5" t="s">
        <v>46</v>
      </c>
      <c r="E127" s="6" t="s">
        <v>13</v>
      </c>
      <c r="F127" s="6" t="s">
        <v>14</v>
      </c>
      <c r="G127" s="5">
        <v>52</v>
      </c>
      <c r="H127" s="8">
        <v>43732</v>
      </c>
      <c r="I127" s="6" t="s">
        <v>26</v>
      </c>
      <c r="J127" s="6" t="s">
        <v>16</v>
      </c>
    </row>
    <row r="128" spans="1:10" x14ac:dyDescent="0.3">
      <c r="A128" s="6" t="s">
        <v>171</v>
      </c>
      <c r="B128" s="6" t="s">
        <v>31</v>
      </c>
      <c r="C128" s="7">
        <v>46</v>
      </c>
      <c r="D128" s="5" t="s">
        <v>46</v>
      </c>
      <c r="E128" s="6" t="s">
        <v>13</v>
      </c>
      <c r="F128" s="6" t="s">
        <v>38</v>
      </c>
      <c r="G128" s="5">
        <v>29</v>
      </c>
      <c r="H128" s="8">
        <v>44416</v>
      </c>
      <c r="I128" s="6" t="s">
        <v>34</v>
      </c>
      <c r="J128" s="6" t="s">
        <v>22</v>
      </c>
    </row>
    <row r="129" spans="1:10" x14ac:dyDescent="0.3">
      <c r="A129" s="6" t="s">
        <v>172</v>
      </c>
      <c r="B129" s="6" t="s">
        <v>11</v>
      </c>
      <c r="C129" s="7">
        <v>32</v>
      </c>
      <c r="D129" s="5" t="s">
        <v>18</v>
      </c>
      <c r="E129" s="6" t="s">
        <v>19</v>
      </c>
      <c r="F129" s="6" t="s">
        <v>14</v>
      </c>
      <c r="G129" s="5">
        <v>22</v>
      </c>
      <c r="H129" s="8">
        <v>44605</v>
      </c>
      <c r="I129" s="6" t="s">
        <v>21</v>
      </c>
      <c r="J129" s="6" t="s">
        <v>27</v>
      </c>
    </row>
    <row r="130" spans="1:10" x14ac:dyDescent="0.3">
      <c r="A130" s="6" t="s">
        <v>173</v>
      </c>
      <c r="B130" s="6" t="s">
        <v>31</v>
      </c>
      <c r="C130" s="7">
        <v>30</v>
      </c>
      <c r="D130" s="5" t="s">
        <v>18</v>
      </c>
      <c r="E130" s="6" t="s">
        <v>19</v>
      </c>
      <c r="F130" s="6" t="s">
        <v>64</v>
      </c>
      <c r="G130" s="5">
        <v>54</v>
      </c>
      <c r="H130" s="8">
        <v>43649</v>
      </c>
      <c r="I130" s="6" t="s">
        <v>26</v>
      </c>
      <c r="J130" s="6" t="s">
        <v>16</v>
      </c>
    </row>
    <row r="131" spans="1:10" x14ac:dyDescent="0.3">
      <c r="A131" s="6" t="s">
        <v>174</v>
      </c>
      <c r="B131" s="6" t="s">
        <v>61</v>
      </c>
      <c r="C131" s="7">
        <v>29</v>
      </c>
      <c r="D131" s="5" t="s">
        <v>18</v>
      </c>
      <c r="E131" s="6" t="s">
        <v>19</v>
      </c>
      <c r="F131" s="6" t="s">
        <v>36</v>
      </c>
      <c r="G131" s="5">
        <v>10</v>
      </c>
      <c r="H131" s="8">
        <v>44988</v>
      </c>
      <c r="I131" s="6" t="s">
        <v>62</v>
      </c>
      <c r="J131" s="6" t="s">
        <v>27</v>
      </c>
    </row>
    <row r="132" spans="1:10" x14ac:dyDescent="0.3">
      <c r="A132" s="6" t="s">
        <v>175</v>
      </c>
      <c r="B132" s="6" t="s">
        <v>11</v>
      </c>
      <c r="C132" s="7">
        <v>24</v>
      </c>
      <c r="D132" s="5" t="s">
        <v>32</v>
      </c>
      <c r="E132" s="6" t="s">
        <v>13</v>
      </c>
      <c r="F132" s="6" t="s">
        <v>88</v>
      </c>
      <c r="G132" s="5">
        <v>59</v>
      </c>
      <c r="H132" s="8">
        <v>43509</v>
      </c>
      <c r="I132" s="6" t="s">
        <v>49</v>
      </c>
      <c r="J132" s="6" t="s">
        <v>22</v>
      </c>
    </row>
    <row r="133" spans="1:10" x14ac:dyDescent="0.3">
      <c r="A133" s="6" t="s">
        <v>176</v>
      </c>
      <c r="B133" s="6" t="s">
        <v>24</v>
      </c>
      <c r="C133" s="7">
        <v>30</v>
      </c>
      <c r="D133" s="5" t="s">
        <v>18</v>
      </c>
      <c r="E133" s="6" t="s">
        <v>13</v>
      </c>
      <c r="F133" s="6" t="s">
        <v>56</v>
      </c>
      <c r="G133" s="5">
        <v>21</v>
      </c>
      <c r="H133" s="8">
        <v>44644</v>
      </c>
      <c r="I133" s="6" t="s">
        <v>47</v>
      </c>
      <c r="J133" s="6" t="s">
        <v>16</v>
      </c>
    </row>
    <row r="134" spans="1:10" x14ac:dyDescent="0.3">
      <c r="A134" s="6" t="s">
        <v>177</v>
      </c>
      <c r="B134" s="6" t="s">
        <v>11</v>
      </c>
      <c r="C134" s="7">
        <v>36</v>
      </c>
      <c r="D134" s="5" t="s">
        <v>12</v>
      </c>
      <c r="E134" s="6" t="s">
        <v>19</v>
      </c>
      <c r="F134" s="6" t="s">
        <v>14</v>
      </c>
      <c r="G134" s="5">
        <v>26</v>
      </c>
      <c r="H134" s="8">
        <v>44510</v>
      </c>
      <c r="I134" s="6" t="s">
        <v>15</v>
      </c>
      <c r="J134" s="6" t="s">
        <v>16</v>
      </c>
    </row>
    <row r="135" spans="1:10" x14ac:dyDescent="0.3">
      <c r="A135" s="6" t="s">
        <v>178</v>
      </c>
      <c r="B135" s="6" t="s">
        <v>42</v>
      </c>
      <c r="C135" s="7">
        <v>52</v>
      </c>
      <c r="D135" s="5" t="s">
        <v>46</v>
      </c>
      <c r="E135" s="6" t="s">
        <v>19</v>
      </c>
      <c r="F135" s="6" t="s">
        <v>88</v>
      </c>
      <c r="G135" s="5">
        <v>60</v>
      </c>
      <c r="H135" s="8">
        <v>43474</v>
      </c>
      <c r="I135" s="6" t="s">
        <v>29</v>
      </c>
      <c r="J135" s="6" t="s">
        <v>27</v>
      </c>
    </row>
    <row r="136" spans="1:10" x14ac:dyDescent="0.3">
      <c r="A136" s="6" t="s">
        <v>179</v>
      </c>
      <c r="B136" s="6" t="s">
        <v>42</v>
      </c>
      <c r="C136" s="7">
        <v>23</v>
      </c>
      <c r="D136" s="5" t="s">
        <v>32</v>
      </c>
      <c r="E136" s="6" t="s">
        <v>13</v>
      </c>
      <c r="F136" s="6" t="s">
        <v>20</v>
      </c>
      <c r="G136" s="5">
        <v>49</v>
      </c>
      <c r="H136" s="8">
        <v>43794</v>
      </c>
      <c r="I136" s="6" t="s">
        <v>26</v>
      </c>
      <c r="J136" s="6" t="s">
        <v>16</v>
      </c>
    </row>
    <row r="137" spans="1:10" x14ac:dyDescent="0.3">
      <c r="A137" s="6" t="s">
        <v>180</v>
      </c>
      <c r="B137" s="6" t="s">
        <v>31</v>
      </c>
      <c r="C137" s="7">
        <v>32</v>
      </c>
      <c r="D137" s="5" t="s">
        <v>18</v>
      </c>
      <c r="E137" s="6" t="s">
        <v>13</v>
      </c>
      <c r="F137" s="6" t="s">
        <v>25</v>
      </c>
      <c r="G137" s="5">
        <v>51</v>
      </c>
      <c r="H137" s="8">
        <v>43735</v>
      </c>
      <c r="I137" s="6" t="s">
        <v>15</v>
      </c>
      <c r="J137" s="6" t="s">
        <v>27</v>
      </c>
    </row>
    <row r="138" spans="1:10" x14ac:dyDescent="0.3">
      <c r="A138" s="6" t="s">
        <v>181</v>
      </c>
      <c r="B138" s="6" t="s">
        <v>31</v>
      </c>
      <c r="C138" s="7">
        <v>40</v>
      </c>
      <c r="D138" s="5" t="s">
        <v>12</v>
      </c>
      <c r="E138" s="6" t="s">
        <v>13</v>
      </c>
      <c r="F138" s="6" t="s">
        <v>64</v>
      </c>
      <c r="G138" s="5">
        <v>26</v>
      </c>
      <c r="H138" s="8">
        <v>44496</v>
      </c>
      <c r="I138" s="6" t="s">
        <v>49</v>
      </c>
      <c r="J138" s="6" t="s">
        <v>27</v>
      </c>
    </row>
    <row r="139" spans="1:10" x14ac:dyDescent="0.3">
      <c r="A139" s="6" t="s">
        <v>182</v>
      </c>
      <c r="B139" s="6" t="s">
        <v>11</v>
      </c>
      <c r="C139" s="7">
        <v>40</v>
      </c>
      <c r="D139" s="5" t="s">
        <v>12</v>
      </c>
      <c r="E139" s="6" t="s">
        <v>19</v>
      </c>
      <c r="F139" s="6" t="s">
        <v>20</v>
      </c>
      <c r="G139" s="5">
        <v>57</v>
      </c>
      <c r="H139" s="8">
        <v>43553</v>
      </c>
      <c r="I139" s="6" t="s">
        <v>47</v>
      </c>
      <c r="J139" s="6" t="s">
        <v>22</v>
      </c>
    </row>
    <row r="140" spans="1:10" x14ac:dyDescent="0.3">
      <c r="A140" s="6" t="s">
        <v>183</v>
      </c>
      <c r="B140" s="6" t="s">
        <v>61</v>
      </c>
      <c r="C140" s="7">
        <v>18</v>
      </c>
      <c r="D140" s="5" t="s">
        <v>32</v>
      </c>
      <c r="E140" s="6" t="s">
        <v>19</v>
      </c>
      <c r="F140" s="6" t="s">
        <v>38</v>
      </c>
      <c r="G140" s="5">
        <v>3</v>
      </c>
      <c r="H140" s="8">
        <v>45197</v>
      </c>
      <c r="I140" s="6" t="s">
        <v>49</v>
      </c>
      <c r="J140" s="6" t="s">
        <v>27</v>
      </c>
    </row>
    <row r="141" spans="1:10" x14ac:dyDescent="0.3">
      <c r="A141" s="6" t="s">
        <v>184</v>
      </c>
      <c r="B141" s="6" t="s">
        <v>11</v>
      </c>
      <c r="C141" s="7">
        <v>41</v>
      </c>
      <c r="D141" s="5" t="s">
        <v>12</v>
      </c>
      <c r="E141" s="6" t="s">
        <v>13</v>
      </c>
      <c r="F141" s="6" t="s">
        <v>20</v>
      </c>
      <c r="G141" s="5">
        <v>37</v>
      </c>
      <c r="H141" s="8">
        <v>44157</v>
      </c>
      <c r="I141" s="6" t="s">
        <v>15</v>
      </c>
      <c r="J141" s="6" t="s">
        <v>22</v>
      </c>
    </row>
    <row r="142" spans="1:10" x14ac:dyDescent="0.3">
      <c r="A142" s="6" t="s">
        <v>185</v>
      </c>
      <c r="B142" s="6" t="s">
        <v>24</v>
      </c>
      <c r="C142" s="7">
        <v>38</v>
      </c>
      <c r="D142" s="5" t="s">
        <v>12</v>
      </c>
      <c r="E142" s="6" t="s">
        <v>13</v>
      </c>
      <c r="F142" s="6" t="s">
        <v>54</v>
      </c>
      <c r="G142" s="5">
        <v>46</v>
      </c>
      <c r="H142" s="8">
        <v>43910</v>
      </c>
      <c r="I142" s="6" t="s">
        <v>62</v>
      </c>
      <c r="J142" s="6" t="s">
        <v>16</v>
      </c>
    </row>
    <row r="143" spans="1:10" x14ac:dyDescent="0.3">
      <c r="A143" s="6" t="s">
        <v>186</v>
      </c>
      <c r="B143" s="6" t="s">
        <v>11</v>
      </c>
      <c r="C143" s="7">
        <v>30</v>
      </c>
      <c r="D143" s="5" t="s">
        <v>18</v>
      </c>
      <c r="E143" s="6" t="s">
        <v>13</v>
      </c>
      <c r="F143" s="6" t="s">
        <v>33</v>
      </c>
      <c r="G143" s="5">
        <v>22</v>
      </c>
      <c r="H143" s="8">
        <v>44610</v>
      </c>
      <c r="I143" s="6" t="s">
        <v>49</v>
      </c>
      <c r="J143" s="6" t="s">
        <v>27</v>
      </c>
    </row>
    <row r="144" spans="1:10" x14ac:dyDescent="0.3">
      <c r="A144" s="6" t="s">
        <v>187</v>
      </c>
      <c r="B144" s="6" t="s">
        <v>61</v>
      </c>
      <c r="C144" s="7">
        <v>32</v>
      </c>
      <c r="D144" s="5" t="s">
        <v>18</v>
      </c>
      <c r="E144" s="6" t="s">
        <v>19</v>
      </c>
      <c r="F144" s="6" t="s">
        <v>54</v>
      </c>
      <c r="G144" s="5">
        <v>27</v>
      </c>
      <c r="H144" s="8">
        <v>44467</v>
      </c>
      <c r="I144" s="6" t="s">
        <v>15</v>
      </c>
      <c r="J144" s="6" t="s">
        <v>16</v>
      </c>
    </row>
    <row r="145" spans="1:10" x14ac:dyDescent="0.3">
      <c r="A145" s="6" t="s">
        <v>188</v>
      </c>
      <c r="B145" s="6" t="s">
        <v>31</v>
      </c>
      <c r="C145" s="7">
        <v>28</v>
      </c>
      <c r="D145" s="5" t="s">
        <v>18</v>
      </c>
      <c r="E145" s="6" t="s">
        <v>13</v>
      </c>
      <c r="F145" s="6" t="s">
        <v>88</v>
      </c>
      <c r="G145" s="5">
        <v>50</v>
      </c>
      <c r="H145" s="8">
        <v>43779</v>
      </c>
      <c r="I145" s="6" t="s">
        <v>62</v>
      </c>
      <c r="J145" s="6" t="s">
        <v>16</v>
      </c>
    </row>
    <row r="146" spans="1:10" x14ac:dyDescent="0.3">
      <c r="A146" s="6" t="s">
        <v>189</v>
      </c>
      <c r="B146" s="6" t="s">
        <v>24</v>
      </c>
      <c r="C146" s="7">
        <v>26</v>
      </c>
      <c r="D146" s="5" t="s">
        <v>18</v>
      </c>
      <c r="E146" s="6" t="s">
        <v>13</v>
      </c>
      <c r="F146" s="6" t="s">
        <v>88</v>
      </c>
      <c r="G146" s="5">
        <v>49</v>
      </c>
      <c r="H146" s="8">
        <v>43821</v>
      </c>
      <c r="I146" s="6" t="s">
        <v>15</v>
      </c>
      <c r="J146" s="6" t="s">
        <v>27</v>
      </c>
    </row>
    <row r="147" spans="1:10" x14ac:dyDescent="0.3">
      <c r="A147" s="6" t="s">
        <v>190</v>
      </c>
      <c r="B147" s="6" t="s">
        <v>31</v>
      </c>
      <c r="C147" s="7">
        <v>26</v>
      </c>
      <c r="D147" s="5" t="s">
        <v>18</v>
      </c>
      <c r="E147" s="6" t="s">
        <v>105</v>
      </c>
      <c r="F147" s="6" t="s">
        <v>36</v>
      </c>
      <c r="G147" s="5">
        <v>52</v>
      </c>
      <c r="H147" s="8">
        <v>43703</v>
      </c>
      <c r="I147" s="6" t="s">
        <v>34</v>
      </c>
      <c r="J147" s="6" t="s">
        <v>65</v>
      </c>
    </row>
    <row r="148" spans="1:10" x14ac:dyDescent="0.3">
      <c r="A148" s="6" t="s">
        <v>191</v>
      </c>
      <c r="B148" s="6" t="s">
        <v>24</v>
      </c>
      <c r="C148" s="7">
        <v>30</v>
      </c>
      <c r="D148" s="5" t="s">
        <v>18</v>
      </c>
      <c r="E148" s="6" t="s">
        <v>13</v>
      </c>
      <c r="F148" s="6" t="s">
        <v>20</v>
      </c>
      <c r="G148" s="5">
        <v>26</v>
      </c>
      <c r="H148" s="8">
        <v>44485</v>
      </c>
      <c r="I148" s="6" t="s">
        <v>15</v>
      </c>
      <c r="J148" s="6" t="s">
        <v>27</v>
      </c>
    </row>
    <row r="149" spans="1:10" x14ac:dyDescent="0.3">
      <c r="A149" s="6" t="s">
        <v>192</v>
      </c>
      <c r="B149" s="6" t="s">
        <v>31</v>
      </c>
      <c r="C149" s="7">
        <v>18</v>
      </c>
      <c r="D149" s="5" t="s">
        <v>32</v>
      </c>
      <c r="E149" s="6" t="s">
        <v>19</v>
      </c>
      <c r="F149" s="6" t="s">
        <v>54</v>
      </c>
      <c r="G149" s="5">
        <v>38</v>
      </c>
      <c r="H149" s="8">
        <v>44152</v>
      </c>
      <c r="I149" s="6" t="s">
        <v>47</v>
      </c>
      <c r="J149" s="6" t="s">
        <v>27</v>
      </c>
    </row>
    <row r="150" spans="1:10" x14ac:dyDescent="0.3">
      <c r="A150" s="6" t="s">
        <v>193</v>
      </c>
      <c r="B150" s="6" t="s">
        <v>31</v>
      </c>
      <c r="C150" s="7">
        <v>44</v>
      </c>
      <c r="D150" s="5" t="s">
        <v>12</v>
      </c>
      <c r="E150" s="6" t="s">
        <v>19</v>
      </c>
      <c r="F150" s="6" t="s">
        <v>56</v>
      </c>
      <c r="G150" s="5">
        <v>5</v>
      </c>
      <c r="H150" s="8">
        <v>45139</v>
      </c>
      <c r="I150" s="6" t="s">
        <v>26</v>
      </c>
      <c r="J150" s="6" t="s">
        <v>22</v>
      </c>
    </row>
    <row r="151" spans="1:10" x14ac:dyDescent="0.3">
      <c r="A151" s="6" t="s">
        <v>194</v>
      </c>
      <c r="B151" s="6" t="s">
        <v>11</v>
      </c>
      <c r="C151" s="7">
        <v>36</v>
      </c>
      <c r="D151" s="5" t="s">
        <v>12</v>
      </c>
      <c r="E151" s="6" t="s">
        <v>19</v>
      </c>
      <c r="F151" s="6" t="s">
        <v>54</v>
      </c>
      <c r="G151" s="5">
        <v>8</v>
      </c>
      <c r="H151" s="8">
        <v>45043</v>
      </c>
      <c r="I151" s="6" t="s">
        <v>29</v>
      </c>
      <c r="J151" s="6" t="s">
        <v>27</v>
      </c>
    </row>
    <row r="152" spans="1:10" x14ac:dyDescent="0.3">
      <c r="A152" s="6" t="s">
        <v>195</v>
      </c>
      <c r="B152" s="6" t="s">
        <v>61</v>
      </c>
      <c r="C152" s="7">
        <v>39</v>
      </c>
      <c r="D152" s="5" t="s">
        <v>12</v>
      </c>
      <c r="E152" s="6" t="s">
        <v>13</v>
      </c>
      <c r="F152" s="6" t="s">
        <v>38</v>
      </c>
      <c r="G152" s="5">
        <v>45</v>
      </c>
      <c r="H152" s="8">
        <v>43924</v>
      </c>
      <c r="I152" s="6" t="s">
        <v>47</v>
      </c>
      <c r="J152" s="6" t="s">
        <v>16</v>
      </c>
    </row>
    <row r="153" spans="1:10" x14ac:dyDescent="0.3">
      <c r="A153" s="6" t="s">
        <v>196</v>
      </c>
      <c r="B153" s="6" t="s">
        <v>61</v>
      </c>
      <c r="C153" s="7">
        <v>36</v>
      </c>
      <c r="D153" s="5" t="s">
        <v>12</v>
      </c>
      <c r="E153" s="6" t="s">
        <v>105</v>
      </c>
      <c r="F153" s="6" t="s">
        <v>33</v>
      </c>
      <c r="G153" s="5">
        <v>3</v>
      </c>
      <c r="H153" s="8">
        <v>45175</v>
      </c>
      <c r="I153" s="6" t="s">
        <v>15</v>
      </c>
      <c r="J153" s="6" t="s">
        <v>16</v>
      </c>
    </row>
    <row r="154" spans="1:10" x14ac:dyDescent="0.3">
      <c r="A154" s="6" t="s">
        <v>197</v>
      </c>
      <c r="B154" s="6" t="s">
        <v>61</v>
      </c>
      <c r="C154" s="7">
        <v>27</v>
      </c>
      <c r="D154" s="5" t="s">
        <v>18</v>
      </c>
      <c r="E154" s="6" t="s">
        <v>13</v>
      </c>
      <c r="F154" s="6" t="s">
        <v>20</v>
      </c>
      <c r="G154" s="5">
        <v>41</v>
      </c>
      <c r="H154" s="8">
        <v>44060</v>
      </c>
      <c r="I154" s="6" t="s">
        <v>39</v>
      </c>
      <c r="J154" s="6" t="s">
        <v>22</v>
      </c>
    </row>
    <row r="155" spans="1:10" x14ac:dyDescent="0.3">
      <c r="A155" s="6" t="s">
        <v>198</v>
      </c>
      <c r="B155" s="6" t="s">
        <v>11</v>
      </c>
      <c r="C155" s="7">
        <v>48</v>
      </c>
      <c r="D155" s="5" t="s">
        <v>46</v>
      </c>
      <c r="E155" s="6" t="s">
        <v>19</v>
      </c>
      <c r="F155" s="6" t="s">
        <v>38</v>
      </c>
      <c r="G155" s="5">
        <v>35</v>
      </c>
      <c r="H155" s="8">
        <v>44237</v>
      </c>
      <c r="I155" s="6" t="s">
        <v>34</v>
      </c>
      <c r="J155" s="6" t="s">
        <v>16</v>
      </c>
    </row>
    <row r="156" spans="1:10" x14ac:dyDescent="0.3">
      <c r="A156" s="6" t="s">
        <v>199</v>
      </c>
      <c r="B156" s="6" t="s">
        <v>42</v>
      </c>
      <c r="C156" s="7">
        <v>39</v>
      </c>
      <c r="D156" s="5" t="s">
        <v>12</v>
      </c>
      <c r="E156" s="6" t="s">
        <v>13</v>
      </c>
      <c r="F156" s="6" t="s">
        <v>20</v>
      </c>
      <c r="G156" s="5">
        <v>25</v>
      </c>
      <c r="H156" s="8">
        <v>44534</v>
      </c>
      <c r="I156" s="6" t="s">
        <v>62</v>
      </c>
      <c r="J156" s="6" t="s">
        <v>65</v>
      </c>
    </row>
    <row r="157" spans="1:10" x14ac:dyDescent="0.3">
      <c r="A157" s="6" t="s">
        <v>200</v>
      </c>
      <c r="B157" s="6" t="s">
        <v>11</v>
      </c>
      <c r="C157" s="7">
        <v>55</v>
      </c>
      <c r="D157" s="5" t="s">
        <v>201</v>
      </c>
      <c r="E157" s="6" t="s">
        <v>19</v>
      </c>
      <c r="F157" s="6" t="s">
        <v>64</v>
      </c>
      <c r="G157" s="5">
        <v>22</v>
      </c>
      <c r="H157" s="8">
        <v>44614</v>
      </c>
      <c r="I157" s="6" t="s">
        <v>34</v>
      </c>
      <c r="J157" s="6" t="s">
        <v>16</v>
      </c>
    </row>
    <row r="158" spans="1:10" x14ac:dyDescent="0.3">
      <c r="A158" s="6" t="s">
        <v>202</v>
      </c>
      <c r="B158" s="6" t="s">
        <v>31</v>
      </c>
      <c r="C158" s="7">
        <v>18</v>
      </c>
      <c r="D158" s="5" t="s">
        <v>32</v>
      </c>
      <c r="E158" s="6" t="s">
        <v>13</v>
      </c>
      <c r="F158" s="6" t="s">
        <v>33</v>
      </c>
      <c r="G158" s="5">
        <v>7</v>
      </c>
      <c r="H158" s="8">
        <v>45072</v>
      </c>
      <c r="I158" s="6" t="s">
        <v>34</v>
      </c>
      <c r="J158" s="6" t="s">
        <v>22</v>
      </c>
    </row>
    <row r="159" spans="1:10" x14ac:dyDescent="0.3">
      <c r="A159" s="6" t="s">
        <v>203</v>
      </c>
      <c r="B159" s="6" t="s">
        <v>31</v>
      </c>
      <c r="C159" s="7">
        <v>35</v>
      </c>
      <c r="D159" s="5" t="s">
        <v>12</v>
      </c>
      <c r="E159" s="6" t="s">
        <v>13</v>
      </c>
      <c r="F159" s="6" t="s">
        <v>36</v>
      </c>
      <c r="G159" s="5">
        <v>10</v>
      </c>
      <c r="H159" s="8">
        <v>44964</v>
      </c>
      <c r="I159" s="6" t="s">
        <v>29</v>
      </c>
      <c r="J159" s="6" t="s">
        <v>16</v>
      </c>
    </row>
    <row r="160" spans="1:10" x14ac:dyDescent="0.3">
      <c r="A160" s="6" t="s">
        <v>204</v>
      </c>
      <c r="B160" s="6" t="s">
        <v>61</v>
      </c>
      <c r="C160" s="7">
        <v>36</v>
      </c>
      <c r="D160" s="5" t="s">
        <v>12</v>
      </c>
      <c r="E160" s="6" t="s">
        <v>13</v>
      </c>
      <c r="F160" s="6" t="s">
        <v>88</v>
      </c>
      <c r="G160" s="5">
        <v>26</v>
      </c>
      <c r="H160" s="8">
        <v>44484</v>
      </c>
      <c r="I160" s="6" t="s">
        <v>34</v>
      </c>
      <c r="J160" s="6" t="s">
        <v>27</v>
      </c>
    </row>
    <row r="161" spans="1:10" x14ac:dyDescent="0.3">
      <c r="A161" s="6" t="s">
        <v>205</v>
      </c>
      <c r="B161" s="6" t="s">
        <v>61</v>
      </c>
      <c r="C161" s="7">
        <v>18</v>
      </c>
      <c r="D161" s="5" t="s">
        <v>32</v>
      </c>
      <c r="E161" s="6" t="s">
        <v>19</v>
      </c>
      <c r="F161" s="6" t="s">
        <v>14</v>
      </c>
      <c r="G161" s="5">
        <v>51</v>
      </c>
      <c r="H161" s="8">
        <v>43757</v>
      </c>
      <c r="I161" s="6" t="s">
        <v>26</v>
      </c>
      <c r="J161" s="6" t="s">
        <v>65</v>
      </c>
    </row>
    <row r="162" spans="1:10" x14ac:dyDescent="0.3">
      <c r="A162" s="6" t="s">
        <v>206</v>
      </c>
      <c r="B162" s="6" t="s">
        <v>31</v>
      </c>
      <c r="C162" s="7">
        <v>41</v>
      </c>
      <c r="D162" s="5" t="s">
        <v>12</v>
      </c>
      <c r="E162" s="6" t="s">
        <v>19</v>
      </c>
      <c r="F162" s="6" t="s">
        <v>20</v>
      </c>
      <c r="G162" s="5">
        <v>30</v>
      </c>
      <c r="H162" s="8">
        <v>44365</v>
      </c>
      <c r="I162" s="6" t="s">
        <v>21</v>
      </c>
      <c r="J162" s="6" t="s">
        <v>22</v>
      </c>
    </row>
    <row r="163" spans="1:10" x14ac:dyDescent="0.3">
      <c r="A163" s="6" t="s">
        <v>207</v>
      </c>
      <c r="B163" s="6" t="s">
        <v>42</v>
      </c>
      <c r="C163" s="7">
        <v>22</v>
      </c>
      <c r="D163" s="5" t="s">
        <v>32</v>
      </c>
      <c r="E163" s="6" t="s">
        <v>13</v>
      </c>
      <c r="F163" s="6" t="s">
        <v>88</v>
      </c>
      <c r="G163" s="5">
        <v>33</v>
      </c>
      <c r="H163" s="8">
        <v>44281</v>
      </c>
      <c r="I163" s="6" t="s">
        <v>49</v>
      </c>
      <c r="J163" s="6" t="s">
        <v>27</v>
      </c>
    </row>
    <row r="164" spans="1:10" x14ac:dyDescent="0.3">
      <c r="A164" s="6" t="s">
        <v>208</v>
      </c>
      <c r="B164" s="6" t="s">
        <v>31</v>
      </c>
      <c r="C164" s="7">
        <v>33</v>
      </c>
      <c r="D164" s="5" t="s">
        <v>18</v>
      </c>
      <c r="E164" s="6" t="s">
        <v>19</v>
      </c>
      <c r="F164" s="6" t="s">
        <v>54</v>
      </c>
      <c r="G164" s="5">
        <v>45</v>
      </c>
      <c r="H164" s="8">
        <v>43937</v>
      </c>
      <c r="I164" s="6" t="s">
        <v>47</v>
      </c>
      <c r="J164" s="6" t="s">
        <v>27</v>
      </c>
    </row>
    <row r="165" spans="1:10" x14ac:dyDescent="0.3">
      <c r="A165" s="6" t="s">
        <v>209</v>
      </c>
      <c r="B165" s="6" t="s">
        <v>24</v>
      </c>
      <c r="C165" s="7">
        <v>26</v>
      </c>
      <c r="D165" s="5" t="s">
        <v>18</v>
      </c>
      <c r="E165" s="6" t="s">
        <v>19</v>
      </c>
      <c r="F165" s="6" t="s">
        <v>88</v>
      </c>
      <c r="G165" s="5">
        <v>16</v>
      </c>
      <c r="H165" s="8">
        <v>44810</v>
      </c>
      <c r="I165" s="6" t="s">
        <v>26</v>
      </c>
      <c r="J165" s="6" t="s">
        <v>27</v>
      </c>
    </row>
    <row r="166" spans="1:10" x14ac:dyDescent="0.3">
      <c r="A166" s="6" t="s">
        <v>210</v>
      </c>
      <c r="B166" s="6" t="s">
        <v>31</v>
      </c>
      <c r="C166" s="7">
        <v>25</v>
      </c>
      <c r="D166" s="5" t="s">
        <v>18</v>
      </c>
      <c r="E166" s="6" t="s">
        <v>19</v>
      </c>
      <c r="F166" s="6" t="s">
        <v>54</v>
      </c>
      <c r="G166" s="5">
        <v>24</v>
      </c>
      <c r="H166" s="8">
        <v>44549</v>
      </c>
      <c r="I166" s="6" t="s">
        <v>21</v>
      </c>
      <c r="J166" s="6" t="s">
        <v>27</v>
      </c>
    </row>
    <row r="167" spans="1:10" x14ac:dyDescent="0.3">
      <c r="A167" s="6" t="s">
        <v>211</v>
      </c>
      <c r="B167" s="6" t="s">
        <v>31</v>
      </c>
      <c r="C167" s="7">
        <v>29</v>
      </c>
      <c r="D167" s="5" t="s">
        <v>18</v>
      </c>
      <c r="E167" s="6" t="s">
        <v>19</v>
      </c>
      <c r="F167" s="6" t="s">
        <v>38</v>
      </c>
      <c r="G167" s="5">
        <v>47</v>
      </c>
      <c r="H167" s="8">
        <v>43876</v>
      </c>
      <c r="I167" s="6" t="s">
        <v>39</v>
      </c>
      <c r="J167" s="6" t="s">
        <v>65</v>
      </c>
    </row>
    <row r="168" spans="1:10" x14ac:dyDescent="0.3">
      <c r="A168" s="6" t="s">
        <v>212</v>
      </c>
      <c r="B168" s="6" t="s">
        <v>24</v>
      </c>
      <c r="C168" s="7">
        <v>28</v>
      </c>
      <c r="D168" s="5" t="s">
        <v>18</v>
      </c>
      <c r="E168" s="6" t="s">
        <v>13</v>
      </c>
      <c r="F168" s="6" t="s">
        <v>88</v>
      </c>
      <c r="G168" s="5">
        <v>14</v>
      </c>
      <c r="H168" s="8">
        <v>44858</v>
      </c>
      <c r="I168" s="6" t="s">
        <v>26</v>
      </c>
      <c r="J168" s="6" t="s">
        <v>27</v>
      </c>
    </row>
    <row r="169" spans="1:10" x14ac:dyDescent="0.3">
      <c r="A169" s="6" t="s">
        <v>213</v>
      </c>
      <c r="B169" s="6" t="s">
        <v>24</v>
      </c>
      <c r="C169" s="7">
        <v>23</v>
      </c>
      <c r="D169" s="5" t="s">
        <v>32</v>
      </c>
      <c r="E169" s="6" t="s">
        <v>13</v>
      </c>
      <c r="F169" s="6" t="s">
        <v>38</v>
      </c>
      <c r="G169" s="5">
        <v>18</v>
      </c>
      <c r="H169" s="8">
        <v>44725</v>
      </c>
      <c r="I169" s="6" t="s">
        <v>26</v>
      </c>
      <c r="J169" s="6" t="s">
        <v>27</v>
      </c>
    </row>
    <row r="170" spans="1:10" x14ac:dyDescent="0.3">
      <c r="A170" s="6" t="s">
        <v>214</v>
      </c>
      <c r="B170" s="6" t="s">
        <v>24</v>
      </c>
      <c r="C170" s="7">
        <v>33</v>
      </c>
      <c r="D170" s="5" t="s">
        <v>18</v>
      </c>
      <c r="E170" s="6" t="s">
        <v>19</v>
      </c>
      <c r="F170" s="6" t="s">
        <v>38</v>
      </c>
      <c r="G170" s="5">
        <v>46</v>
      </c>
      <c r="H170" s="8">
        <v>43886</v>
      </c>
      <c r="I170" s="6" t="s">
        <v>39</v>
      </c>
      <c r="J170" s="6" t="s">
        <v>27</v>
      </c>
    </row>
    <row r="171" spans="1:10" x14ac:dyDescent="0.3">
      <c r="A171" s="6" t="s">
        <v>215</v>
      </c>
      <c r="B171" s="6" t="s">
        <v>11</v>
      </c>
      <c r="C171" s="7">
        <v>39</v>
      </c>
      <c r="D171" s="5" t="s">
        <v>12</v>
      </c>
      <c r="E171" s="6" t="s">
        <v>19</v>
      </c>
      <c r="F171" s="6" t="s">
        <v>54</v>
      </c>
      <c r="G171" s="5">
        <v>38</v>
      </c>
      <c r="H171" s="8">
        <v>44126</v>
      </c>
      <c r="I171" s="6" t="s">
        <v>39</v>
      </c>
      <c r="J171" s="6" t="s">
        <v>27</v>
      </c>
    </row>
    <row r="172" spans="1:10" x14ac:dyDescent="0.3">
      <c r="A172" s="6" t="s">
        <v>216</v>
      </c>
      <c r="B172" s="6" t="s">
        <v>11</v>
      </c>
      <c r="C172" s="7">
        <v>25</v>
      </c>
      <c r="D172" s="5" t="s">
        <v>18</v>
      </c>
      <c r="E172" s="6" t="s">
        <v>19</v>
      </c>
      <c r="F172" s="6" t="s">
        <v>64</v>
      </c>
      <c r="G172" s="5">
        <v>47</v>
      </c>
      <c r="H172" s="8">
        <v>43860</v>
      </c>
      <c r="I172" s="6" t="s">
        <v>26</v>
      </c>
      <c r="J172" s="6" t="s">
        <v>27</v>
      </c>
    </row>
    <row r="173" spans="1:10" x14ac:dyDescent="0.3">
      <c r="A173" s="6" t="s">
        <v>217</v>
      </c>
      <c r="B173" s="6" t="s">
        <v>42</v>
      </c>
      <c r="C173" s="7">
        <v>52</v>
      </c>
      <c r="D173" s="5" t="s">
        <v>46</v>
      </c>
      <c r="E173" s="6" t="s">
        <v>19</v>
      </c>
      <c r="F173" s="6" t="s">
        <v>36</v>
      </c>
      <c r="G173" s="5">
        <v>38</v>
      </c>
      <c r="H173" s="8">
        <v>44137</v>
      </c>
      <c r="I173" s="6" t="s">
        <v>62</v>
      </c>
      <c r="J173" s="6" t="s">
        <v>16</v>
      </c>
    </row>
    <row r="174" spans="1:10" x14ac:dyDescent="0.3">
      <c r="A174" s="6" t="s">
        <v>218</v>
      </c>
      <c r="B174" s="6" t="s">
        <v>24</v>
      </c>
      <c r="C174" s="7">
        <v>18</v>
      </c>
      <c r="D174" s="5" t="s">
        <v>32</v>
      </c>
      <c r="E174" s="6" t="s">
        <v>19</v>
      </c>
      <c r="F174" s="6" t="s">
        <v>20</v>
      </c>
      <c r="G174" s="5">
        <v>21</v>
      </c>
      <c r="H174" s="8">
        <v>44653</v>
      </c>
      <c r="I174" s="6" t="s">
        <v>47</v>
      </c>
      <c r="J174" s="6" t="s">
        <v>27</v>
      </c>
    </row>
    <row r="175" spans="1:10" x14ac:dyDescent="0.3">
      <c r="A175" s="6" t="s">
        <v>219</v>
      </c>
      <c r="B175" s="6" t="s">
        <v>42</v>
      </c>
      <c r="C175" s="7">
        <v>31</v>
      </c>
      <c r="D175" s="5" t="s">
        <v>18</v>
      </c>
      <c r="E175" s="6" t="s">
        <v>19</v>
      </c>
      <c r="F175" s="6" t="s">
        <v>64</v>
      </c>
      <c r="G175" s="5">
        <v>12</v>
      </c>
      <c r="H175" s="8">
        <v>44923</v>
      </c>
      <c r="I175" s="6" t="s">
        <v>39</v>
      </c>
      <c r="J175" s="6" t="s">
        <v>22</v>
      </c>
    </row>
    <row r="176" spans="1:10" x14ac:dyDescent="0.3">
      <c r="A176" s="6" t="s">
        <v>220</v>
      </c>
      <c r="B176" s="6" t="s">
        <v>31</v>
      </c>
      <c r="C176" s="7">
        <v>47</v>
      </c>
      <c r="D176" s="5" t="s">
        <v>46</v>
      </c>
      <c r="E176" s="6" t="s">
        <v>19</v>
      </c>
      <c r="F176" s="6" t="s">
        <v>38</v>
      </c>
      <c r="G176" s="5">
        <v>10</v>
      </c>
      <c r="H176" s="8">
        <v>44985</v>
      </c>
      <c r="I176" s="6" t="s">
        <v>49</v>
      </c>
      <c r="J176" s="6" t="s">
        <v>65</v>
      </c>
    </row>
    <row r="177" spans="1:10" x14ac:dyDescent="0.3">
      <c r="A177" s="6" t="s">
        <v>221</v>
      </c>
      <c r="B177" s="6" t="s">
        <v>24</v>
      </c>
      <c r="C177" s="7">
        <v>40</v>
      </c>
      <c r="D177" s="5" t="s">
        <v>12</v>
      </c>
      <c r="E177" s="6" t="s">
        <v>19</v>
      </c>
      <c r="F177" s="6" t="s">
        <v>14</v>
      </c>
      <c r="G177" s="5">
        <v>43</v>
      </c>
      <c r="H177" s="8">
        <v>43977</v>
      </c>
      <c r="I177" s="6" t="s">
        <v>49</v>
      </c>
      <c r="J177" s="6" t="s">
        <v>27</v>
      </c>
    </row>
    <row r="178" spans="1:10" x14ac:dyDescent="0.3">
      <c r="A178" s="6" t="s">
        <v>222</v>
      </c>
      <c r="B178" s="6" t="s">
        <v>42</v>
      </c>
      <c r="C178" s="7">
        <v>19</v>
      </c>
      <c r="D178" s="5" t="s">
        <v>32</v>
      </c>
      <c r="E178" s="6" t="s">
        <v>19</v>
      </c>
      <c r="F178" s="6" t="s">
        <v>38</v>
      </c>
      <c r="G178" s="5">
        <v>50</v>
      </c>
      <c r="H178" s="8">
        <v>43766</v>
      </c>
      <c r="I178" s="6" t="s">
        <v>26</v>
      </c>
      <c r="J178" s="6" t="s">
        <v>27</v>
      </c>
    </row>
    <row r="179" spans="1:10" x14ac:dyDescent="0.3">
      <c r="A179" s="6" t="s">
        <v>223</v>
      </c>
      <c r="B179" s="6" t="s">
        <v>11</v>
      </c>
      <c r="C179" s="7">
        <v>26</v>
      </c>
      <c r="D179" s="5" t="s">
        <v>18</v>
      </c>
      <c r="E179" s="6" t="s">
        <v>13</v>
      </c>
      <c r="F179" s="6" t="s">
        <v>36</v>
      </c>
      <c r="G179" s="5">
        <v>54</v>
      </c>
      <c r="H179" s="8">
        <v>43648</v>
      </c>
      <c r="I179" s="6" t="s">
        <v>34</v>
      </c>
      <c r="J179" s="6" t="s">
        <v>22</v>
      </c>
    </row>
    <row r="180" spans="1:10" x14ac:dyDescent="0.3">
      <c r="A180" s="6" t="s">
        <v>224</v>
      </c>
      <c r="B180" s="6" t="s">
        <v>31</v>
      </c>
      <c r="C180" s="7">
        <v>33</v>
      </c>
      <c r="D180" s="5" t="s">
        <v>18</v>
      </c>
      <c r="E180" s="6" t="s">
        <v>19</v>
      </c>
      <c r="F180" s="6" t="s">
        <v>54</v>
      </c>
      <c r="G180" s="5">
        <v>45</v>
      </c>
      <c r="H180" s="8">
        <v>43931</v>
      </c>
      <c r="I180" s="6" t="s">
        <v>21</v>
      </c>
      <c r="J180" s="6" t="s">
        <v>16</v>
      </c>
    </row>
    <row r="181" spans="1:10" x14ac:dyDescent="0.3">
      <c r="A181" s="6" t="s">
        <v>225</v>
      </c>
      <c r="B181" s="6" t="s">
        <v>42</v>
      </c>
      <c r="C181" s="7">
        <v>31</v>
      </c>
      <c r="D181" s="5" t="s">
        <v>18</v>
      </c>
      <c r="E181" s="6" t="s">
        <v>13</v>
      </c>
      <c r="F181" s="6" t="s">
        <v>38</v>
      </c>
      <c r="G181" s="5">
        <v>49</v>
      </c>
      <c r="H181" s="8">
        <v>43821</v>
      </c>
      <c r="I181" s="6" t="s">
        <v>29</v>
      </c>
      <c r="J181" s="6" t="s">
        <v>16</v>
      </c>
    </row>
    <row r="182" spans="1:10" x14ac:dyDescent="0.3">
      <c r="A182" s="6" t="s">
        <v>226</v>
      </c>
      <c r="B182" s="6" t="s">
        <v>31</v>
      </c>
      <c r="C182" s="7">
        <v>23</v>
      </c>
      <c r="D182" s="5" t="s">
        <v>32</v>
      </c>
      <c r="E182" s="6" t="s">
        <v>13</v>
      </c>
      <c r="F182" s="6" t="s">
        <v>64</v>
      </c>
      <c r="G182" s="5">
        <v>7</v>
      </c>
      <c r="H182" s="8">
        <v>45080</v>
      </c>
      <c r="I182" s="6" t="s">
        <v>29</v>
      </c>
      <c r="J182" s="6" t="s">
        <v>16</v>
      </c>
    </row>
    <row r="183" spans="1:10" x14ac:dyDescent="0.3">
      <c r="A183" s="6" t="s">
        <v>227</v>
      </c>
      <c r="B183" s="6" t="s">
        <v>31</v>
      </c>
      <c r="C183" s="7">
        <v>34</v>
      </c>
      <c r="D183" s="5" t="s">
        <v>18</v>
      </c>
      <c r="E183" s="6" t="s">
        <v>13</v>
      </c>
      <c r="F183" s="6" t="s">
        <v>20</v>
      </c>
      <c r="G183" s="5">
        <v>43</v>
      </c>
      <c r="H183" s="8">
        <v>43976</v>
      </c>
      <c r="I183" s="6" t="s">
        <v>39</v>
      </c>
      <c r="J183" s="6" t="s">
        <v>65</v>
      </c>
    </row>
    <row r="184" spans="1:10" x14ac:dyDescent="0.3">
      <c r="A184" s="6" t="s">
        <v>228</v>
      </c>
      <c r="B184" s="6" t="s">
        <v>24</v>
      </c>
      <c r="C184" s="7">
        <v>22</v>
      </c>
      <c r="D184" s="5" t="s">
        <v>32</v>
      </c>
      <c r="E184" s="6" t="s">
        <v>13</v>
      </c>
      <c r="F184" s="6" t="s">
        <v>14</v>
      </c>
      <c r="G184" s="5">
        <v>45</v>
      </c>
      <c r="H184" s="8">
        <v>43942</v>
      </c>
      <c r="I184" s="6" t="s">
        <v>29</v>
      </c>
      <c r="J184" s="6" t="s">
        <v>16</v>
      </c>
    </row>
    <row r="185" spans="1:10" x14ac:dyDescent="0.3">
      <c r="A185" s="6" t="s">
        <v>229</v>
      </c>
      <c r="B185" s="6" t="s">
        <v>11</v>
      </c>
      <c r="C185" s="7">
        <v>39</v>
      </c>
      <c r="D185" s="5" t="s">
        <v>12</v>
      </c>
      <c r="E185" s="6" t="s">
        <v>19</v>
      </c>
      <c r="F185" s="6" t="s">
        <v>20</v>
      </c>
      <c r="G185" s="5">
        <v>34</v>
      </c>
      <c r="H185" s="8">
        <v>44249</v>
      </c>
      <c r="I185" s="6" t="s">
        <v>49</v>
      </c>
      <c r="J185" s="6" t="s">
        <v>16</v>
      </c>
    </row>
    <row r="186" spans="1:10" x14ac:dyDescent="0.3">
      <c r="A186" s="6" t="s">
        <v>230</v>
      </c>
      <c r="B186" s="6" t="s">
        <v>24</v>
      </c>
      <c r="C186" s="7">
        <v>37</v>
      </c>
      <c r="D186" s="5" t="s">
        <v>12</v>
      </c>
      <c r="E186" s="6" t="s">
        <v>19</v>
      </c>
      <c r="F186" s="6" t="s">
        <v>36</v>
      </c>
      <c r="G186" s="5">
        <v>53</v>
      </c>
      <c r="H186" s="8">
        <v>43685</v>
      </c>
      <c r="I186" s="6" t="s">
        <v>29</v>
      </c>
      <c r="J186" s="6" t="s">
        <v>16</v>
      </c>
    </row>
    <row r="187" spans="1:10" x14ac:dyDescent="0.3">
      <c r="A187" s="6" t="s">
        <v>231</v>
      </c>
      <c r="B187" s="6" t="s">
        <v>24</v>
      </c>
      <c r="C187" s="7">
        <v>19</v>
      </c>
      <c r="D187" s="5" t="s">
        <v>32</v>
      </c>
      <c r="E187" s="6" t="s">
        <v>13</v>
      </c>
      <c r="F187" s="6" t="s">
        <v>33</v>
      </c>
      <c r="G187" s="5">
        <v>37</v>
      </c>
      <c r="H187" s="8">
        <v>44161</v>
      </c>
      <c r="I187" s="6" t="s">
        <v>39</v>
      </c>
      <c r="J187" s="6" t="s">
        <v>16</v>
      </c>
    </row>
    <row r="188" spans="1:10" x14ac:dyDescent="0.3">
      <c r="A188" s="6" t="s">
        <v>232</v>
      </c>
      <c r="B188" s="6" t="s">
        <v>11</v>
      </c>
      <c r="C188" s="7">
        <v>42</v>
      </c>
      <c r="D188" s="5" t="s">
        <v>12</v>
      </c>
      <c r="E188" s="6" t="s">
        <v>13</v>
      </c>
      <c r="F188" s="6" t="s">
        <v>64</v>
      </c>
      <c r="G188" s="5">
        <v>50</v>
      </c>
      <c r="H188" s="8">
        <v>43768</v>
      </c>
      <c r="I188" s="6" t="s">
        <v>15</v>
      </c>
      <c r="J188" s="6" t="s">
        <v>16</v>
      </c>
    </row>
    <row r="189" spans="1:10" x14ac:dyDescent="0.3">
      <c r="A189" s="6" t="s">
        <v>233</v>
      </c>
      <c r="B189" s="6" t="s">
        <v>31</v>
      </c>
      <c r="C189" s="7">
        <v>33</v>
      </c>
      <c r="D189" s="5" t="s">
        <v>18</v>
      </c>
      <c r="E189" s="6" t="s">
        <v>19</v>
      </c>
      <c r="F189" s="6" t="s">
        <v>33</v>
      </c>
      <c r="G189" s="5">
        <v>36</v>
      </c>
      <c r="H189" s="8">
        <v>44203</v>
      </c>
      <c r="I189" s="6" t="s">
        <v>21</v>
      </c>
      <c r="J189" s="6" t="s">
        <v>16</v>
      </c>
    </row>
    <row r="190" spans="1:10" x14ac:dyDescent="0.3">
      <c r="A190" s="6" t="s">
        <v>234</v>
      </c>
      <c r="B190" s="6" t="s">
        <v>31</v>
      </c>
      <c r="C190" s="7">
        <v>40</v>
      </c>
      <c r="D190" s="5" t="s">
        <v>12</v>
      </c>
      <c r="E190" s="6" t="s">
        <v>105</v>
      </c>
      <c r="F190" s="6" t="s">
        <v>38</v>
      </c>
      <c r="G190" s="5">
        <v>34</v>
      </c>
      <c r="H190" s="8">
        <v>44246</v>
      </c>
      <c r="I190" s="6" t="s">
        <v>26</v>
      </c>
      <c r="J190" s="6" t="s">
        <v>27</v>
      </c>
    </row>
    <row r="191" spans="1:10" x14ac:dyDescent="0.3">
      <c r="A191" s="6" t="s">
        <v>235</v>
      </c>
      <c r="B191" s="6" t="s">
        <v>31</v>
      </c>
      <c r="C191" s="7">
        <v>33</v>
      </c>
      <c r="D191" s="5" t="s">
        <v>18</v>
      </c>
      <c r="E191" s="6" t="s">
        <v>19</v>
      </c>
      <c r="F191" s="6" t="s">
        <v>25</v>
      </c>
      <c r="G191" s="5">
        <v>17</v>
      </c>
      <c r="H191" s="8">
        <v>44762</v>
      </c>
      <c r="I191" s="6" t="s">
        <v>47</v>
      </c>
      <c r="J191" s="6" t="s">
        <v>27</v>
      </c>
    </row>
    <row r="192" spans="1:10" x14ac:dyDescent="0.3">
      <c r="A192" s="6" t="s">
        <v>236</v>
      </c>
      <c r="B192" s="6" t="s">
        <v>24</v>
      </c>
      <c r="C192" s="7">
        <v>36</v>
      </c>
      <c r="D192" s="5" t="s">
        <v>12</v>
      </c>
      <c r="E192" s="6" t="s">
        <v>19</v>
      </c>
      <c r="F192" s="6" t="s">
        <v>88</v>
      </c>
      <c r="G192" s="5">
        <v>26</v>
      </c>
      <c r="H192" s="8">
        <v>44499</v>
      </c>
      <c r="I192" s="6" t="s">
        <v>29</v>
      </c>
      <c r="J192" s="6" t="s">
        <v>27</v>
      </c>
    </row>
    <row r="193" spans="1:10" x14ac:dyDescent="0.3">
      <c r="A193" s="6" t="s">
        <v>237</v>
      </c>
      <c r="B193" s="6" t="s">
        <v>24</v>
      </c>
      <c r="C193" s="7">
        <v>29</v>
      </c>
      <c r="D193" s="5" t="s">
        <v>18</v>
      </c>
      <c r="E193" s="6" t="s">
        <v>13</v>
      </c>
      <c r="F193" s="6" t="s">
        <v>36</v>
      </c>
      <c r="G193" s="5">
        <v>1</v>
      </c>
      <c r="H193" s="8">
        <v>45246</v>
      </c>
      <c r="I193" s="6" t="s">
        <v>34</v>
      </c>
      <c r="J193" s="6" t="s">
        <v>16</v>
      </c>
    </row>
    <row r="194" spans="1:10" x14ac:dyDescent="0.3">
      <c r="A194" s="6" t="s">
        <v>238</v>
      </c>
      <c r="B194" s="6" t="s">
        <v>11</v>
      </c>
      <c r="C194" s="7">
        <v>49</v>
      </c>
      <c r="D194" s="5" t="s">
        <v>46</v>
      </c>
      <c r="E194" s="6" t="s">
        <v>19</v>
      </c>
      <c r="F194" s="6" t="s">
        <v>54</v>
      </c>
      <c r="G194" s="5">
        <v>1</v>
      </c>
      <c r="H194" s="8">
        <v>45249</v>
      </c>
      <c r="I194" s="6" t="s">
        <v>49</v>
      </c>
      <c r="J194" s="6" t="s">
        <v>16</v>
      </c>
    </row>
    <row r="195" spans="1:10" x14ac:dyDescent="0.3">
      <c r="A195" s="6" t="s">
        <v>239</v>
      </c>
      <c r="B195" s="6" t="s">
        <v>31</v>
      </c>
      <c r="C195" s="7">
        <v>28</v>
      </c>
      <c r="D195" s="5" t="s">
        <v>18</v>
      </c>
      <c r="E195" s="6" t="s">
        <v>13</v>
      </c>
      <c r="F195" s="6" t="s">
        <v>25</v>
      </c>
      <c r="G195" s="5">
        <v>10</v>
      </c>
      <c r="H195" s="8">
        <v>44971</v>
      </c>
      <c r="I195" s="6" t="s">
        <v>21</v>
      </c>
      <c r="J195" s="6" t="s">
        <v>16</v>
      </c>
    </row>
    <row r="196" spans="1:10" x14ac:dyDescent="0.3">
      <c r="A196" s="6" t="s">
        <v>240</v>
      </c>
      <c r="B196" s="6" t="s">
        <v>24</v>
      </c>
      <c r="C196" s="7">
        <v>18</v>
      </c>
      <c r="D196" s="5" t="s">
        <v>32</v>
      </c>
      <c r="E196" s="6" t="s">
        <v>19</v>
      </c>
      <c r="F196" s="6" t="s">
        <v>25</v>
      </c>
      <c r="G196" s="5">
        <v>30</v>
      </c>
      <c r="H196" s="8">
        <v>44372</v>
      </c>
      <c r="I196" s="6" t="s">
        <v>39</v>
      </c>
      <c r="J196" s="6" t="s">
        <v>16</v>
      </c>
    </row>
    <row r="197" spans="1:10" x14ac:dyDescent="0.3">
      <c r="A197" s="6" t="s">
        <v>241</v>
      </c>
      <c r="B197" s="6" t="s">
        <v>31</v>
      </c>
      <c r="C197" s="7">
        <v>36</v>
      </c>
      <c r="D197" s="5" t="s">
        <v>12</v>
      </c>
      <c r="E197" s="6" t="s">
        <v>19</v>
      </c>
      <c r="F197" s="6" t="s">
        <v>38</v>
      </c>
      <c r="G197" s="5">
        <v>11</v>
      </c>
      <c r="H197" s="8">
        <v>44944</v>
      </c>
      <c r="I197" s="6" t="s">
        <v>29</v>
      </c>
      <c r="J197" s="6" t="s">
        <v>16</v>
      </c>
    </row>
    <row r="198" spans="1:10" x14ac:dyDescent="0.3">
      <c r="A198" s="6" t="s">
        <v>242</v>
      </c>
      <c r="B198" s="6" t="s">
        <v>42</v>
      </c>
      <c r="C198" s="7">
        <v>39</v>
      </c>
      <c r="D198" s="5" t="s">
        <v>12</v>
      </c>
      <c r="E198" s="6" t="s">
        <v>13</v>
      </c>
      <c r="F198" s="6" t="s">
        <v>88</v>
      </c>
      <c r="G198" s="5">
        <v>3</v>
      </c>
      <c r="H198" s="8">
        <v>45180</v>
      </c>
      <c r="I198" s="6" t="s">
        <v>15</v>
      </c>
      <c r="J198" s="6" t="s">
        <v>22</v>
      </c>
    </row>
    <row r="199" spans="1:10" x14ac:dyDescent="0.3">
      <c r="A199" s="6" t="s">
        <v>243</v>
      </c>
      <c r="B199" s="6" t="s">
        <v>24</v>
      </c>
      <c r="C199" s="7">
        <v>41</v>
      </c>
      <c r="D199" s="5" t="s">
        <v>12</v>
      </c>
      <c r="E199" s="6" t="s">
        <v>13</v>
      </c>
      <c r="F199" s="6" t="s">
        <v>33</v>
      </c>
      <c r="G199" s="5">
        <v>18</v>
      </c>
      <c r="H199" s="8">
        <v>44751</v>
      </c>
      <c r="I199" s="6" t="s">
        <v>29</v>
      </c>
      <c r="J199" s="6" t="s">
        <v>27</v>
      </c>
    </row>
    <row r="200" spans="1:10" x14ac:dyDescent="0.3">
      <c r="A200" s="6" t="s">
        <v>244</v>
      </c>
      <c r="B200" s="6" t="s">
        <v>61</v>
      </c>
      <c r="C200" s="7">
        <v>36</v>
      </c>
      <c r="D200" s="5" t="s">
        <v>12</v>
      </c>
      <c r="E200" s="6" t="s">
        <v>13</v>
      </c>
      <c r="F200" s="6" t="s">
        <v>88</v>
      </c>
      <c r="G200" s="5">
        <v>18</v>
      </c>
      <c r="H200" s="8">
        <v>44732</v>
      </c>
      <c r="I200" s="6" t="s">
        <v>29</v>
      </c>
      <c r="J200" s="6" t="s">
        <v>16</v>
      </c>
    </row>
    <row r="201" spans="1:10" x14ac:dyDescent="0.3">
      <c r="A201" s="6" t="s">
        <v>245</v>
      </c>
      <c r="B201" s="6" t="s">
        <v>24</v>
      </c>
      <c r="C201" s="7">
        <v>21</v>
      </c>
      <c r="D201" s="5" t="s">
        <v>32</v>
      </c>
      <c r="E201" s="6" t="s">
        <v>19</v>
      </c>
      <c r="F201" s="6" t="s">
        <v>36</v>
      </c>
      <c r="G201" s="5">
        <v>3</v>
      </c>
      <c r="H201" s="8">
        <v>45202</v>
      </c>
      <c r="I201" s="6" t="s">
        <v>49</v>
      </c>
      <c r="J201" s="6" t="s">
        <v>22</v>
      </c>
    </row>
    <row r="202" spans="1:10" x14ac:dyDescent="0.3">
      <c r="A202" s="6" t="s">
        <v>246</v>
      </c>
      <c r="B202" s="6" t="s">
        <v>24</v>
      </c>
      <c r="C202" s="7">
        <v>37</v>
      </c>
      <c r="D202" s="5" t="s">
        <v>12</v>
      </c>
      <c r="E202" s="6" t="s">
        <v>19</v>
      </c>
      <c r="F202" s="6" t="s">
        <v>36</v>
      </c>
      <c r="G202" s="5">
        <v>5</v>
      </c>
      <c r="H202" s="8">
        <v>45138</v>
      </c>
      <c r="I202" s="6" t="s">
        <v>29</v>
      </c>
      <c r="J202" s="6" t="s">
        <v>16</v>
      </c>
    </row>
    <row r="203" spans="1:10" x14ac:dyDescent="0.3">
      <c r="A203" s="6" t="s">
        <v>247</v>
      </c>
      <c r="B203" s="6" t="s">
        <v>24</v>
      </c>
      <c r="C203" s="7">
        <v>32</v>
      </c>
      <c r="D203" s="5" t="s">
        <v>18</v>
      </c>
      <c r="E203" s="6" t="s">
        <v>19</v>
      </c>
      <c r="F203" s="6" t="s">
        <v>36</v>
      </c>
      <c r="G203" s="5">
        <v>24</v>
      </c>
      <c r="H203" s="8">
        <v>44558</v>
      </c>
      <c r="I203" s="6" t="s">
        <v>62</v>
      </c>
      <c r="J203" s="6" t="s">
        <v>27</v>
      </c>
    </row>
    <row r="204" spans="1:10" x14ac:dyDescent="0.3">
      <c r="A204" s="6" t="s">
        <v>248</v>
      </c>
      <c r="B204" s="6" t="s">
        <v>42</v>
      </c>
      <c r="C204" s="7">
        <v>36</v>
      </c>
      <c r="D204" s="5" t="s">
        <v>12</v>
      </c>
      <c r="E204" s="6" t="s">
        <v>105</v>
      </c>
      <c r="F204" s="6" t="s">
        <v>54</v>
      </c>
      <c r="G204" s="5">
        <v>7</v>
      </c>
      <c r="H204" s="8">
        <v>45057</v>
      </c>
      <c r="I204" s="6" t="s">
        <v>15</v>
      </c>
      <c r="J204" s="6" t="s">
        <v>22</v>
      </c>
    </row>
    <row r="205" spans="1:10" x14ac:dyDescent="0.3">
      <c r="A205" s="6" t="s">
        <v>249</v>
      </c>
      <c r="B205" s="6" t="s">
        <v>61</v>
      </c>
      <c r="C205" s="7">
        <v>40</v>
      </c>
      <c r="D205" s="5" t="s">
        <v>12</v>
      </c>
      <c r="E205" s="6" t="s">
        <v>105</v>
      </c>
      <c r="F205" s="6" t="s">
        <v>54</v>
      </c>
      <c r="G205" s="5">
        <v>13</v>
      </c>
      <c r="H205" s="8">
        <v>44902</v>
      </c>
      <c r="I205" s="6" t="s">
        <v>15</v>
      </c>
      <c r="J205" s="6" t="s">
        <v>27</v>
      </c>
    </row>
    <row r="206" spans="1:10" x14ac:dyDescent="0.3">
      <c r="A206" s="6" t="s">
        <v>250</v>
      </c>
      <c r="B206" s="6" t="s">
        <v>61</v>
      </c>
      <c r="C206" s="7">
        <v>34</v>
      </c>
      <c r="D206" s="5" t="s">
        <v>18</v>
      </c>
      <c r="E206" s="6" t="s">
        <v>19</v>
      </c>
      <c r="F206" s="6" t="s">
        <v>36</v>
      </c>
      <c r="G206" s="5">
        <v>38</v>
      </c>
      <c r="H206" s="8">
        <v>44152</v>
      </c>
      <c r="I206" s="6" t="s">
        <v>21</v>
      </c>
      <c r="J206" s="6" t="s">
        <v>16</v>
      </c>
    </row>
    <row r="207" spans="1:10" x14ac:dyDescent="0.3">
      <c r="A207" s="6" t="s">
        <v>251</v>
      </c>
      <c r="B207" s="6" t="s">
        <v>11</v>
      </c>
      <c r="C207" s="7">
        <v>32</v>
      </c>
      <c r="D207" s="5" t="s">
        <v>18</v>
      </c>
      <c r="E207" s="6" t="s">
        <v>19</v>
      </c>
      <c r="F207" s="6" t="s">
        <v>56</v>
      </c>
      <c r="G207" s="5">
        <v>5</v>
      </c>
      <c r="H207" s="8">
        <v>45141</v>
      </c>
      <c r="I207" s="6" t="s">
        <v>47</v>
      </c>
      <c r="J207" s="6" t="s">
        <v>16</v>
      </c>
    </row>
    <row r="208" spans="1:10" x14ac:dyDescent="0.3">
      <c r="A208" s="6" t="s">
        <v>252</v>
      </c>
      <c r="B208" s="6" t="s">
        <v>31</v>
      </c>
      <c r="C208" s="7">
        <v>24</v>
      </c>
      <c r="D208" s="5" t="s">
        <v>32</v>
      </c>
      <c r="E208" s="6" t="s">
        <v>13</v>
      </c>
      <c r="F208" s="6" t="s">
        <v>54</v>
      </c>
      <c r="G208" s="5">
        <v>11</v>
      </c>
      <c r="H208" s="8">
        <v>44940</v>
      </c>
      <c r="I208" s="6" t="s">
        <v>49</v>
      </c>
      <c r="J208" s="6" t="s">
        <v>22</v>
      </c>
    </row>
    <row r="209" spans="1:10" x14ac:dyDescent="0.3">
      <c r="A209" s="6" t="s">
        <v>253</v>
      </c>
      <c r="B209" s="6" t="s">
        <v>31</v>
      </c>
      <c r="C209" s="7">
        <v>24</v>
      </c>
      <c r="D209" s="5" t="s">
        <v>32</v>
      </c>
      <c r="E209" s="6" t="s">
        <v>13</v>
      </c>
      <c r="F209" s="6" t="s">
        <v>14</v>
      </c>
      <c r="G209" s="5">
        <v>9</v>
      </c>
      <c r="H209" s="8">
        <v>45002</v>
      </c>
      <c r="I209" s="6" t="s">
        <v>39</v>
      </c>
      <c r="J209" s="6" t="s">
        <v>22</v>
      </c>
    </row>
    <row r="210" spans="1:10" x14ac:dyDescent="0.3">
      <c r="A210" s="6" t="s">
        <v>254</v>
      </c>
      <c r="B210" s="6" t="s">
        <v>11</v>
      </c>
      <c r="C210" s="7">
        <v>36</v>
      </c>
      <c r="D210" s="5" t="s">
        <v>12</v>
      </c>
      <c r="E210" s="6" t="s">
        <v>19</v>
      </c>
      <c r="F210" s="6" t="s">
        <v>38</v>
      </c>
      <c r="G210" s="5">
        <v>34</v>
      </c>
      <c r="H210" s="8">
        <v>44246</v>
      </c>
      <c r="I210" s="6" t="s">
        <v>39</v>
      </c>
      <c r="J210" s="6" t="s">
        <v>27</v>
      </c>
    </row>
    <row r="211" spans="1:10" x14ac:dyDescent="0.3">
      <c r="A211" s="6" t="s">
        <v>255</v>
      </c>
      <c r="B211" s="6" t="s">
        <v>31</v>
      </c>
      <c r="C211" s="7">
        <v>23</v>
      </c>
      <c r="D211" s="5" t="s">
        <v>32</v>
      </c>
      <c r="E211" s="6" t="s">
        <v>13</v>
      </c>
      <c r="F211" s="6" t="s">
        <v>38</v>
      </c>
      <c r="G211" s="5">
        <v>50</v>
      </c>
      <c r="H211" s="8">
        <v>43787</v>
      </c>
      <c r="I211" s="6" t="s">
        <v>47</v>
      </c>
      <c r="J211" s="6" t="s">
        <v>16</v>
      </c>
    </row>
    <row r="212" spans="1:10" x14ac:dyDescent="0.3">
      <c r="A212" s="6" t="s">
        <v>256</v>
      </c>
      <c r="B212" s="6" t="s">
        <v>42</v>
      </c>
      <c r="C212" s="7">
        <v>52</v>
      </c>
      <c r="D212" s="5" t="s">
        <v>46</v>
      </c>
      <c r="E212" s="6" t="s">
        <v>19</v>
      </c>
      <c r="F212" s="6" t="s">
        <v>20</v>
      </c>
      <c r="G212" s="5">
        <v>12</v>
      </c>
      <c r="H212" s="8">
        <v>44929</v>
      </c>
      <c r="I212" s="6" t="s">
        <v>26</v>
      </c>
      <c r="J212" s="6" t="s">
        <v>16</v>
      </c>
    </row>
    <row r="213" spans="1:10" x14ac:dyDescent="0.3">
      <c r="A213" s="6" t="s">
        <v>257</v>
      </c>
      <c r="B213" s="6" t="s">
        <v>61</v>
      </c>
      <c r="C213" s="7">
        <v>41</v>
      </c>
      <c r="D213" s="5" t="s">
        <v>12</v>
      </c>
      <c r="E213" s="6" t="s">
        <v>13</v>
      </c>
      <c r="F213" s="6" t="s">
        <v>88</v>
      </c>
      <c r="G213" s="5">
        <v>33</v>
      </c>
      <c r="H213" s="8">
        <v>44274</v>
      </c>
      <c r="I213" s="6" t="s">
        <v>47</v>
      </c>
      <c r="J213" s="6" t="s">
        <v>27</v>
      </c>
    </row>
    <row r="214" spans="1:10" x14ac:dyDescent="0.3">
      <c r="A214" s="6" t="s">
        <v>258</v>
      </c>
      <c r="B214" s="6" t="s">
        <v>11</v>
      </c>
      <c r="C214" s="7">
        <v>31</v>
      </c>
      <c r="D214" s="5" t="s">
        <v>18</v>
      </c>
      <c r="E214" s="6" t="s">
        <v>19</v>
      </c>
      <c r="F214" s="6" t="s">
        <v>14</v>
      </c>
      <c r="G214" s="5">
        <v>17</v>
      </c>
      <c r="H214" s="8">
        <v>44776</v>
      </c>
      <c r="I214" s="6" t="s">
        <v>29</v>
      </c>
      <c r="J214" s="6" t="s">
        <v>16</v>
      </c>
    </row>
    <row r="215" spans="1:10" x14ac:dyDescent="0.3">
      <c r="A215" s="6" t="s">
        <v>259</v>
      </c>
      <c r="B215" s="6" t="s">
        <v>31</v>
      </c>
      <c r="C215" s="7">
        <v>33</v>
      </c>
      <c r="D215" s="5" t="s">
        <v>18</v>
      </c>
      <c r="E215" s="6" t="s">
        <v>13</v>
      </c>
      <c r="F215" s="6" t="s">
        <v>14</v>
      </c>
      <c r="G215" s="5">
        <v>6</v>
      </c>
      <c r="H215" s="8">
        <v>45095</v>
      </c>
      <c r="I215" s="6" t="s">
        <v>26</v>
      </c>
      <c r="J215" s="6" t="s">
        <v>22</v>
      </c>
    </row>
    <row r="216" spans="1:10" x14ac:dyDescent="0.3">
      <c r="A216" s="6" t="s">
        <v>260</v>
      </c>
      <c r="B216" s="6" t="s">
        <v>31</v>
      </c>
      <c r="C216" s="7">
        <v>48</v>
      </c>
      <c r="D216" s="5" t="s">
        <v>46</v>
      </c>
      <c r="E216" s="6" t="s">
        <v>13</v>
      </c>
      <c r="F216" s="6" t="s">
        <v>36</v>
      </c>
      <c r="G216" s="5">
        <v>32</v>
      </c>
      <c r="H216" s="8">
        <v>44310</v>
      </c>
      <c r="I216" s="6" t="s">
        <v>21</v>
      </c>
      <c r="J216" s="6" t="s">
        <v>16</v>
      </c>
    </row>
    <row r="217" spans="1:10" x14ac:dyDescent="0.3">
      <c r="A217" s="6" t="s">
        <v>261</v>
      </c>
      <c r="B217" s="6" t="s">
        <v>31</v>
      </c>
      <c r="C217" s="7">
        <v>21</v>
      </c>
      <c r="D217" s="5" t="s">
        <v>32</v>
      </c>
      <c r="E217" s="6" t="s">
        <v>13</v>
      </c>
      <c r="F217" s="6" t="s">
        <v>64</v>
      </c>
      <c r="G217" s="5">
        <v>56</v>
      </c>
      <c r="H217" s="8">
        <v>43586</v>
      </c>
      <c r="I217" s="6" t="s">
        <v>62</v>
      </c>
      <c r="J217" s="6" t="s">
        <v>27</v>
      </c>
    </row>
    <row r="218" spans="1:10" x14ac:dyDescent="0.3">
      <c r="A218" s="6" t="s">
        <v>262</v>
      </c>
      <c r="B218" s="6" t="s">
        <v>24</v>
      </c>
      <c r="C218" s="7">
        <v>43</v>
      </c>
      <c r="D218" s="5" t="s">
        <v>12</v>
      </c>
      <c r="E218" s="6" t="s">
        <v>19</v>
      </c>
      <c r="F218" s="6" t="s">
        <v>88</v>
      </c>
      <c r="G218" s="5">
        <v>11</v>
      </c>
      <c r="H218" s="8">
        <v>44961</v>
      </c>
      <c r="I218" s="6" t="s">
        <v>29</v>
      </c>
      <c r="J218" s="6" t="s">
        <v>65</v>
      </c>
    </row>
    <row r="219" spans="1:10" x14ac:dyDescent="0.3">
      <c r="A219" s="6" t="s">
        <v>263</v>
      </c>
      <c r="B219" s="6" t="s">
        <v>61</v>
      </c>
      <c r="C219" s="7">
        <v>47</v>
      </c>
      <c r="D219" s="5" t="s">
        <v>46</v>
      </c>
      <c r="E219" s="6" t="s">
        <v>19</v>
      </c>
      <c r="F219" s="6" t="s">
        <v>88</v>
      </c>
      <c r="G219" s="5">
        <v>18</v>
      </c>
      <c r="H219" s="8">
        <v>44734</v>
      </c>
      <c r="I219" s="6" t="s">
        <v>34</v>
      </c>
      <c r="J219" s="6" t="s">
        <v>65</v>
      </c>
    </row>
    <row r="220" spans="1:10" x14ac:dyDescent="0.3">
      <c r="A220" s="6" t="s">
        <v>264</v>
      </c>
      <c r="B220" s="6" t="s">
        <v>11</v>
      </c>
      <c r="C220" s="7">
        <v>52</v>
      </c>
      <c r="D220" s="5" t="s">
        <v>46</v>
      </c>
      <c r="E220" s="6" t="s">
        <v>19</v>
      </c>
      <c r="F220" s="6" t="s">
        <v>38</v>
      </c>
      <c r="G220" s="5">
        <v>29</v>
      </c>
      <c r="H220" s="8">
        <v>44414</v>
      </c>
      <c r="I220" s="6" t="s">
        <v>39</v>
      </c>
      <c r="J220" s="6" t="s">
        <v>16</v>
      </c>
    </row>
    <row r="221" spans="1:10" x14ac:dyDescent="0.3">
      <c r="A221" s="6" t="s">
        <v>265</v>
      </c>
      <c r="B221" s="6" t="s">
        <v>42</v>
      </c>
      <c r="C221" s="7">
        <v>26</v>
      </c>
      <c r="D221" s="5" t="s">
        <v>18</v>
      </c>
      <c r="E221" s="6" t="s">
        <v>13</v>
      </c>
      <c r="F221" s="6" t="s">
        <v>36</v>
      </c>
      <c r="G221" s="5">
        <v>40</v>
      </c>
      <c r="H221" s="8">
        <v>44091</v>
      </c>
      <c r="I221" s="6" t="s">
        <v>26</v>
      </c>
      <c r="J221" s="6" t="s">
        <v>16</v>
      </c>
    </row>
    <row r="222" spans="1:10" x14ac:dyDescent="0.3">
      <c r="A222" s="6" t="s">
        <v>266</v>
      </c>
      <c r="B222" s="6" t="s">
        <v>31</v>
      </c>
      <c r="C222" s="7">
        <v>30</v>
      </c>
      <c r="D222" s="5" t="s">
        <v>18</v>
      </c>
      <c r="E222" s="6" t="s">
        <v>13</v>
      </c>
      <c r="F222" s="6" t="s">
        <v>56</v>
      </c>
      <c r="G222" s="5">
        <v>56</v>
      </c>
      <c r="H222" s="8">
        <v>43588</v>
      </c>
      <c r="I222" s="6" t="s">
        <v>21</v>
      </c>
      <c r="J222" s="6" t="s">
        <v>27</v>
      </c>
    </row>
    <row r="223" spans="1:10" x14ac:dyDescent="0.3">
      <c r="A223" s="6" t="s">
        <v>267</v>
      </c>
      <c r="B223" s="6" t="s">
        <v>31</v>
      </c>
      <c r="C223" s="7">
        <v>33</v>
      </c>
      <c r="D223" s="5" t="s">
        <v>18</v>
      </c>
      <c r="E223" s="6" t="s">
        <v>13</v>
      </c>
      <c r="F223" s="6" t="s">
        <v>38</v>
      </c>
      <c r="G223" s="5">
        <v>13</v>
      </c>
      <c r="H223" s="8">
        <v>44878</v>
      </c>
      <c r="I223" s="6" t="s">
        <v>26</v>
      </c>
      <c r="J223" s="6" t="s">
        <v>16</v>
      </c>
    </row>
    <row r="224" spans="1:10" x14ac:dyDescent="0.3">
      <c r="A224" s="6" t="s">
        <v>268</v>
      </c>
      <c r="B224" s="6" t="s">
        <v>24</v>
      </c>
      <c r="C224" s="7">
        <v>18</v>
      </c>
      <c r="D224" s="5" t="s">
        <v>32</v>
      </c>
      <c r="E224" s="6" t="s">
        <v>19</v>
      </c>
      <c r="F224" s="6" t="s">
        <v>33</v>
      </c>
      <c r="G224" s="5">
        <v>39</v>
      </c>
      <c r="H224" s="8">
        <v>44098</v>
      </c>
      <c r="I224" s="6" t="s">
        <v>47</v>
      </c>
      <c r="J224" s="6" t="s">
        <v>16</v>
      </c>
    </row>
    <row r="225" spans="1:10" x14ac:dyDescent="0.3">
      <c r="A225" s="6" t="s">
        <v>269</v>
      </c>
      <c r="B225" s="6" t="s">
        <v>24</v>
      </c>
      <c r="C225" s="7">
        <v>43</v>
      </c>
      <c r="D225" s="5" t="s">
        <v>12</v>
      </c>
      <c r="E225" s="6" t="s">
        <v>19</v>
      </c>
      <c r="F225" s="6" t="s">
        <v>38</v>
      </c>
      <c r="G225" s="5">
        <v>47</v>
      </c>
      <c r="H225" s="8">
        <v>43867</v>
      </c>
      <c r="I225" s="6" t="s">
        <v>47</v>
      </c>
      <c r="J225" s="6" t="s">
        <v>16</v>
      </c>
    </row>
    <row r="226" spans="1:10" x14ac:dyDescent="0.3">
      <c r="A226" s="6" t="s">
        <v>270</v>
      </c>
      <c r="B226" s="6" t="s">
        <v>11</v>
      </c>
      <c r="C226" s="7">
        <v>29</v>
      </c>
      <c r="D226" s="5" t="s">
        <v>18</v>
      </c>
      <c r="E226" s="6" t="s">
        <v>13</v>
      </c>
      <c r="F226" s="6" t="s">
        <v>64</v>
      </c>
      <c r="G226" s="5">
        <v>4</v>
      </c>
      <c r="H226" s="8">
        <v>45161</v>
      </c>
      <c r="I226" s="6" t="s">
        <v>39</v>
      </c>
      <c r="J226" s="6" t="s">
        <v>22</v>
      </c>
    </row>
    <row r="227" spans="1:10" x14ac:dyDescent="0.3">
      <c r="A227" s="6" t="s">
        <v>271</v>
      </c>
      <c r="B227" s="6" t="s">
        <v>11</v>
      </c>
      <c r="C227" s="7">
        <v>41</v>
      </c>
      <c r="D227" s="5" t="s">
        <v>12</v>
      </c>
      <c r="E227" s="6" t="s">
        <v>13</v>
      </c>
      <c r="F227" s="6" t="s">
        <v>54</v>
      </c>
      <c r="G227" s="5">
        <v>45</v>
      </c>
      <c r="H227" s="8">
        <v>43937</v>
      </c>
      <c r="I227" s="6" t="s">
        <v>39</v>
      </c>
      <c r="J227" s="6" t="s">
        <v>27</v>
      </c>
    </row>
    <row r="228" spans="1:10" x14ac:dyDescent="0.3">
      <c r="A228" s="6" t="s">
        <v>272</v>
      </c>
      <c r="B228" s="6" t="s">
        <v>31</v>
      </c>
      <c r="C228" s="7">
        <v>42</v>
      </c>
      <c r="D228" s="5" t="s">
        <v>12</v>
      </c>
      <c r="E228" s="6" t="s">
        <v>13</v>
      </c>
      <c r="F228" s="6" t="s">
        <v>33</v>
      </c>
      <c r="G228" s="5">
        <v>57</v>
      </c>
      <c r="H228" s="8">
        <v>43574</v>
      </c>
      <c r="I228" s="6" t="s">
        <v>49</v>
      </c>
      <c r="J228" s="6" t="s">
        <v>27</v>
      </c>
    </row>
    <row r="229" spans="1:10" x14ac:dyDescent="0.3">
      <c r="A229" s="6" t="s">
        <v>273</v>
      </c>
      <c r="B229" s="6" t="s">
        <v>61</v>
      </c>
      <c r="C229" s="7">
        <v>22</v>
      </c>
      <c r="D229" s="5" t="s">
        <v>32</v>
      </c>
      <c r="E229" s="6" t="s">
        <v>19</v>
      </c>
      <c r="F229" s="6" t="s">
        <v>14</v>
      </c>
      <c r="G229" s="5">
        <v>18</v>
      </c>
      <c r="H229" s="8">
        <v>44728</v>
      </c>
      <c r="I229" s="6" t="s">
        <v>21</v>
      </c>
      <c r="J229" s="6" t="s">
        <v>16</v>
      </c>
    </row>
    <row r="230" spans="1:10" x14ac:dyDescent="0.3">
      <c r="A230" s="6" t="s">
        <v>274</v>
      </c>
      <c r="B230" s="6" t="s">
        <v>11</v>
      </c>
      <c r="C230" s="7">
        <v>43</v>
      </c>
      <c r="D230" s="5" t="s">
        <v>12</v>
      </c>
      <c r="E230" s="6" t="s">
        <v>105</v>
      </c>
      <c r="F230" s="6" t="s">
        <v>14</v>
      </c>
      <c r="G230" s="5">
        <v>29</v>
      </c>
      <c r="H230" s="8">
        <v>44405</v>
      </c>
      <c r="I230" s="6" t="s">
        <v>49</v>
      </c>
      <c r="J230" s="6" t="s">
        <v>27</v>
      </c>
    </row>
    <row r="231" spans="1:10" x14ac:dyDescent="0.3">
      <c r="A231" s="6" t="s">
        <v>275</v>
      </c>
      <c r="B231" s="6" t="s">
        <v>61</v>
      </c>
      <c r="C231" s="7">
        <v>34</v>
      </c>
      <c r="D231" s="5" t="s">
        <v>18</v>
      </c>
      <c r="E231" s="6" t="s">
        <v>13</v>
      </c>
      <c r="F231" s="6" t="s">
        <v>14</v>
      </c>
      <c r="G231" s="5">
        <v>58</v>
      </c>
      <c r="H231" s="8">
        <v>43531</v>
      </c>
      <c r="I231" s="6" t="s">
        <v>39</v>
      </c>
      <c r="J231" s="6" t="s">
        <v>22</v>
      </c>
    </row>
    <row r="232" spans="1:10" x14ac:dyDescent="0.3">
      <c r="A232" s="6" t="s">
        <v>276</v>
      </c>
      <c r="B232" s="6" t="s">
        <v>24</v>
      </c>
      <c r="C232" s="7">
        <v>18</v>
      </c>
      <c r="D232" s="5" t="s">
        <v>32</v>
      </c>
      <c r="E232" s="6" t="s">
        <v>13</v>
      </c>
      <c r="F232" s="6" t="s">
        <v>56</v>
      </c>
      <c r="G232" s="5">
        <v>16</v>
      </c>
      <c r="H232" s="8">
        <v>44805</v>
      </c>
      <c r="I232" s="6" t="s">
        <v>21</v>
      </c>
      <c r="J232" s="6" t="s">
        <v>27</v>
      </c>
    </row>
    <row r="233" spans="1:10" x14ac:dyDescent="0.3">
      <c r="A233" s="6" t="s">
        <v>277</v>
      </c>
      <c r="B233" s="6" t="s">
        <v>31</v>
      </c>
      <c r="C233" s="7">
        <v>25</v>
      </c>
      <c r="D233" s="5" t="s">
        <v>18</v>
      </c>
      <c r="E233" s="6" t="s">
        <v>19</v>
      </c>
      <c r="F233" s="6" t="s">
        <v>33</v>
      </c>
      <c r="G233" s="5">
        <v>9</v>
      </c>
      <c r="H233" s="8">
        <v>45017</v>
      </c>
      <c r="I233" s="6" t="s">
        <v>49</v>
      </c>
      <c r="J233" s="6" t="s">
        <v>27</v>
      </c>
    </row>
    <row r="234" spans="1:10" x14ac:dyDescent="0.3">
      <c r="A234" s="6" t="s">
        <v>278</v>
      </c>
      <c r="B234" s="6" t="s">
        <v>42</v>
      </c>
      <c r="C234" s="7">
        <v>40</v>
      </c>
      <c r="D234" s="5" t="s">
        <v>12</v>
      </c>
      <c r="E234" s="6" t="s">
        <v>13</v>
      </c>
      <c r="F234" s="6" t="s">
        <v>38</v>
      </c>
      <c r="G234" s="5">
        <v>34</v>
      </c>
      <c r="H234" s="8">
        <v>44264</v>
      </c>
      <c r="I234" s="6" t="s">
        <v>34</v>
      </c>
      <c r="J234" s="6" t="s">
        <v>27</v>
      </c>
    </row>
    <row r="235" spans="1:10" x14ac:dyDescent="0.3">
      <c r="A235" s="6" t="s">
        <v>279</v>
      </c>
      <c r="B235" s="6" t="s">
        <v>42</v>
      </c>
      <c r="C235" s="7">
        <v>26</v>
      </c>
      <c r="D235" s="5" t="s">
        <v>18</v>
      </c>
      <c r="E235" s="6" t="s">
        <v>13</v>
      </c>
      <c r="F235" s="6" t="s">
        <v>64</v>
      </c>
      <c r="G235" s="5">
        <v>44</v>
      </c>
      <c r="H235" s="8">
        <v>43965</v>
      </c>
      <c r="I235" s="6" t="s">
        <v>49</v>
      </c>
      <c r="J235" s="6" t="s">
        <v>27</v>
      </c>
    </row>
    <row r="236" spans="1:10" x14ac:dyDescent="0.3">
      <c r="A236" s="6" t="s">
        <v>280</v>
      </c>
      <c r="B236" s="6" t="s">
        <v>31</v>
      </c>
      <c r="C236" s="7">
        <v>35</v>
      </c>
      <c r="D236" s="5" t="s">
        <v>12</v>
      </c>
      <c r="E236" s="6" t="s">
        <v>13</v>
      </c>
      <c r="F236" s="6" t="s">
        <v>20</v>
      </c>
      <c r="G236" s="5">
        <v>16</v>
      </c>
      <c r="H236" s="8">
        <v>44799</v>
      </c>
      <c r="I236" s="6" t="s">
        <v>34</v>
      </c>
      <c r="J236" s="6" t="s">
        <v>27</v>
      </c>
    </row>
    <row r="237" spans="1:10" x14ac:dyDescent="0.3">
      <c r="A237" s="6" t="s">
        <v>281</v>
      </c>
      <c r="B237" s="6" t="s">
        <v>24</v>
      </c>
      <c r="C237" s="7">
        <v>18</v>
      </c>
      <c r="D237" s="5" t="s">
        <v>32</v>
      </c>
      <c r="E237" s="6" t="s">
        <v>19</v>
      </c>
      <c r="F237" s="6" t="s">
        <v>54</v>
      </c>
      <c r="G237" s="5">
        <v>24</v>
      </c>
      <c r="H237" s="8">
        <v>44561</v>
      </c>
      <c r="I237" s="6" t="s">
        <v>26</v>
      </c>
      <c r="J237" s="6" t="s">
        <v>27</v>
      </c>
    </row>
    <row r="238" spans="1:10" x14ac:dyDescent="0.3">
      <c r="A238" s="6" t="s">
        <v>282</v>
      </c>
      <c r="B238" s="6" t="s">
        <v>31</v>
      </c>
      <c r="C238" s="7">
        <v>41</v>
      </c>
      <c r="D238" s="5" t="s">
        <v>12</v>
      </c>
      <c r="E238" s="6" t="s">
        <v>19</v>
      </c>
      <c r="F238" s="6" t="s">
        <v>25</v>
      </c>
      <c r="G238" s="5">
        <v>26</v>
      </c>
      <c r="H238" s="8">
        <v>44494</v>
      </c>
      <c r="I238" s="6" t="s">
        <v>21</v>
      </c>
      <c r="J238" s="6" t="s">
        <v>22</v>
      </c>
    </row>
    <row r="239" spans="1:10" x14ac:dyDescent="0.3">
      <c r="A239" s="6" t="s">
        <v>283</v>
      </c>
      <c r="B239" s="6" t="s">
        <v>11</v>
      </c>
      <c r="C239" s="7">
        <v>23</v>
      </c>
      <c r="D239" s="5" t="s">
        <v>32</v>
      </c>
      <c r="E239" s="6" t="s">
        <v>13</v>
      </c>
      <c r="F239" s="6" t="s">
        <v>54</v>
      </c>
      <c r="G239" s="5">
        <v>15</v>
      </c>
      <c r="H239" s="8">
        <v>44842</v>
      </c>
      <c r="I239" s="6" t="s">
        <v>47</v>
      </c>
      <c r="J239" s="6" t="s">
        <v>27</v>
      </c>
    </row>
    <row r="240" spans="1:10" x14ac:dyDescent="0.3">
      <c r="A240" s="6" t="s">
        <v>284</v>
      </c>
      <c r="B240" s="6" t="s">
        <v>42</v>
      </c>
      <c r="C240" s="7">
        <v>38</v>
      </c>
      <c r="D240" s="5" t="s">
        <v>12</v>
      </c>
      <c r="E240" s="6" t="s">
        <v>13</v>
      </c>
      <c r="F240" s="6" t="s">
        <v>88</v>
      </c>
      <c r="G240" s="5">
        <v>14</v>
      </c>
      <c r="H240" s="8">
        <v>44853</v>
      </c>
      <c r="I240" s="6" t="s">
        <v>21</v>
      </c>
      <c r="J240" s="6" t="s">
        <v>22</v>
      </c>
    </row>
    <row r="241" spans="1:10" x14ac:dyDescent="0.3">
      <c r="A241" s="6" t="s">
        <v>285</v>
      </c>
      <c r="B241" s="6" t="s">
        <v>31</v>
      </c>
      <c r="C241" s="7">
        <v>25</v>
      </c>
      <c r="D241" s="5" t="s">
        <v>18</v>
      </c>
      <c r="E241" s="6" t="s">
        <v>13</v>
      </c>
      <c r="F241" s="6" t="s">
        <v>38</v>
      </c>
      <c r="G241" s="5">
        <v>58</v>
      </c>
      <c r="H241" s="8">
        <v>43552</v>
      </c>
      <c r="I241" s="6" t="s">
        <v>26</v>
      </c>
      <c r="J241" s="6" t="s">
        <v>16</v>
      </c>
    </row>
    <row r="242" spans="1:10" x14ac:dyDescent="0.3">
      <c r="A242" s="6" t="s">
        <v>286</v>
      </c>
      <c r="B242" s="6" t="s">
        <v>42</v>
      </c>
      <c r="C242" s="7">
        <v>34</v>
      </c>
      <c r="D242" s="5" t="s">
        <v>18</v>
      </c>
      <c r="E242" s="6" t="s">
        <v>19</v>
      </c>
      <c r="F242" s="6" t="s">
        <v>14</v>
      </c>
      <c r="G242" s="5">
        <v>25</v>
      </c>
      <c r="H242" s="8">
        <v>44525</v>
      </c>
      <c r="I242" s="6" t="s">
        <v>34</v>
      </c>
      <c r="J242" s="6" t="s">
        <v>27</v>
      </c>
    </row>
    <row r="243" spans="1:10" x14ac:dyDescent="0.3">
      <c r="A243" s="6" t="s">
        <v>287</v>
      </c>
      <c r="B243" s="6" t="s">
        <v>31</v>
      </c>
      <c r="C243" s="7">
        <v>21</v>
      </c>
      <c r="D243" s="5" t="s">
        <v>32</v>
      </c>
      <c r="E243" s="6" t="s">
        <v>19</v>
      </c>
      <c r="F243" s="6" t="s">
        <v>56</v>
      </c>
      <c r="G243" s="5">
        <v>56</v>
      </c>
      <c r="H243" s="8">
        <v>43593</v>
      </c>
      <c r="I243" s="6" t="s">
        <v>34</v>
      </c>
      <c r="J243" s="6" t="s">
        <v>16</v>
      </c>
    </row>
    <row r="244" spans="1:10" x14ac:dyDescent="0.3">
      <c r="A244" s="6" t="s">
        <v>288</v>
      </c>
      <c r="B244" s="6" t="s">
        <v>11</v>
      </c>
      <c r="C244" s="7">
        <v>46</v>
      </c>
      <c r="D244" s="5" t="s">
        <v>46</v>
      </c>
      <c r="E244" s="6" t="s">
        <v>13</v>
      </c>
      <c r="F244" s="6" t="s">
        <v>54</v>
      </c>
      <c r="G244" s="5">
        <v>8</v>
      </c>
      <c r="H244" s="8">
        <v>45050</v>
      </c>
      <c r="I244" s="6" t="s">
        <v>49</v>
      </c>
      <c r="J244" s="6" t="s">
        <v>65</v>
      </c>
    </row>
    <row r="245" spans="1:10" x14ac:dyDescent="0.3">
      <c r="A245" s="6" t="s">
        <v>289</v>
      </c>
      <c r="B245" s="6" t="s">
        <v>61</v>
      </c>
      <c r="C245" s="7">
        <v>34</v>
      </c>
      <c r="D245" s="5" t="s">
        <v>18</v>
      </c>
      <c r="E245" s="6" t="s">
        <v>13</v>
      </c>
      <c r="F245" s="6" t="s">
        <v>36</v>
      </c>
      <c r="G245" s="5">
        <v>8</v>
      </c>
      <c r="H245" s="8">
        <v>45031</v>
      </c>
      <c r="I245" s="6" t="s">
        <v>49</v>
      </c>
      <c r="J245" s="6" t="s">
        <v>27</v>
      </c>
    </row>
    <row r="246" spans="1:10" x14ac:dyDescent="0.3">
      <c r="A246" s="6" t="s">
        <v>290</v>
      </c>
      <c r="B246" s="6" t="s">
        <v>42</v>
      </c>
      <c r="C246" s="7">
        <v>27</v>
      </c>
      <c r="D246" s="5" t="s">
        <v>18</v>
      </c>
      <c r="E246" s="6" t="s">
        <v>19</v>
      </c>
      <c r="F246" s="6" t="s">
        <v>88</v>
      </c>
      <c r="G246" s="5">
        <v>7</v>
      </c>
      <c r="H246" s="8">
        <v>45067</v>
      </c>
      <c r="I246" s="6" t="s">
        <v>49</v>
      </c>
      <c r="J246" s="6" t="s">
        <v>22</v>
      </c>
    </row>
    <row r="247" spans="1:10" x14ac:dyDescent="0.3">
      <c r="A247" s="6" t="s">
        <v>291</v>
      </c>
      <c r="B247" s="6" t="s">
        <v>24</v>
      </c>
      <c r="C247" s="7">
        <v>35</v>
      </c>
      <c r="D247" s="5" t="s">
        <v>12</v>
      </c>
      <c r="E247" s="6" t="s">
        <v>13</v>
      </c>
      <c r="F247" s="6" t="s">
        <v>36</v>
      </c>
      <c r="G247" s="5">
        <v>60</v>
      </c>
      <c r="H247" s="8">
        <v>43482</v>
      </c>
      <c r="I247" s="6" t="s">
        <v>39</v>
      </c>
      <c r="J247" s="6" t="s">
        <v>16</v>
      </c>
    </row>
    <row r="248" spans="1:10" x14ac:dyDescent="0.3">
      <c r="A248" s="6" t="s">
        <v>292</v>
      </c>
      <c r="B248" s="6" t="s">
        <v>42</v>
      </c>
      <c r="C248" s="7">
        <v>18</v>
      </c>
      <c r="D248" s="5" t="s">
        <v>32</v>
      </c>
      <c r="E248" s="6" t="s">
        <v>13</v>
      </c>
      <c r="F248" s="6" t="s">
        <v>36</v>
      </c>
      <c r="G248" s="5">
        <v>31</v>
      </c>
      <c r="H248" s="8">
        <v>44347</v>
      </c>
      <c r="I248" s="6" t="s">
        <v>34</v>
      </c>
      <c r="J248" s="6" t="s">
        <v>16</v>
      </c>
    </row>
    <row r="249" spans="1:10" x14ac:dyDescent="0.3">
      <c r="A249" s="6" t="s">
        <v>293</v>
      </c>
      <c r="B249" s="6" t="s">
        <v>11</v>
      </c>
      <c r="C249" s="7">
        <v>22</v>
      </c>
      <c r="D249" s="5" t="s">
        <v>32</v>
      </c>
      <c r="E249" s="6" t="s">
        <v>19</v>
      </c>
      <c r="F249" s="6" t="s">
        <v>33</v>
      </c>
      <c r="G249" s="5">
        <v>15</v>
      </c>
      <c r="H249" s="8">
        <v>44839</v>
      </c>
      <c r="I249" s="6" t="s">
        <v>26</v>
      </c>
      <c r="J249" s="6" t="s">
        <v>65</v>
      </c>
    </row>
    <row r="250" spans="1:10" x14ac:dyDescent="0.3">
      <c r="A250" s="6" t="s">
        <v>294</v>
      </c>
      <c r="B250" s="6" t="s">
        <v>24</v>
      </c>
      <c r="C250" s="7">
        <v>52</v>
      </c>
      <c r="D250" s="5" t="s">
        <v>46</v>
      </c>
      <c r="E250" s="6" t="s">
        <v>13</v>
      </c>
      <c r="F250" s="6" t="s">
        <v>20</v>
      </c>
      <c r="G250" s="5">
        <v>1</v>
      </c>
      <c r="H250" s="8">
        <v>45258</v>
      </c>
      <c r="I250" s="6" t="s">
        <v>34</v>
      </c>
      <c r="J250" s="6" t="s">
        <v>27</v>
      </c>
    </row>
    <row r="251" spans="1:10" x14ac:dyDescent="0.3">
      <c r="A251" s="6" t="s">
        <v>295</v>
      </c>
      <c r="B251" s="6" t="s">
        <v>24</v>
      </c>
      <c r="C251" s="7">
        <v>28</v>
      </c>
      <c r="D251" s="5" t="s">
        <v>18</v>
      </c>
      <c r="E251" s="6" t="s">
        <v>13</v>
      </c>
      <c r="F251" s="6" t="s">
        <v>20</v>
      </c>
      <c r="G251" s="5">
        <v>13</v>
      </c>
      <c r="H251" s="8">
        <v>44878</v>
      </c>
      <c r="I251" s="6" t="s">
        <v>29</v>
      </c>
      <c r="J251" s="6" t="s">
        <v>65</v>
      </c>
    </row>
    <row r="252" spans="1:10" x14ac:dyDescent="0.3">
      <c r="A252" s="6" t="s">
        <v>296</v>
      </c>
      <c r="B252" s="6" t="s">
        <v>31</v>
      </c>
      <c r="C252" s="7">
        <v>44</v>
      </c>
      <c r="D252" s="5" t="s">
        <v>12</v>
      </c>
      <c r="E252" s="6" t="s">
        <v>19</v>
      </c>
      <c r="F252" s="6" t="s">
        <v>36</v>
      </c>
      <c r="G252" s="5">
        <v>45</v>
      </c>
      <c r="H252" s="8">
        <v>43914</v>
      </c>
      <c r="I252" s="6" t="s">
        <v>62</v>
      </c>
      <c r="J252" s="6" t="s">
        <v>16</v>
      </c>
    </row>
    <row r="253" spans="1:10" x14ac:dyDescent="0.3">
      <c r="A253" s="6" t="s">
        <v>297</v>
      </c>
      <c r="B253" s="6" t="s">
        <v>11</v>
      </c>
      <c r="C253" s="7">
        <v>32</v>
      </c>
      <c r="D253" s="5" t="s">
        <v>18</v>
      </c>
      <c r="E253" s="6" t="s">
        <v>13</v>
      </c>
      <c r="F253" s="6" t="s">
        <v>54</v>
      </c>
      <c r="G253" s="5">
        <v>8</v>
      </c>
      <c r="H253" s="8">
        <v>45050</v>
      </c>
      <c r="I253" s="6" t="s">
        <v>49</v>
      </c>
      <c r="J253" s="6" t="s">
        <v>22</v>
      </c>
    </row>
    <row r="254" spans="1:10" x14ac:dyDescent="0.3">
      <c r="A254" s="6" t="s">
        <v>298</v>
      </c>
      <c r="B254" s="6" t="s">
        <v>24</v>
      </c>
      <c r="C254" s="7">
        <v>36</v>
      </c>
      <c r="D254" s="5" t="s">
        <v>12</v>
      </c>
      <c r="E254" s="6" t="s">
        <v>13</v>
      </c>
      <c r="F254" s="6" t="s">
        <v>64</v>
      </c>
      <c r="G254" s="5">
        <v>42</v>
      </c>
      <c r="H254" s="8">
        <v>44029</v>
      </c>
      <c r="I254" s="6" t="s">
        <v>62</v>
      </c>
      <c r="J254" s="6" t="s">
        <v>16</v>
      </c>
    </row>
    <row r="255" spans="1:10" x14ac:dyDescent="0.3">
      <c r="A255" s="6" t="s">
        <v>299</v>
      </c>
      <c r="B255" s="6" t="s">
        <v>61</v>
      </c>
      <c r="C255" s="7">
        <v>29</v>
      </c>
      <c r="D255" s="5" t="s">
        <v>18</v>
      </c>
      <c r="E255" s="6" t="s">
        <v>13</v>
      </c>
      <c r="F255" s="6" t="s">
        <v>54</v>
      </c>
      <c r="G255" s="5">
        <v>35</v>
      </c>
      <c r="H255" s="8">
        <v>44231</v>
      </c>
      <c r="I255" s="6" t="s">
        <v>62</v>
      </c>
      <c r="J255" s="6" t="s">
        <v>22</v>
      </c>
    </row>
    <row r="256" spans="1:10" x14ac:dyDescent="0.3">
      <c r="A256" s="6" t="s">
        <v>300</v>
      </c>
      <c r="B256" s="6" t="s">
        <v>42</v>
      </c>
      <c r="C256" s="7">
        <v>31</v>
      </c>
      <c r="D256" s="5" t="s">
        <v>18</v>
      </c>
      <c r="E256" s="6" t="s">
        <v>13</v>
      </c>
      <c r="F256" s="6" t="s">
        <v>25</v>
      </c>
      <c r="G256" s="5">
        <v>36</v>
      </c>
      <c r="H256" s="8">
        <v>44192</v>
      </c>
      <c r="I256" s="6" t="s">
        <v>29</v>
      </c>
      <c r="J256" s="6" t="s">
        <v>16</v>
      </c>
    </row>
    <row r="257" spans="1:10" x14ac:dyDescent="0.3">
      <c r="A257" s="6" t="s">
        <v>301</v>
      </c>
      <c r="B257" s="6" t="s">
        <v>31</v>
      </c>
      <c r="C257" s="7">
        <v>39</v>
      </c>
      <c r="D257" s="5" t="s">
        <v>12</v>
      </c>
      <c r="E257" s="6" t="s">
        <v>19</v>
      </c>
      <c r="F257" s="6" t="s">
        <v>56</v>
      </c>
      <c r="G257" s="5">
        <v>56</v>
      </c>
      <c r="H257" s="8">
        <v>43595</v>
      </c>
      <c r="I257" s="6" t="s">
        <v>26</v>
      </c>
      <c r="J257" s="6" t="s">
        <v>16</v>
      </c>
    </row>
    <row r="258" spans="1:10" x14ac:dyDescent="0.3">
      <c r="A258" s="6" t="s">
        <v>302</v>
      </c>
      <c r="B258" s="6" t="s">
        <v>11</v>
      </c>
      <c r="C258" s="7">
        <v>35</v>
      </c>
      <c r="D258" s="5" t="s">
        <v>12</v>
      </c>
      <c r="E258" s="6" t="s">
        <v>13</v>
      </c>
      <c r="F258" s="6" t="s">
        <v>64</v>
      </c>
      <c r="G258" s="5">
        <v>27</v>
      </c>
      <c r="H258" s="8">
        <v>44469</v>
      </c>
      <c r="I258" s="6" t="s">
        <v>49</v>
      </c>
      <c r="J258" s="6" t="s">
        <v>65</v>
      </c>
    </row>
    <row r="259" spans="1:10" x14ac:dyDescent="0.3">
      <c r="A259" s="6" t="s">
        <v>303</v>
      </c>
      <c r="B259" s="6" t="s">
        <v>31</v>
      </c>
      <c r="C259" s="7">
        <v>22</v>
      </c>
      <c r="D259" s="5" t="s">
        <v>32</v>
      </c>
      <c r="E259" s="6" t="s">
        <v>19</v>
      </c>
      <c r="F259" s="6" t="s">
        <v>56</v>
      </c>
      <c r="G259" s="5">
        <v>52</v>
      </c>
      <c r="H259" s="8">
        <v>43716</v>
      </c>
      <c r="I259" s="6" t="s">
        <v>62</v>
      </c>
      <c r="J259" s="6" t="s">
        <v>22</v>
      </c>
    </row>
    <row r="260" spans="1:10" x14ac:dyDescent="0.3">
      <c r="A260" s="6" t="s">
        <v>304</v>
      </c>
      <c r="B260" s="6" t="s">
        <v>24</v>
      </c>
      <c r="C260" s="7">
        <v>44</v>
      </c>
      <c r="D260" s="5" t="s">
        <v>12</v>
      </c>
      <c r="E260" s="6" t="s">
        <v>13</v>
      </c>
      <c r="F260" s="6" t="s">
        <v>33</v>
      </c>
      <c r="G260" s="5">
        <v>19</v>
      </c>
      <c r="H260" s="8">
        <v>44721</v>
      </c>
      <c r="I260" s="6" t="s">
        <v>39</v>
      </c>
      <c r="J260" s="6" t="s">
        <v>16</v>
      </c>
    </row>
    <row r="261" spans="1:10" x14ac:dyDescent="0.3">
      <c r="A261" s="6" t="s">
        <v>305</v>
      </c>
      <c r="B261" s="6" t="s">
        <v>42</v>
      </c>
      <c r="C261" s="7">
        <v>34</v>
      </c>
      <c r="D261" s="5" t="s">
        <v>18</v>
      </c>
      <c r="E261" s="6" t="s">
        <v>13</v>
      </c>
      <c r="F261" s="6" t="s">
        <v>88</v>
      </c>
      <c r="G261" s="5">
        <v>38</v>
      </c>
      <c r="H261" s="8">
        <v>44136</v>
      </c>
      <c r="I261" s="6" t="s">
        <v>34</v>
      </c>
      <c r="J261" s="6" t="s">
        <v>16</v>
      </c>
    </row>
    <row r="262" spans="1:10" x14ac:dyDescent="0.3">
      <c r="A262" s="6" t="s">
        <v>306</v>
      </c>
      <c r="B262" s="6" t="s">
        <v>31</v>
      </c>
      <c r="C262" s="7">
        <v>35</v>
      </c>
      <c r="D262" s="5" t="s">
        <v>12</v>
      </c>
      <c r="E262" s="6" t="s">
        <v>13</v>
      </c>
      <c r="F262" s="6" t="s">
        <v>56</v>
      </c>
      <c r="G262" s="5">
        <v>23</v>
      </c>
      <c r="H262" s="8">
        <v>44584</v>
      </c>
      <c r="I262" s="6" t="s">
        <v>34</v>
      </c>
      <c r="J262" s="6" t="s">
        <v>16</v>
      </c>
    </row>
    <row r="263" spans="1:10" x14ac:dyDescent="0.3">
      <c r="A263" s="6" t="s">
        <v>307</v>
      </c>
      <c r="B263" s="6" t="s">
        <v>11</v>
      </c>
      <c r="C263" s="7">
        <v>32</v>
      </c>
      <c r="D263" s="5" t="s">
        <v>18</v>
      </c>
      <c r="E263" s="6" t="s">
        <v>19</v>
      </c>
      <c r="F263" s="6" t="s">
        <v>20</v>
      </c>
      <c r="G263" s="5">
        <v>3</v>
      </c>
      <c r="H263" s="8">
        <v>45181</v>
      </c>
      <c r="I263" s="6" t="s">
        <v>34</v>
      </c>
      <c r="J263" s="6" t="s">
        <v>27</v>
      </c>
    </row>
    <row r="264" spans="1:10" x14ac:dyDescent="0.3">
      <c r="A264" s="6" t="s">
        <v>308</v>
      </c>
      <c r="B264" s="6" t="s">
        <v>24</v>
      </c>
      <c r="C264" s="7">
        <v>30</v>
      </c>
      <c r="D264" s="5" t="s">
        <v>18</v>
      </c>
      <c r="E264" s="6" t="s">
        <v>13</v>
      </c>
      <c r="F264" s="6" t="s">
        <v>20</v>
      </c>
      <c r="G264" s="5">
        <v>22</v>
      </c>
      <c r="H264" s="8">
        <v>44606</v>
      </c>
      <c r="I264" s="6" t="s">
        <v>62</v>
      </c>
      <c r="J264" s="6" t="s">
        <v>16</v>
      </c>
    </row>
    <row r="265" spans="1:10" x14ac:dyDescent="0.3">
      <c r="A265" s="6" t="s">
        <v>309</v>
      </c>
      <c r="B265" s="6" t="s">
        <v>24</v>
      </c>
      <c r="C265" s="7">
        <v>27</v>
      </c>
      <c r="D265" s="5" t="s">
        <v>18</v>
      </c>
      <c r="E265" s="6" t="s">
        <v>13</v>
      </c>
      <c r="F265" s="6" t="s">
        <v>33</v>
      </c>
      <c r="G265" s="5">
        <v>57</v>
      </c>
      <c r="H265" s="8">
        <v>43565</v>
      </c>
      <c r="I265" s="6" t="s">
        <v>49</v>
      </c>
      <c r="J265" s="6" t="s">
        <v>27</v>
      </c>
    </row>
    <row r="266" spans="1:10" x14ac:dyDescent="0.3">
      <c r="A266" s="6" t="s">
        <v>310</v>
      </c>
      <c r="B266" s="6" t="s">
        <v>31</v>
      </c>
      <c r="C266" s="7">
        <v>36</v>
      </c>
      <c r="D266" s="5" t="s">
        <v>12</v>
      </c>
      <c r="E266" s="6" t="s">
        <v>19</v>
      </c>
      <c r="F266" s="6" t="s">
        <v>14</v>
      </c>
      <c r="G266" s="5">
        <v>28</v>
      </c>
      <c r="H266" s="8">
        <v>44428</v>
      </c>
      <c r="I266" s="6" t="s">
        <v>49</v>
      </c>
      <c r="J266" s="6" t="s">
        <v>27</v>
      </c>
    </row>
    <row r="267" spans="1:10" x14ac:dyDescent="0.3">
      <c r="A267" s="6" t="s">
        <v>311</v>
      </c>
      <c r="B267" s="6" t="s">
        <v>24</v>
      </c>
      <c r="C267" s="7">
        <v>22</v>
      </c>
      <c r="D267" s="5" t="s">
        <v>32</v>
      </c>
      <c r="E267" s="6" t="s">
        <v>19</v>
      </c>
      <c r="F267" s="6" t="s">
        <v>14</v>
      </c>
      <c r="G267" s="5">
        <v>54</v>
      </c>
      <c r="H267" s="8">
        <v>43651</v>
      </c>
      <c r="I267" s="6" t="s">
        <v>21</v>
      </c>
      <c r="J267" s="6" t="s">
        <v>27</v>
      </c>
    </row>
    <row r="268" spans="1:10" x14ac:dyDescent="0.3">
      <c r="A268" s="6" t="s">
        <v>312</v>
      </c>
      <c r="B268" s="6" t="s">
        <v>42</v>
      </c>
      <c r="C268" s="7">
        <v>22</v>
      </c>
      <c r="D268" s="5" t="s">
        <v>32</v>
      </c>
      <c r="E268" s="6" t="s">
        <v>19</v>
      </c>
      <c r="F268" s="6" t="s">
        <v>54</v>
      </c>
      <c r="G268" s="5">
        <v>21</v>
      </c>
      <c r="H268" s="8">
        <v>44652</v>
      </c>
      <c r="I268" s="6" t="s">
        <v>34</v>
      </c>
      <c r="J268" s="6" t="s">
        <v>65</v>
      </c>
    </row>
    <row r="269" spans="1:10" x14ac:dyDescent="0.3">
      <c r="A269" s="6" t="s">
        <v>313</v>
      </c>
      <c r="B269" s="6" t="s">
        <v>61</v>
      </c>
      <c r="C269" s="7">
        <v>37</v>
      </c>
      <c r="D269" s="5" t="s">
        <v>12</v>
      </c>
      <c r="E269" s="6" t="s">
        <v>13</v>
      </c>
      <c r="F269" s="6" t="s">
        <v>64</v>
      </c>
      <c r="G269" s="5">
        <v>45</v>
      </c>
      <c r="H269" s="8">
        <v>43940</v>
      </c>
      <c r="I269" s="6" t="s">
        <v>62</v>
      </c>
      <c r="J269" s="6" t="s">
        <v>16</v>
      </c>
    </row>
    <row r="270" spans="1:10" x14ac:dyDescent="0.3">
      <c r="A270" s="6" t="s">
        <v>314</v>
      </c>
      <c r="B270" s="6" t="s">
        <v>61</v>
      </c>
      <c r="C270" s="7">
        <v>34</v>
      </c>
      <c r="D270" s="5" t="s">
        <v>18</v>
      </c>
      <c r="E270" s="6" t="s">
        <v>13</v>
      </c>
      <c r="F270" s="6" t="s">
        <v>33</v>
      </c>
      <c r="G270" s="5">
        <v>5</v>
      </c>
      <c r="H270" s="8">
        <v>45113</v>
      </c>
      <c r="I270" s="6" t="s">
        <v>21</v>
      </c>
      <c r="J270" s="6" t="s">
        <v>22</v>
      </c>
    </row>
    <row r="271" spans="1:10" x14ac:dyDescent="0.3">
      <c r="A271" s="6" t="s">
        <v>315</v>
      </c>
      <c r="B271" s="6" t="s">
        <v>24</v>
      </c>
      <c r="C271" s="7">
        <v>37</v>
      </c>
      <c r="D271" s="5" t="s">
        <v>12</v>
      </c>
      <c r="E271" s="6" t="s">
        <v>13</v>
      </c>
      <c r="F271" s="6" t="s">
        <v>88</v>
      </c>
      <c r="G271" s="5">
        <v>46</v>
      </c>
      <c r="H271" s="8">
        <v>43912</v>
      </c>
      <c r="I271" s="6" t="s">
        <v>21</v>
      </c>
      <c r="J271" s="6" t="s">
        <v>22</v>
      </c>
    </row>
    <row r="272" spans="1:10" x14ac:dyDescent="0.3">
      <c r="A272" s="6" t="s">
        <v>316</v>
      </c>
      <c r="B272" s="6" t="s">
        <v>24</v>
      </c>
      <c r="C272" s="7">
        <v>18</v>
      </c>
      <c r="D272" s="5" t="s">
        <v>32</v>
      </c>
      <c r="E272" s="6" t="s">
        <v>19</v>
      </c>
      <c r="F272" s="6" t="s">
        <v>54</v>
      </c>
      <c r="G272" s="5">
        <v>47</v>
      </c>
      <c r="H272" s="8">
        <v>43871</v>
      </c>
      <c r="I272" s="6" t="s">
        <v>34</v>
      </c>
      <c r="J272" s="6" t="s">
        <v>22</v>
      </c>
    </row>
    <row r="273" spans="1:10" x14ac:dyDescent="0.3">
      <c r="A273" s="6" t="s">
        <v>317</v>
      </c>
      <c r="B273" s="6" t="s">
        <v>61</v>
      </c>
      <c r="C273" s="7">
        <v>33</v>
      </c>
      <c r="D273" s="5" t="s">
        <v>18</v>
      </c>
      <c r="E273" s="6" t="s">
        <v>13</v>
      </c>
      <c r="F273" s="6" t="s">
        <v>38</v>
      </c>
      <c r="G273" s="5">
        <v>50</v>
      </c>
      <c r="H273" s="8">
        <v>43773</v>
      </c>
      <c r="I273" s="6" t="s">
        <v>29</v>
      </c>
      <c r="J273" s="6" t="s">
        <v>22</v>
      </c>
    </row>
    <row r="274" spans="1:10" x14ac:dyDescent="0.3">
      <c r="A274" s="6" t="s">
        <v>318</v>
      </c>
      <c r="B274" s="6" t="s">
        <v>61</v>
      </c>
      <c r="C274" s="7">
        <v>36</v>
      </c>
      <c r="D274" s="5" t="s">
        <v>12</v>
      </c>
      <c r="E274" s="6" t="s">
        <v>13</v>
      </c>
      <c r="F274" s="6" t="s">
        <v>54</v>
      </c>
      <c r="G274" s="5">
        <v>25</v>
      </c>
      <c r="H274" s="8">
        <v>44513</v>
      </c>
      <c r="I274" s="6" t="s">
        <v>49</v>
      </c>
      <c r="J274" s="6" t="s">
        <v>16</v>
      </c>
    </row>
    <row r="275" spans="1:10" x14ac:dyDescent="0.3">
      <c r="A275" s="6" t="s">
        <v>319</v>
      </c>
      <c r="B275" s="6" t="s">
        <v>61</v>
      </c>
      <c r="C275" s="7">
        <v>26</v>
      </c>
      <c r="D275" s="5" t="s">
        <v>18</v>
      </c>
      <c r="E275" s="6" t="s">
        <v>105</v>
      </c>
      <c r="F275" s="6" t="s">
        <v>54</v>
      </c>
      <c r="G275" s="5">
        <v>52</v>
      </c>
      <c r="H275" s="8">
        <v>43712</v>
      </c>
      <c r="I275" s="6" t="s">
        <v>62</v>
      </c>
      <c r="J275" s="6" t="s">
        <v>16</v>
      </c>
    </row>
    <row r="276" spans="1:10" x14ac:dyDescent="0.3">
      <c r="A276" s="6" t="s">
        <v>320</v>
      </c>
      <c r="B276" s="6" t="s">
        <v>31</v>
      </c>
      <c r="C276" s="7">
        <v>19</v>
      </c>
      <c r="D276" s="5" t="s">
        <v>32</v>
      </c>
      <c r="E276" s="6" t="s">
        <v>13</v>
      </c>
      <c r="F276" s="6" t="s">
        <v>20</v>
      </c>
      <c r="G276" s="5">
        <v>3</v>
      </c>
      <c r="H276" s="8">
        <v>45175</v>
      </c>
      <c r="I276" s="6" t="s">
        <v>15</v>
      </c>
      <c r="J276" s="6" t="s">
        <v>27</v>
      </c>
    </row>
    <row r="277" spans="1:10" x14ac:dyDescent="0.3">
      <c r="A277" s="6" t="s">
        <v>321</v>
      </c>
      <c r="B277" s="6" t="s">
        <v>31</v>
      </c>
      <c r="C277" s="7">
        <v>38</v>
      </c>
      <c r="D277" s="5" t="s">
        <v>12</v>
      </c>
      <c r="E277" s="6" t="s">
        <v>19</v>
      </c>
      <c r="F277" s="6" t="s">
        <v>88</v>
      </c>
      <c r="G277" s="5">
        <v>38</v>
      </c>
      <c r="H277" s="8">
        <v>44148</v>
      </c>
      <c r="I277" s="6" t="s">
        <v>39</v>
      </c>
      <c r="J277" s="6" t="s">
        <v>27</v>
      </c>
    </row>
    <row r="278" spans="1:10" x14ac:dyDescent="0.3">
      <c r="A278" s="6" t="s">
        <v>322</v>
      </c>
      <c r="B278" s="6" t="s">
        <v>24</v>
      </c>
      <c r="C278" s="7">
        <v>18</v>
      </c>
      <c r="D278" s="5" t="s">
        <v>32</v>
      </c>
      <c r="E278" s="6" t="s">
        <v>13</v>
      </c>
      <c r="F278" s="6" t="s">
        <v>88</v>
      </c>
      <c r="G278" s="5">
        <v>1</v>
      </c>
      <c r="H278" s="8">
        <v>45249</v>
      </c>
      <c r="I278" s="6" t="s">
        <v>62</v>
      </c>
      <c r="J278" s="6" t="s">
        <v>22</v>
      </c>
    </row>
    <row r="279" spans="1:10" x14ac:dyDescent="0.3">
      <c r="A279" s="6" t="s">
        <v>323</v>
      </c>
      <c r="B279" s="6" t="s">
        <v>31</v>
      </c>
      <c r="C279" s="7">
        <v>22</v>
      </c>
      <c r="D279" s="5" t="s">
        <v>32</v>
      </c>
      <c r="E279" s="6" t="s">
        <v>19</v>
      </c>
      <c r="F279" s="6" t="s">
        <v>38</v>
      </c>
      <c r="G279" s="5">
        <v>33</v>
      </c>
      <c r="H279" s="8">
        <v>44276</v>
      </c>
      <c r="I279" s="6" t="s">
        <v>26</v>
      </c>
      <c r="J279" s="6" t="s">
        <v>27</v>
      </c>
    </row>
    <row r="280" spans="1:10" x14ac:dyDescent="0.3">
      <c r="A280" s="6" t="s">
        <v>324</v>
      </c>
      <c r="B280" s="6" t="s">
        <v>31</v>
      </c>
      <c r="C280" s="7">
        <v>19</v>
      </c>
      <c r="D280" s="5" t="s">
        <v>32</v>
      </c>
      <c r="E280" s="6" t="s">
        <v>13</v>
      </c>
      <c r="F280" s="6" t="s">
        <v>54</v>
      </c>
      <c r="G280" s="5">
        <v>36</v>
      </c>
      <c r="H280" s="8">
        <v>44204</v>
      </c>
      <c r="I280" s="6" t="s">
        <v>49</v>
      </c>
      <c r="J280" s="6" t="s">
        <v>27</v>
      </c>
    </row>
    <row r="281" spans="1:10" x14ac:dyDescent="0.3">
      <c r="A281" s="6" t="s">
        <v>325</v>
      </c>
      <c r="B281" s="6" t="s">
        <v>24</v>
      </c>
      <c r="C281" s="7">
        <v>31</v>
      </c>
      <c r="D281" s="5" t="s">
        <v>18</v>
      </c>
      <c r="E281" s="6" t="s">
        <v>13</v>
      </c>
      <c r="F281" s="6" t="s">
        <v>64</v>
      </c>
      <c r="G281" s="5">
        <v>42</v>
      </c>
      <c r="H281" s="8">
        <v>44032</v>
      </c>
      <c r="I281" s="6" t="s">
        <v>39</v>
      </c>
      <c r="J281" s="6" t="s">
        <v>22</v>
      </c>
    </row>
    <row r="282" spans="1:10" x14ac:dyDescent="0.3">
      <c r="A282" s="6" t="s">
        <v>326</v>
      </c>
      <c r="B282" s="6" t="s">
        <v>24</v>
      </c>
      <c r="C282" s="7">
        <v>21</v>
      </c>
      <c r="D282" s="5" t="s">
        <v>32</v>
      </c>
      <c r="E282" s="6" t="s">
        <v>13</v>
      </c>
      <c r="F282" s="6" t="s">
        <v>25</v>
      </c>
      <c r="G282" s="5">
        <v>14</v>
      </c>
      <c r="H282" s="8">
        <v>44848</v>
      </c>
      <c r="I282" s="6" t="s">
        <v>62</v>
      </c>
      <c r="J282" s="6" t="s">
        <v>22</v>
      </c>
    </row>
    <row r="283" spans="1:10" x14ac:dyDescent="0.3">
      <c r="A283" s="6" t="s">
        <v>327</v>
      </c>
      <c r="B283" s="6" t="s">
        <v>42</v>
      </c>
      <c r="C283" s="7">
        <v>28</v>
      </c>
      <c r="D283" s="5" t="s">
        <v>18</v>
      </c>
      <c r="E283" s="6" t="s">
        <v>13</v>
      </c>
      <c r="F283" s="6" t="s">
        <v>54</v>
      </c>
      <c r="G283" s="5">
        <v>42</v>
      </c>
      <c r="H283" s="8">
        <v>44027</v>
      </c>
      <c r="I283" s="6" t="s">
        <v>62</v>
      </c>
      <c r="J283" s="6" t="s">
        <v>22</v>
      </c>
    </row>
    <row r="284" spans="1:10" x14ac:dyDescent="0.3">
      <c r="A284" s="6" t="s">
        <v>328</v>
      </c>
      <c r="B284" s="6" t="s">
        <v>24</v>
      </c>
      <c r="C284" s="7">
        <v>38</v>
      </c>
      <c r="D284" s="5" t="s">
        <v>12</v>
      </c>
      <c r="E284" s="6" t="s">
        <v>19</v>
      </c>
      <c r="F284" s="6" t="s">
        <v>56</v>
      </c>
      <c r="G284" s="5">
        <v>41</v>
      </c>
      <c r="H284" s="8">
        <v>44056</v>
      </c>
      <c r="I284" s="6" t="s">
        <v>29</v>
      </c>
      <c r="J284" s="6" t="s">
        <v>27</v>
      </c>
    </row>
    <row r="285" spans="1:10" x14ac:dyDescent="0.3">
      <c r="A285" s="6" t="s">
        <v>329</v>
      </c>
      <c r="B285" s="6" t="s">
        <v>42</v>
      </c>
      <c r="C285" s="7">
        <v>20</v>
      </c>
      <c r="D285" s="5" t="s">
        <v>32</v>
      </c>
      <c r="E285" s="6" t="s">
        <v>19</v>
      </c>
      <c r="F285" s="6" t="s">
        <v>38</v>
      </c>
      <c r="G285" s="5">
        <v>36</v>
      </c>
      <c r="H285" s="8">
        <v>44198</v>
      </c>
      <c r="I285" s="6" t="s">
        <v>47</v>
      </c>
      <c r="J285" s="6" t="s">
        <v>27</v>
      </c>
    </row>
    <row r="286" spans="1:10" x14ac:dyDescent="0.3">
      <c r="A286" s="6" t="s">
        <v>330</v>
      </c>
      <c r="B286" s="6" t="s">
        <v>24</v>
      </c>
      <c r="C286" s="7">
        <v>38</v>
      </c>
      <c r="D286" s="5" t="s">
        <v>12</v>
      </c>
      <c r="E286" s="6" t="s">
        <v>13</v>
      </c>
      <c r="F286" s="6" t="s">
        <v>64</v>
      </c>
      <c r="G286" s="5">
        <v>52</v>
      </c>
      <c r="H286" s="8">
        <v>43716</v>
      </c>
      <c r="I286" s="6" t="s">
        <v>15</v>
      </c>
      <c r="J286" s="6" t="s">
        <v>27</v>
      </c>
    </row>
    <row r="287" spans="1:10" x14ac:dyDescent="0.3">
      <c r="A287" s="6" t="s">
        <v>331</v>
      </c>
      <c r="B287" s="6" t="s">
        <v>31</v>
      </c>
      <c r="C287" s="7">
        <v>33</v>
      </c>
      <c r="D287" s="5" t="s">
        <v>18</v>
      </c>
      <c r="E287" s="6" t="s">
        <v>19</v>
      </c>
      <c r="F287" s="6" t="s">
        <v>38</v>
      </c>
      <c r="G287" s="5">
        <v>52</v>
      </c>
      <c r="H287" s="8">
        <v>43731</v>
      </c>
      <c r="I287" s="6" t="s">
        <v>15</v>
      </c>
      <c r="J287" s="6" t="s">
        <v>27</v>
      </c>
    </row>
    <row r="288" spans="1:10" x14ac:dyDescent="0.3">
      <c r="A288" s="6" t="s">
        <v>332</v>
      </c>
      <c r="B288" s="6" t="s">
        <v>11</v>
      </c>
      <c r="C288" s="7">
        <v>36</v>
      </c>
      <c r="D288" s="5" t="s">
        <v>12</v>
      </c>
      <c r="E288" s="6" t="s">
        <v>19</v>
      </c>
      <c r="F288" s="6" t="s">
        <v>54</v>
      </c>
      <c r="G288" s="5">
        <v>33</v>
      </c>
      <c r="H288" s="8">
        <v>44297</v>
      </c>
      <c r="I288" s="6" t="s">
        <v>49</v>
      </c>
      <c r="J288" s="6" t="s">
        <v>16</v>
      </c>
    </row>
    <row r="289" spans="1:10" x14ac:dyDescent="0.3">
      <c r="A289" s="6" t="s">
        <v>333</v>
      </c>
      <c r="B289" s="6" t="s">
        <v>11</v>
      </c>
      <c r="C289" s="7">
        <v>37</v>
      </c>
      <c r="D289" s="5" t="s">
        <v>12</v>
      </c>
      <c r="E289" s="6" t="s">
        <v>19</v>
      </c>
      <c r="F289" s="6" t="s">
        <v>54</v>
      </c>
      <c r="G289" s="5">
        <v>44</v>
      </c>
      <c r="H289" s="8">
        <v>43951</v>
      </c>
      <c r="I289" s="6" t="s">
        <v>26</v>
      </c>
      <c r="J289" s="6" t="s">
        <v>27</v>
      </c>
    </row>
    <row r="290" spans="1:10" x14ac:dyDescent="0.3">
      <c r="A290" s="6" t="s">
        <v>334</v>
      </c>
      <c r="B290" s="6" t="s">
        <v>11</v>
      </c>
      <c r="C290" s="7">
        <v>29</v>
      </c>
      <c r="D290" s="5" t="s">
        <v>18</v>
      </c>
      <c r="E290" s="6" t="s">
        <v>13</v>
      </c>
      <c r="F290" s="6" t="s">
        <v>25</v>
      </c>
      <c r="G290" s="5">
        <v>11</v>
      </c>
      <c r="H290" s="8">
        <v>44940</v>
      </c>
      <c r="I290" s="6" t="s">
        <v>29</v>
      </c>
      <c r="J290" s="6" t="s">
        <v>65</v>
      </c>
    </row>
    <row r="291" spans="1:10" x14ac:dyDescent="0.3">
      <c r="A291" s="6" t="s">
        <v>335</v>
      </c>
      <c r="B291" s="6" t="s">
        <v>11</v>
      </c>
      <c r="C291" s="7">
        <v>46</v>
      </c>
      <c r="D291" s="5" t="s">
        <v>46</v>
      </c>
      <c r="E291" s="6" t="s">
        <v>19</v>
      </c>
      <c r="F291" s="6" t="s">
        <v>56</v>
      </c>
      <c r="G291" s="5">
        <v>56</v>
      </c>
      <c r="H291" s="8">
        <v>43592</v>
      </c>
      <c r="I291" s="6" t="s">
        <v>21</v>
      </c>
      <c r="J291" s="6" t="s">
        <v>16</v>
      </c>
    </row>
    <row r="292" spans="1:10" x14ac:dyDescent="0.3">
      <c r="A292" s="6" t="s">
        <v>336</v>
      </c>
      <c r="B292" s="6" t="s">
        <v>61</v>
      </c>
      <c r="C292" s="7">
        <v>29</v>
      </c>
      <c r="D292" s="5" t="s">
        <v>18</v>
      </c>
      <c r="E292" s="6" t="s">
        <v>19</v>
      </c>
      <c r="F292" s="6" t="s">
        <v>14</v>
      </c>
      <c r="G292" s="5">
        <v>60</v>
      </c>
      <c r="H292" s="8">
        <v>43468</v>
      </c>
      <c r="I292" s="6" t="s">
        <v>62</v>
      </c>
      <c r="J292" s="6" t="s">
        <v>22</v>
      </c>
    </row>
    <row r="293" spans="1:10" x14ac:dyDescent="0.3">
      <c r="A293" s="6" t="s">
        <v>337</v>
      </c>
      <c r="B293" s="6" t="s">
        <v>11</v>
      </c>
      <c r="C293" s="7">
        <v>18</v>
      </c>
      <c r="D293" s="5" t="s">
        <v>32</v>
      </c>
      <c r="E293" s="6" t="s">
        <v>13</v>
      </c>
      <c r="F293" s="6" t="s">
        <v>38</v>
      </c>
      <c r="G293" s="5">
        <v>18</v>
      </c>
      <c r="H293" s="8">
        <v>44734</v>
      </c>
      <c r="I293" s="6" t="s">
        <v>29</v>
      </c>
      <c r="J293" s="6" t="s">
        <v>27</v>
      </c>
    </row>
    <row r="294" spans="1:10" x14ac:dyDescent="0.3">
      <c r="A294" s="6" t="s">
        <v>338</v>
      </c>
      <c r="B294" s="6" t="s">
        <v>31</v>
      </c>
      <c r="C294" s="7">
        <v>43</v>
      </c>
      <c r="D294" s="5" t="s">
        <v>12</v>
      </c>
      <c r="E294" s="6" t="s">
        <v>13</v>
      </c>
      <c r="F294" s="6" t="s">
        <v>56</v>
      </c>
      <c r="G294" s="5">
        <v>6</v>
      </c>
      <c r="H294" s="8">
        <v>45107</v>
      </c>
      <c r="I294" s="6" t="s">
        <v>62</v>
      </c>
      <c r="J294" s="6" t="s">
        <v>65</v>
      </c>
    </row>
    <row r="295" spans="1:10" x14ac:dyDescent="0.3">
      <c r="A295" s="6" t="s">
        <v>339</v>
      </c>
      <c r="B295" s="6" t="s">
        <v>42</v>
      </c>
      <c r="C295" s="7">
        <v>19</v>
      </c>
      <c r="D295" s="5" t="s">
        <v>32</v>
      </c>
      <c r="E295" s="6" t="s">
        <v>13</v>
      </c>
      <c r="F295" s="6" t="s">
        <v>20</v>
      </c>
      <c r="G295" s="5">
        <v>57</v>
      </c>
      <c r="H295" s="8">
        <v>43553</v>
      </c>
      <c r="I295" s="6" t="s">
        <v>15</v>
      </c>
      <c r="J295" s="6" t="s">
        <v>22</v>
      </c>
    </row>
    <row r="296" spans="1:10" x14ac:dyDescent="0.3">
      <c r="A296" s="6" t="s">
        <v>340</v>
      </c>
      <c r="B296" s="6" t="s">
        <v>31</v>
      </c>
      <c r="C296" s="7">
        <v>40</v>
      </c>
      <c r="D296" s="5" t="s">
        <v>12</v>
      </c>
      <c r="E296" s="6" t="s">
        <v>13</v>
      </c>
      <c r="F296" s="6" t="s">
        <v>88</v>
      </c>
      <c r="G296" s="5">
        <v>22</v>
      </c>
      <c r="H296" s="8">
        <v>44617</v>
      </c>
      <c r="I296" s="6" t="s">
        <v>26</v>
      </c>
      <c r="J296" s="6" t="s">
        <v>22</v>
      </c>
    </row>
    <row r="297" spans="1:10" x14ac:dyDescent="0.3">
      <c r="A297" s="6" t="s">
        <v>341</v>
      </c>
      <c r="B297" s="6" t="s">
        <v>31</v>
      </c>
      <c r="C297" s="7">
        <v>24</v>
      </c>
      <c r="D297" s="5" t="s">
        <v>32</v>
      </c>
      <c r="E297" s="6" t="s">
        <v>19</v>
      </c>
      <c r="F297" s="6" t="s">
        <v>36</v>
      </c>
      <c r="G297" s="5">
        <v>37</v>
      </c>
      <c r="H297" s="8">
        <v>44155</v>
      </c>
      <c r="I297" s="6" t="s">
        <v>47</v>
      </c>
      <c r="J297" s="6" t="s">
        <v>27</v>
      </c>
    </row>
    <row r="298" spans="1:10" x14ac:dyDescent="0.3">
      <c r="A298" s="6" t="s">
        <v>342</v>
      </c>
      <c r="B298" s="6" t="s">
        <v>24</v>
      </c>
      <c r="C298" s="7">
        <v>18</v>
      </c>
      <c r="D298" s="5" t="s">
        <v>32</v>
      </c>
      <c r="E298" s="6" t="s">
        <v>13</v>
      </c>
      <c r="F298" s="6" t="s">
        <v>56</v>
      </c>
      <c r="G298" s="5">
        <v>42</v>
      </c>
      <c r="H298" s="8">
        <v>44008</v>
      </c>
      <c r="I298" s="6" t="s">
        <v>21</v>
      </c>
      <c r="J298" s="6" t="s">
        <v>16</v>
      </c>
    </row>
    <row r="299" spans="1:10" x14ac:dyDescent="0.3">
      <c r="A299" s="6" t="s">
        <v>343</v>
      </c>
      <c r="B299" s="6" t="s">
        <v>42</v>
      </c>
      <c r="C299" s="7">
        <v>35</v>
      </c>
      <c r="D299" s="5" t="s">
        <v>12</v>
      </c>
      <c r="E299" s="6" t="s">
        <v>13</v>
      </c>
      <c r="F299" s="6" t="s">
        <v>54</v>
      </c>
      <c r="G299" s="5">
        <v>40</v>
      </c>
      <c r="H299" s="8">
        <v>44092</v>
      </c>
      <c r="I299" s="6" t="s">
        <v>39</v>
      </c>
      <c r="J299" s="6" t="s">
        <v>65</v>
      </c>
    </row>
    <row r="300" spans="1:10" x14ac:dyDescent="0.3">
      <c r="A300" s="6" t="s">
        <v>344</v>
      </c>
      <c r="B300" s="6" t="s">
        <v>24</v>
      </c>
      <c r="C300" s="7">
        <v>39</v>
      </c>
      <c r="D300" s="5" t="s">
        <v>12</v>
      </c>
      <c r="E300" s="6" t="s">
        <v>13</v>
      </c>
      <c r="F300" s="6" t="s">
        <v>64</v>
      </c>
      <c r="G300" s="5">
        <v>35</v>
      </c>
      <c r="H300" s="8">
        <v>44239</v>
      </c>
      <c r="I300" s="6" t="s">
        <v>39</v>
      </c>
      <c r="J300" s="6" t="s">
        <v>65</v>
      </c>
    </row>
    <row r="301" spans="1:10" x14ac:dyDescent="0.3">
      <c r="A301" s="6" t="s">
        <v>345</v>
      </c>
      <c r="B301" s="6" t="s">
        <v>31</v>
      </c>
      <c r="C301" s="7">
        <v>28</v>
      </c>
      <c r="D301" s="5" t="s">
        <v>18</v>
      </c>
      <c r="E301" s="6" t="s">
        <v>13</v>
      </c>
      <c r="F301" s="6" t="s">
        <v>38</v>
      </c>
      <c r="G301" s="5">
        <v>31</v>
      </c>
      <c r="H301" s="8">
        <v>44341</v>
      </c>
      <c r="I301" s="6" t="s">
        <v>34</v>
      </c>
      <c r="J301" s="6" t="s">
        <v>16</v>
      </c>
    </row>
    <row r="302" spans="1:10" x14ac:dyDescent="0.3">
      <c r="A302" s="6" t="s">
        <v>346</v>
      </c>
      <c r="B302" s="6" t="s">
        <v>11</v>
      </c>
      <c r="C302" s="7">
        <v>36</v>
      </c>
      <c r="D302" s="5" t="s">
        <v>12</v>
      </c>
      <c r="E302" s="6" t="s">
        <v>13</v>
      </c>
      <c r="F302" s="6" t="s">
        <v>14</v>
      </c>
      <c r="G302" s="5">
        <v>25</v>
      </c>
      <c r="H302" s="8">
        <v>44535</v>
      </c>
      <c r="I302" s="6" t="s">
        <v>34</v>
      </c>
      <c r="J302" s="6" t="s">
        <v>22</v>
      </c>
    </row>
    <row r="303" spans="1:10" x14ac:dyDescent="0.3">
      <c r="A303" s="6" t="s">
        <v>347</v>
      </c>
      <c r="B303" s="6" t="s">
        <v>24</v>
      </c>
      <c r="C303" s="7">
        <v>42</v>
      </c>
      <c r="D303" s="5" t="s">
        <v>12</v>
      </c>
      <c r="E303" s="6" t="s">
        <v>19</v>
      </c>
      <c r="F303" s="6" t="s">
        <v>64</v>
      </c>
      <c r="G303" s="5">
        <v>58</v>
      </c>
      <c r="H303" s="8">
        <v>43524</v>
      </c>
      <c r="I303" s="6" t="s">
        <v>29</v>
      </c>
      <c r="J303" s="6" t="s">
        <v>16</v>
      </c>
    </row>
    <row r="304" spans="1:10" x14ac:dyDescent="0.3">
      <c r="A304" s="6" t="s">
        <v>348</v>
      </c>
      <c r="B304" s="6" t="s">
        <v>24</v>
      </c>
      <c r="C304" s="7">
        <v>31</v>
      </c>
      <c r="D304" s="5" t="s">
        <v>18</v>
      </c>
      <c r="E304" s="6" t="s">
        <v>19</v>
      </c>
      <c r="F304" s="6" t="s">
        <v>36</v>
      </c>
      <c r="G304" s="5">
        <v>29</v>
      </c>
      <c r="H304" s="8">
        <v>44415</v>
      </c>
      <c r="I304" s="6" t="s">
        <v>39</v>
      </c>
      <c r="J304" s="6" t="s">
        <v>16</v>
      </c>
    </row>
    <row r="305" spans="1:10" x14ac:dyDescent="0.3">
      <c r="A305" s="6" t="s">
        <v>349</v>
      </c>
      <c r="B305" s="6" t="s">
        <v>24</v>
      </c>
      <c r="C305" s="7">
        <v>41</v>
      </c>
      <c r="D305" s="5" t="s">
        <v>12</v>
      </c>
      <c r="E305" s="6" t="s">
        <v>13</v>
      </c>
      <c r="F305" s="6" t="s">
        <v>64</v>
      </c>
      <c r="G305" s="5">
        <v>36</v>
      </c>
      <c r="H305" s="8">
        <v>44189</v>
      </c>
      <c r="I305" s="6" t="s">
        <v>29</v>
      </c>
      <c r="J305" s="6" t="s">
        <v>16</v>
      </c>
    </row>
    <row r="306" spans="1:10" x14ac:dyDescent="0.3">
      <c r="A306" s="6" t="s">
        <v>350</v>
      </c>
      <c r="B306" s="6" t="s">
        <v>31</v>
      </c>
      <c r="C306" s="7">
        <v>46</v>
      </c>
      <c r="D306" s="5" t="s">
        <v>46</v>
      </c>
      <c r="E306" s="6" t="s">
        <v>13</v>
      </c>
      <c r="F306" s="6" t="s">
        <v>56</v>
      </c>
      <c r="G306" s="5">
        <v>59</v>
      </c>
      <c r="H306" s="8">
        <v>43500</v>
      </c>
      <c r="I306" s="6" t="s">
        <v>34</v>
      </c>
      <c r="J306" s="6" t="s">
        <v>22</v>
      </c>
    </row>
    <row r="307" spans="1:10" x14ac:dyDescent="0.3">
      <c r="A307" s="6" t="s">
        <v>351</v>
      </c>
      <c r="B307" s="6" t="s">
        <v>11</v>
      </c>
      <c r="C307" s="7">
        <v>22</v>
      </c>
      <c r="D307" s="5" t="s">
        <v>32</v>
      </c>
      <c r="E307" s="6" t="s">
        <v>19</v>
      </c>
      <c r="F307" s="6" t="s">
        <v>33</v>
      </c>
      <c r="G307" s="5">
        <v>44</v>
      </c>
      <c r="H307" s="8">
        <v>43952</v>
      </c>
      <c r="I307" s="6" t="s">
        <v>62</v>
      </c>
      <c r="J307" s="6" t="s">
        <v>27</v>
      </c>
    </row>
    <row r="308" spans="1:10" x14ac:dyDescent="0.3">
      <c r="A308" s="6" t="s">
        <v>352</v>
      </c>
      <c r="B308" s="6" t="s">
        <v>42</v>
      </c>
      <c r="C308" s="7">
        <v>29</v>
      </c>
      <c r="D308" s="5" t="s">
        <v>18</v>
      </c>
      <c r="E308" s="6" t="s">
        <v>13</v>
      </c>
      <c r="F308" s="6" t="s">
        <v>14</v>
      </c>
      <c r="G308" s="5">
        <v>33</v>
      </c>
      <c r="H308" s="8">
        <v>44302</v>
      </c>
      <c r="I308" s="6" t="s">
        <v>62</v>
      </c>
      <c r="J308" s="6" t="s">
        <v>16</v>
      </c>
    </row>
    <row r="309" spans="1:10" x14ac:dyDescent="0.3">
      <c r="A309" s="6" t="s">
        <v>353</v>
      </c>
      <c r="B309" s="6" t="s">
        <v>31</v>
      </c>
      <c r="C309" s="7">
        <v>19</v>
      </c>
      <c r="D309" s="5" t="s">
        <v>32</v>
      </c>
      <c r="E309" s="6" t="s">
        <v>19</v>
      </c>
      <c r="F309" s="6" t="s">
        <v>64</v>
      </c>
      <c r="G309" s="5">
        <v>27</v>
      </c>
      <c r="H309" s="8">
        <v>44454</v>
      </c>
      <c r="I309" s="6" t="s">
        <v>15</v>
      </c>
      <c r="J309" s="6" t="s">
        <v>16</v>
      </c>
    </row>
    <row r="310" spans="1:10" x14ac:dyDescent="0.3">
      <c r="A310" s="6" t="s">
        <v>354</v>
      </c>
      <c r="B310" s="6" t="s">
        <v>11</v>
      </c>
      <c r="C310" s="7">
        <v>24</v>
      </c>
      <c r="D310" s="5" t="s">
        <v>32</v>
      </c>
      <c r="E310" s="6" t="s">
        <v>13</v>
      </c>
      <c r="F310" s="6" t="s">
        <v>33</v>
      </c>
      <c r="G310" s="5">
        <v>56</v>
      </c>
      <c r="H310" s="8">
        <v>43606</v>
      </c>
      <c r="I310" s="6" t="s">
        <v>21</v>
      </c>
      <c r="J310" s="6" t="s">
        <v>27</v>
      </c>
    </row>
    <row r="311" spans="1:10" x14ac:dyDescent="0.3">
      <c r="A311" s="6" t="s">
        <v>355</v>
      </c>
      <c r="B311" s="6" t="s">
        <v>31</v>
      </c>
      <c r="C311" s="7">
        <v>18</v>
      </c>
      <c r="D311" s="5" t="s">
        <v>32</v>
      </c>
      <c r="E311" s="6" t="s">
        <v>19</v>
      </c>
      <c r="F311" s="6" t="s">
        <v>25</v>
      </c>
      <c r="G311" s="5">
        <v>13</v>
      </c>
      <c r="H311" s="8">
        <v>44882</v>
      </c>
      <c r="I311" s="6" t="s">
        <v>29</v>
      </c>
      <c r="J311" s="6" t="s">
        <v>16</v>
      </c>
    </row>
    <row r="312" spans="1:10" x14ac:dyDescent="0.3">
      <c r="A312" s="6" t="s">
        <v>356</v>
      </c>
      <c r="B312" s="6" t="s">
        <v>61</v>
      </c>
      <c r="C312" s="7">
        <v>41</v>
      </c>
      <c r="D312" s="5" t="s">
        <v>12</v>
      </c>
      <c r="E312" s="6" t="s">
        <v>13</v>
      </c>
      <c r="F312" s="6" t="s">
        <v>25</v>
      </c>
      <c r="G312" s="5">
        <v>23</v>
      </c>
      <c r="H312" s="8">
        <v>44586</v>
      </c>
      <c r="I312" s="6" t="s">
        <v>29</v>
      </c>
      <c r="J312" s="6" t="s">
        <v>22</v>
      </c>
    </row>
    <row r="313" spans="1:10" x14ac:dyDescent="0.3">
      <c r="A313" s="6" t="s">
        <v>357</v>
      </c>
      <c r="B313" s="6" t="s">
        <v>31</v>
      </c>
      <c r="C313" s="7">
        <v>30</v>
      </c>
      <c r="D313" s="5" t="s">
        <v>18</v>
      </c>
      <c r="E313" s="6" t="s">
        <v>105</v>
      </c>
      <c r="F313" s="6" t="s">
        <v>20</v>
      </c>
      <c r="G313" s="5">
        <v>27</v>
      </c>
      <c r="H313" s="8">
        <v>44474</v>
      </c>
      <c r="I313" s="6" t="s">
        <v>26</v>
      </c>
      <c r="J313" s="6" t="s">
        <v>16</v>
      </c>
    </row>
    <row r="314" spans="1:10" x14ac:dyDescent="0.3">
      <c r="A314" s="6" t="s">
        <v>358</v>
      </c>
      <c r="B314" s="6" t="s">
        <v>24</v>
      </c>
      <c r="C314" s="7">
        <v>29</v>
      </c>
      <c r="D314" s="5" t="s">
        <v>18</v>
      </c>
      <c r="E314" s="6" t="s">
        <v>19</v>
      </c>
      <c r="F314" s="6" t="s">
        <v>25</v>
      </c>
      <c r="G314" s="5">
        <v>51</v>
      </c>
      <c r="H314" s="8">
        <v>43737</v>
      </c>
      <c r="I314" s="6" t="s">
        <v>62</v>
      </c>
      <c r="J314" s="6" t="s">
        <v>27</v>
      </c>
    </row>
    <row r="315" spans="1:10" x14ac:dyDescent="0.3">
      <c r="A315" s="6" t="s">
        <v>359</v>
      </c>
      <c r="B315" s="6" t="s">
        <v>31</v>
      </c>
      <c r="C315" s="7">
        <v>37</v>
      </c>
      <c r="D315" s="5" t="s">
        <v>12</v>
      </c>
      <c r="E315" s="6" t="s">
        <v>19</v>
      </c>
      <c r="F315" s="6" t="s">
        <v>88</v>
      </c>
      <c r="G315" s="5">
        <v>9</v>
      </c>
      <c r="H315" s="8">
        <v>45017</v>
      </c>
      <c r="I315" s="6" t="s">
        <v>49</v>
      </c>
      <c r="J315" s="6" t="s">
        <v>22</v>
      </c>
    </row>
    <row r="316" spans="1:10" x14ac:dyDescent="0.3">
      <c r="A316" s="6" t="s">
        <v>360</v>
      </c>
      <c r="B316" s="6" t="s">
        <v>11</v>
      </c>
      <c r="C316" s="7">
        <v>42</v>
      </c>
      <c r="D316" s="5" t="s">
        <v>12</v>
      </c>
      <c r="E316" s="6" t="s">
        <v>13</v>
      </c>
      <c r="F316" s="6" t="s">
        <v>25</v>
      </c>
      <c r="G316" s="5">
        <v>5</v>
      </c>
      <c r="H316" s="8">
        <v>45140</v>
      </c>
      <c r="I316" s="6" t="s">
        <v>34</v>
      </c>
      <c r="J316" s="6" t="s">
        <v>27</v>
      </c>
    </row>
    <row r="317" spans="1:10" x14ac:dyDescent="0.3">
      <c r="A317" s="6" t="s">
        <v>361</v>
      </c>
      <c r="B317" s="6" t="s">
        <v>24</v>
      </c>
      <c r="C317" s="7">
        <v>35</v>
      </c>
      <c r="D317" s="5" t="s">
        <v>12</v>
      </c>
      <c r="E317" s="6" t="s">
        <v>13</v>
      </c>
      <c r="F317" s="6" t="s">
        <v>25</v>
      </c>
      <c r="G317" s="5">
        <v>34</v>
      </c>
      <c r="H317" s="8">
        <v>44269</v>
      </c>
      <c r="I317" s="6" t="s">
        <v>26</v>
      </c>
      <c r="J317" s="6" t="s">
        <v>27</v>
      </c>
    </row>
    <row r="318" spans="1:10" x14ac:dyDescent="0.3">
      <c r="A318" s="6" t="s">
        <v>362</v>
      </c>
      <c r="B318" s="6" t="s">
        <v>11</v>
      </c>
      <c r="C318" s="7">
        <v>40</v>
      </c>
      <c r="D318" s="5" t="s">
        <v>12</v>
      </c>
      <c r="E318" s="6" t="s">
        <v>13</v>
      </c>
      <c r="F318" s="6" t="s">
        <v>54</v>
      </c>
      <c r="G318" s="5">
        <v>31</v>
      </c>
      <c r="H318" s="8">
        <v>44342</v>
      </c>
      <c r="I318" s="6" t="s">
        <v>21</v>
      </c>
      <c r="J318" s="6" t="s">
        <v>22</v>
      </c>
    </row>
    <row r="319" spans="1:10" x14ac:dyDescent="0.3">
      <c r="A319" s="6" t="s">
        <v>363</v>
      </c>
      <c r="B319" s="6" t="s">
        <v>24</v>
      </c>
      <c r="C319" s="7">
        <v>33</v>
      </c>
      <c r="D319" s="5" t="s">
        <v>18</v>
      </c>
      <c r="E319" s="6" t="s">
        <v>13</v>
      </c>
      <c r="F319" s="6" t="s">
        <v>33</v>
      </c>
      <c r="G319" s="5">
        <v>56</v>
      </c>
      <c r="H319" s="8">
        <v>43585</v>
      </c>
      <c r="I319" s="6" t="s">
        <v>49</v>
      </c>
      <c r="J319" s="6" t="s">
        <v>16</v>
      </c>
    </row>
    <row r="320" spans="1:10" x14ac:dyDescent="0.3">
      <c r="A320" s="6" t="s">
        <v>364</v>
      </c>
      <c r="B320" s="6" t="s">
        <v>31</v>
      </c>
      <c r="C320" s="7">
        <v>33</v>
      </c>
      <c r="D320" s="5" t="s">
        <v>18</v>
      </c>
      <c r="E320" s="6" t="s">
        <v>19</v>
      </c>
      <c r="F320" s="6" t="s">
        <v>20</v>
      </c>
      <c r="G320" s="5">
        <v>8</v>
      </c>
      <c r="H320" s="8">
        <v>45043</v>
      </c>
      <c r="I320" s="6" t="s">
        <v>26</v>
      </c>
      <c r="J320" s="6" t="s">
        <v>16</v>
      </c>
    </row>
    <row r="321" spans="1:10" x14ac:dyDescent="0.3">
      <c r="A321" s="6" t="s">
        <v>365</v>
      </c>
      <c r="B321" s="6" t="s">
        <v>31</v>
      </c>
      <c r="C321" s="7">
        <v>30</v>
      </c>
      <c r="D321" s="5" t="s">
        <v>18</v>
      </c>
      <c r="E321" s="6" t="s">
        <v>19</v>
      </c>
      <c r="F321" s="6" t="s">
        <v>20</v>
      </c>
      <c r="G321" s="5">
        <v>45</v>
      </c>
      <c r="H321" s="8">
        <v>43920</v>
      </c>
      <c r="I321" s="6" t="s">
        <v>26</v>
      </c>
      <c r="J321" s="6" t="s">
        <v>65</v>
      </c>
    </row>
    <row r="322" spans="1:10" x14ac:dyDescent="0.3">
      <c r="A322" s="6" t="s">
        <v>366</v>
      </c>
      <c r="B322" s="6" t="s">
        <v>24</v>
      </c>
      <c r="C322" s="7">
        <v>30</v>
      </c>
      <c r="D322" s="5" t="s">
        <v>18</v>
      </c>
      <c r="E322" s="6" t="s">
        <v>19</v>
      </c>
      <c r="F322" s="6" t="s">
        <v>14</v>
      </c>
      <c r="G322" s="5">
        <v>6</v>
      </c>
      <c r="H322" s="8">
        <v>45103</v>
      </c>
      <c r="I322" s="6" t="s">
        <v>15</v>
      </c>
      <c r="J322" s="6" t="s">
        <v>65</v>
      </c>
    </row>
    <row r="323" spans="1:10" x14ac:dyDescent="0.3">
      <c r="A323" s="6" t="s">
        <v>367</v>
      </c>
      <c r="B323" s="6" t="s">
        <v>11</v>
      </c>
      <c r="C323" s="7">
        <v>43</v>
      </c>
      <c r="D323" s="5" t="s">
        <v>12</v>
      </c>
      <c r="E323" s="6" t="s">
        <v>19</v>
      </c>
      <c r="F323" s="6" t="s">
        <v>88</v>
      </c>
      <c r="G323" s="5">
        <v>25</v>
      </c>
      <c r="H323" s="8">
        <v>44529</v>
      </c>
      <c r="I323" s="6" t="s">
        <v>26</v>
      </c>
      <c r="J323" s="6" t="s">
        <v>22</v>
      </c>
    </row>
    <row r="324" spans="1:10" x14ac:dyDescent="0.3">
      <c r="A324" s="6" t="s">
        <v>368</v>
      </c>
      <c r="B324" s="6" t="s">
        <v>61</v>
      </c>
      <c r="C324" s="7">
        <v>33</v>
      </c>
      <c r="D324" s="5" t="s">
        <v>18</v>
      </c>
      <c r="E324" s="6" t="s">
        <v>19</v>
      </c>
      <c r="F324" s="6" t="s">
        <v>56</v>
      </c>
      <c r="G324" s="5">
        <v>58</v>
      </c>
      <c r="H324" s="8">
        <v>43532</v>
      </c>
      <c r="I324" s="6" t="s">
        <v>34</v>
      </c>
      <c r="J324" s="6" t="s">
        <v>27</v>
      </c>
    </row>
    <row r="325" spans="1:10" x14ac:dyDescent="0.3">
      <c r="A325" s="6" t="s">
        <v>369</v>
      </c>
      <c r="B325" s="6" t="s">
        <v>61</v>
      </c>
      <c r="C325" s="7">
        <v>47</v>
      </c>
      <c r="D325" s="5" t="s">
        <v>46</v>
      </c>
      <c r="E325" s="6" t="s">
        <v>13</v>
      </c>
      <c r="F325" s="6" t="s">
        <v>64</v>
      </c>
      <c r="G325" s="5">
        <v>1</v>
      </c>
      <c r="H325" s="8">
        <v>45262</v>
      </c>
      <c r="I325" s="6" t="s">
        <v>47</v>
      </c>
      <c r="J325" s="6" t="s">
        <v>65</v>
      </c>
    </row>
    <row r="326" spans="1:10" x14ac:dyDescent="0.3">
      <c r="A326" s="6" t="s">
        <v>370</v>
      </c>
      <c r="B326" s="6" t="s">
        <v>61</v>
      </c>
      <c r="C326" s="7">
        <v>45</v>
      </c>
      <c r="D326" s="5" t="s">
        <v>46</v>
      </c>
      <c r="E326" s="6" t="s">
        <v>19</v>
      </c>
      <c r="F326" s="6" t="s">
        <v>33</v>
      </c>
      <c r="G326" s="5">
        <v>35</v>
      </c>
      <c r="H326" s="8">
        <v>44215</v>
      </c>
      <c r="I326" s="6" t="s">
        <v>62</v>
      </c>
      <c r="J326" s="6" t="s">
        <v>27</v>
      </c>
    </row>
    <row r="327" spans="1:10" x14ac:dyDescent="0.3">
      <c r="A327" s="6" t="s">
        <v>371</v>
      </c>
      <c r="B327" s="6" t="s">
        <v>11</v>
      </c>
      <c r="C327" s="7">
        <v>38</v>
      </c>
      <c r="D327" s="5" t="s">
        <v>12</v>
      </c>
      <c r="E327" s="6" t="s">
        <v>19</v>
      </c>
      <c r="F327" s="6" t="s">
        <v>20</v>
      </c>
      <c r="G327" s="5">
        <v>51</v>
      </c>
      <c r="H327" s="8">
        <v>43759</v>
      </c>
      <c r="I327" s="6" t="s">
        <v>29</v>
      </c>
      <c r="J327" s="6" t="s">
        <v>22</v>
      </c>
    </row>
    <row r="328" spans="1:10" x14ac:dyDescent="0.3">
      <c r="A328" s="6" t="s">
        <v>372</v>
      </c>
      <c r="B328" s="6" t="s">
        <v>11</v>
      </c>
      <c r="C328" s="7">
        <v>20</v>
      </c>
      <c r="D328" s="5" t="s">
        <v>32</v>
      </c>
      <c r="E328" s="6" t="s">
        <v>13</v>
      </c>
      <c r="F328" s="6" t="s">
        <v>25</v>
      </c>
      <c r="G328" s="5">
        <v>53</v>
      </c>
      <c r="H328" s="8">
        <v>43684</v>
      </c>
      <c r="I328" s="6" t="s">
        <v>34</v>
      </c>
      <c r="J328" s="6" t="s">
        <v>27</v>
      </c>
    </row>
    <row r="329" spans="1:10" x14ac:dyDescent="0.3">
      <c r="A329" s="6" t="s">
        <v>373</v>
      </c>
      <c r="B329" s="6" t="s">
        <v>31</v>
      </c>
      <c r="C329" s="7">
        <v>30</v>
      </c>
      <c r="D329" s="5" t="s">
        <v>18</v>
      </c>
      <c r="E329" s="6" t="s">
        <v>19</v>
      </c>
      <c r="F329" s="6" t="s">
        <v>56</v>
      </c>
      <c r="G329" s="5">
        <v>37</v>
      </c>
      <c r="H329" s="8">
        <v>44157</v>
      </c>
      <c r="I329" s="6" t="s">
        <v>39</v>
      </c>
      <c r="J329" s="6" t="s">
        <v>27</v>
      </c>
    </row>
    <row r="330" spans="1:10" x14ac:dyDescent="0.3">
      <c r="A330" s="6" t="s">
        <v>374</v>
      </c>
      <c r="B330" s="6" t="s">
        <v>42</v>
      </c>
      <c r="C330" s="7">
        <v>18</v>
      </c>
      <c r="D330" s="5" t="s">
        <v>32</v>
      </c>
      <c r="E330" s="6" t="s">
        <v>13</v>
      </c>
      <c r="F330" s="6" t="s">
        <v>56</v>
      </c>
      <c r="G330" s="5">
        <v>6</v>
      </c>
      <c r="H330" s="8">
        <v>45093</v>
      </c>
      <c r="I330" s="6" t="s">
        <v>26</v>
      </c>
      <c r="J330" s="6" t="s">
        <v>27</v>
      </c>
    </row>
    <row r="331" spans="1:10" x14ac:dyDescent="0.3">
      <c r="A331" s="6" t="s">
        <v>375</v>
      </c>
      <c r="B331" s="6" t="s">
        <v>24</v>
      </c>
      <c r="C331" s="7">
        <v>38</v>
      </c>
      <c r="D331" s="5" t="s">
        <v>12</v>
      </c>
      <c r="E331" s="6" t="s">
        <v>19</v>
      </c>
      <c r="F331" s="6" t="s">
        <v>33</v>
      </c>
      <c r="G331" s="5">
        <v>43</v>
      </c>
      <c r="H331" s="8">
        <v>44001</v>
      </c>
      <c r="I331" s="6" t="s">
        <v>62</v>
      </c>
      <c r="J331" s="6" t="s">
        <v>16</v>
      </c>
    </row>
    <row r="332" spans="1:10" x14ac:dyDescent="0.3">
      <c r="A332" s="6" t="s">
        <v>376</v>
      </c>
      <c r="B332" s="6" t="s">
        <v>11</v>
      </c>
      <c r="C332" s="7">
        <v>45</v>
      </c>
      <c r="D332" s="5" t="s">
        <v>46</v>
      </c>
      <c r="E332" s="6" t="s">
        <v>13</v>
      </c>
      <c r="F332" s="6" t="s">
        <v>14</v>
      </c>
      <c r="G332" s="5">
        <v>12</v>
      </c>
      <c r="H332" s="8">
        <v>44916</v>
      </c>
      <c r="I332" s="6" t="s">
        <v>34</v>
      </c>
      <c r="J332" s="6" t="s">
        <v>27</v>
      </c>
    </row>
    <row r="333" spans="1:10" x14ac:dyDescent="0.3">
      <c r="A333" s="6" t="s">
        <v>377</v>
      </c>
      <c r="B333" s="6" t="s">
        <v>31</v>
      </c>
      <c r="C333" s="7">
        <v>20</v>
      </c>
      <c r="D333" s="5" t="s">
        <v>32</v>
      </c>
      <c r="E333" s="6" t="s">
        <v>19</v>
      </c>
      <c r="F333" s="6" t="s">
        <v>20</v>
      </c>
      <c r="G333" s="5">
        <v>43</v>
      </c>
      <c r="H333" s="8">
        <v>43991</v>
      </c>
      <c r="I333" s="6" t="s">
        <v>39</v>
      </c>
      <c r="J333" s="6" t="s">
        <v>22</v>
      </c>
    </row>
    <row r="334" spans="1:10" x14ac:dyDescent="0.3">
      <c r="A334" s="6" t="s">
        <v>378</v>
      </c>
      <c r="B334" s="6" t="s">
        <v>42</v>
      </c>
      <c r="C334" s="7">
        <v>36</v>
      </c>
      <c r="D334" s="5" t="s">
        <v>12</v>
      </c>
      <c r="E334" s="6" t="s">
        <v>19</v>
      </c>
      <c r="F334" s="6" t="s">
        <v>88</v>
      </c>
      <c r="G334" s="5">
        <v>50</v>
      </c>
      <c r="H334" s="8">
        <v>43768</v>
      </c>
      <c r="I334" s="6" t="s">
        <v>39</v>
      </c>
      <c r="J334" s="6" t="s">
        <v>22</v>
      </c>
    </row>
    <row r="335" spans="1:10" x14ac:dyDescent="0.3">
      <c r="A335" s="6" t="s">
        <v>379</v>
      </c>
      <c r="B335" s="6" t="s">
        <v>31</v>
      </c>
      <c r="C335" s="7">
        <v>27</v>
      </c>
      <c r="D335" s="5" t="s">
        <v>18</v>
      </c>
      <c r="E335" s="6" t="s">
        <v>19</v>
      </c>
      <c r="F335" s="6" t="s">
        <v>25</v>
      </c>
      <c r="G335" s="5">
        <v>5</v>
      </c>
      <c r="H335" s="8">
        <v>45126</v>
      </c>
      <c r="I335" s="6" t="s">
        <v>49</v>
      </c>
      <c r="J335" s="6" t="s">
        <v>22</v>
      </c>
    </row>
    <row r="336" spans="1:10" x14ac:dyDescent="0.3">
      <c r="A336" s="6" t="s">
        <v>380</v>
      </c>
      <c r="B336" s="6" t="s">
        <v>31</v>
      </c>
      <c r="C336" s="7">
        <v>28</v>
      </c>
      <c r="D336" s="5" t="s">
        <v>18</v>
      </c>
      <c r="E336" s="6" t="s">
        <v>13</v>
      </c>
      <c r="F336" s="6" t="s">
        <v>88</v>
      </c>
      <c r="G336" s="5">
        <v>37</v>
      </c>
      <c r="H336" s="8">
        <v>44174</v>
      </c>
      <c r="I336" s="6" t="s">
        <v>29</v>
      </c>
      <c r="J336" s="6" t="s">
        <v>16</v>
      </c>
    </row>
    <row r="337" spans="1:10" x14ac:dyDescent="0.3">
      <c r="A337" s="6" t="s">
        <v>381</v>
      </c>
      <c r="B337" s="6" t="s">
        <v>31</v>
      </c>
      <c r="C337" s="7">
        <v>35</v>
      </c>
      <c r="D337" s="5" t="s">
        <v>12</v>
      </c>
      <c r="E337" s="6" t="s">
        <v>19</v>
      </c>
      <c r="F337" s="6" t="s">
        <v>56</v>
      </c>
      <c r="G337" s="5">
        <v>43</v>
      </c>
      <c r="H337" s="8">
        <v>43982</v>
      </c>
      <c r="I337" s="6" t="s">
        <v>21</v>
      </c>
      <c r="J337" s="6" t="s">
        <v>16</v>
      </c>
    </row>
    <row r="338" spans="1:10" x14ac:dyDescent="0.3">
      <c r="A338" s="6" t="s">
        <v>382</v>
      </c>
      <c r="B338" s="6" t="s">
        <v>24</v>
      </c>
      <c r="C338" s="7">
        <v>29</v>
      </c>
      <c r="D338" s="5" t="s">
        <v>18</v>
      </c>
      <c r="E338" s="6" t="s">
        <v>13</v>
      </c>
      <c r="F338" s="6" t="s">
        <v>64</v>
      </c>
      <c r="G338" s="5">
        <v>36</v>
      </c>
      <c r="H338" s="8">
        <v>44196</v>
      </c>
      <c r="I338" s="6" t="s">
        <v>15</v>
      </c>
      <c r="J338" s="6" t="s">
        <v>27</v>
      </c>
    </row>
    <row r="339" spans="1:10" x14ac:dyDescent="0.3">
      <c r="A339" s="6" t="s">
        <v>383</v>
      </c>
      <c r="B339" s="6" t="s">
        <v>42</v>
      </c>
      <c r="C339" s="7">
        <v>32</v>
      </c>
      <c r="D339" s="5" t="s">
        <v>18</v>
      </c>
      <c r="E339" s="6" t="s">
        <v>19</v>
      </c>
      <c r="F339" s="6" t="s">
        <v>14</v>
      </c>
      <c r="G339" s="5">
        <v>48</v>
      </c>
      <c r="H339" s="8">
        <v>43852</v>
      </c>
      <c r="I339" s="6" t="s">
        <v>62</v>
      </c>
      <c r="J339" s="6" t="s">
        <v>65</v>
      </c>
    </row>
    <row r="340" spans="1:10" x14ac:dyDescent="0.3">
      <c r="A340" s="6" t="s">
        <v>384</v>
      </c>
      <c r="B340" s="6" t="s">
        <v>31</v>
      </c>
      <c r="C340" s="7">
        <v>31</v>
      </c>
      <c r="D340" s="5" t="s">
        <v>18</v>
      </c>
      <c r="E340" s="6" t="s">
        <v>13</v>
      </c>
      <c r="F340" s="6" t="s">
        <v>54</v>
      </c>
      <c r="G340" s="5">
        <v>50</v>
      </c>
      <c r="H340" s="8">
        <v>43773</v>
      </c>
      <c r="I340" s="6" t="s">
        <v>47</v>
      </c>
      <c r="J340" s="6" t="s">
        <v>22</v>
      </c>
    </row>
    <row r="341" spans="1:10" x14ac:dyDescent="0.3">
      <c r="A341" s="6" t="s">
        <v>385</v>
      </c>
      <c r="B341" s="6" t="s">
        <v>31</v>
      </c>
      <c r="C341" s="7">
        <v>33</v>
      </c>
      <c r="D341" s="5" t="s">
        <v>18</v>
      </c>
      <c r="E341" s="6" t="s">
        <v>105</v>
      </c>
      <c r="F341" s="6" t="s">
        <v>88</v>
      </c>
      <c r="G341" s="5">
        <v>19</v>
      </c>
      <c r="H341" s="8">
        <v>44716</v>
      </c>
      <c r="I341" s="6" t="s">
        <v>15</v>
      </c>
      <c r="J341" s="6" t="s">
        <v>27</v>
      </c>
    </row>
    <row r="342" spans="1:10" x14ac:dyDescent="0.3">
      <c r="A342" s="6" t="s">
        <v>386</v>
      </c>
      <c r="B342" s="6" t="s">
        <v>24</v>
      </c>
      <c r="C342" s="7">
        <v>37</v>
      </c>
      <c r="D342" s="5" t="s">
        <v>12</v>
      </c>
      <c r="E342" s="6" t="s">
        <v>13</v>
      </c>
      <c r="F342" s="6" t="s">
        <v>54</v>
      </c>
      <c r="G342" s="5">
        <v>14</v>
      </c>
      <c r="H342" s="8">
        <v>44867</v>
      </c>
      <c r="I342" s="6" t="s">
        <v>15</v>
      </c>
      <c r="J342" s="6" t="s">
        <v>16</v>
      </c>
    </row>
    <row r="343" spans="1:10" x14ac:dyDescent="0.3">
      <c r="A343" s="6" t="s">
        <v>387</v>
      </c>
      <c r="B343" s="6" t="s">
        <v>61</v>
      </c>
      <c r="C343" s="7">
        <v>30</v>
      </c>
      <c r="D343" s="5" t="s">
        <v>18</v>
      </c>
      <c r="E343" s="6" t="s">
        <v>19</v>
      </c>
      <c r="F343" s="6" t="s">
        <v>36</v>
      </c>
      <c r="G343" s="5">
        <v>47</v>
      </c>
      <c r="H343" s="8">
        <v>43854</v>
      </c>
      <c r="I343" s="6" t="s">
        <v>34</v>
      </c>
      <c r="J343" s="6" t="s">
        <v>22</v>
      </c>
    </row>
    <row r="344" spans="1:10" x14ac:dyDescent="0.3">
      <c r="A344" s="6" t="s">
        <v>388</v>
      </c>
      <c r="B344" s="6" t="s">
        <v>11</v>
      </c>
      <c r="C344" s="7">
        <v>21</v>
      </c>
      <c r="D344" s="5" t="s">
        <v>32</v>
      </c>
      <c r="E344" s="6" t="s">
        <v>19</v>
      </c>
      <c r="F344" s="6" t="s">
        <v>25</v>
      </c>
      <c r="G344" s="5">
        <v>36</v>
      </c>
      <c r="H344" s="8">
        <v>44196</v>
      </c>
      <c r="I344" s="6" t="s">
        <v>29</v>
      </c>
      <c r="J344" s="6" t="s">
        <v>27</v>
      </c>
    </row>
    <row r="345" spans="1:10" x14ac:dyDescent="0.3">
      <c r="A345" s="6" t="s">
        <v>389</v>
      </c>
      <c r="B345" s="6" t="s">
        <v>31</v>
      </c>
      <c r="C345" s="7">
        <v>37</v>
      </c>
      <c r="D345" s="5" t="s">
        <v>12</v>
      </c>
      <c r="E345" s="6" t="s">
        <v>13</v>
      </c>
      <c r="F345" s="6" t="s">
        <v>64</v>
      </c>
      <c r="G345" s="5">
        <v>21</v>
      </c>
      <c r="H345" s="8">
        <v>44639</v>
      </c>
      <c r="I345" s="6" t="s">
        <v>21</v>
      </c>
      <c r="J345" s="6" t="s">
        <v>27</v>
      </c>
    </row>
    <row r="346" spans="1:10" x14ac:dyDescent="0.3">
      <c r="A346" s="6" t="s">
        <v>390</v>
      </c>
      <c r="B346" s="6" t="s">
        <v>61</v>
      </c>
      <c r="C346" s="7">
        <v>35</v>
      </c>
      <c r="D346" s="5" t="s">
        <v>12</v>
      </c>
      <c r="E346" s="6" t="s">
        <v>19</v>
      </c>
      <c r="F346" s="6" t="s">
        <v>64</v>
      </c>
      <c r="G346" s="5">
        <v>29</v>
      </c>
      <c r="H346" s="8">
        <v>44416</v>
      </c>
      <c r="I346" s="6" t="s">
        <v>34</v>
      </c>
      <c r="J346" s="6" t="s">
        <v>27</v>
      </c>
    </row>
    <row r="347" spans="1:10" x14ac:dyDescent="0.3">
      <c r="A347" s="6" t="s">
        <v>391</v>
      </c>
      <c r="B347" s="6" t="s">
        <v>31</v>
      </c>
      <c r="C347" s="7">
        <v>18</v>
      </c>
      <c r="D347" s="5" t="s">
        <v>32</v>
      </c>
      <c r="E347" s="6" t="s">
        <v>19</v>
      </c>
      <c r="F347" s="6" t="s">
        <v>38</v>
      </c>
      <c r="G347" s="5">
        <v>8</v>
      </c>
      <c r="H347" s="8">
        <v>45029</v>
      </c>
      <c r="I347" s="6" t="s">
        <v>26</v>
      </c>
      <c r="J347" s="6" t="s">
        <v>27</v>
      </c>
    </row>
    <row r="348" spans="1:10" x14ac:dyDescent="0.3">
      <c r="A348" s="6" t="s">
        <v>392</v>
      </c>
      <c r="B348" s="6" t="s">
        <v>61</v>
      </c>
      <c r="C348" s="7">
        <v>36</v>
      </c>
      <c r="D348" s="5" t="s">
        <v>12</v>
      </c>
      <c r="E348" s="6" t="s">
        <v>19</v>
      </c>
      <c r="F348" s="6" t="s">
        <v>54</v>
      </c>
      <c r="G348" s="5">
        <v>12</v>
      </c>
      <c r="H348" s="8">
        <v>44930</v>
      </c>
      <c r="I348" s="6" t="s">
        <v>39</v>
      </c>
      <c r="J348" s="6" t="s">
        <v>16</v>
      </c>
    </row>
    <row r="349" spans="1:10" x14ac:dyDescent="0.3">
      <c r="A349" s="6" t="s">
        <v>393</v>
      </c>
      <c r="B349" s="6" t="s">
        <v>11</v>
      </c>
      <c r="C349" s="7">
        <v>34</v>
      </c>
      <c r="D349" s="5" t="s">
        <v>18</v>
      </c>
      <c r="E349" s="6" t="s">
        <v>13</v>
      </c>
      <c r="F349" s="6" t="s">
        <v>36</v>
      </c>
      <c r="G349" s="5">
        <v>34</v>
      </c>
      <c r="H349" s="8">
        <v>44243</v>
      </c>
      <c r="I349" s="6" t="s">
        <v>26</v>
      </c>
      <c r="J349" s="6" t="s">
        <v>27</v>
      </c>
    </row>
    <row r="350" spans="1:10" x14ac:dyDescent="0.3">
      <c r="A350" s="6" t="s">
        <v>394</v>
      </c>
      <c r="B350" s="6" t="s">
        <v>31</v>
      </c>
      <c r="C350" s="7">
        <v>36</v>
      </c>
      <c r="D350" s="5" t="s">
        <v>12</v>
      </c>
      <c r="E350" s="6" t="s">
        <v>19</v>
      </c>
      <c r="F350" s="6" t="s">
        <v>20</v>
      </c>
      <c r="G350" s="5">
        <v>4</v>
      </c>
      <c r="H350" s="8">
        <v>45162</v>
      </c>
      <c r="I350" s="6" t="s">
        <v>39</v>
      </c>
      <c r="J350" s="6" t="s">
        <v>16</v>
      </c>
    </row>
    <row r="351" spans="1:10" x14ac:dyDescent="0.3">
      <c r="A351" s="6" t="s">
        <v>395</v>
      </c>
      <c r="B351" s="6" t="s">
        <v>61</v>
      </c>
      <c r="C351" s="7">
        <v>34</v>
      </c>
      <c r="D351" s="5" t="s">
        <v>18</v>
      </c>
      <c r="E351" s="6" t="s">
        <v>13</v>
      </c>
      <c r="F351" s="6" t="s">
        <v>14</v>
      </c>
      <c r="G351" s="5">
        <v>42</v>
      </c>
      <c r="H351" s="8">
        <v>44011</v>
      </c>
      <c r="I351" s="6" t="s">
        <v>62</v>
      </c>
      <c r="J351" s="6" t="s">
        <v>16</v>
      </c>
    </row>
    <row r="352" spans="1:10" x14ac:dyDescent="0.3">
      <c r="A352" s="6" t="s">
        <v>396</v>
      </c>
      <c r="B352" s="6" t="s">
        <v>42</v>
      </c>
      <c r="C352" s="7">
        <v>18</v>
      </c>
      <c r="D352" s="5" t="s">
        <v>32</v>
      </c>
      <c r="E352" s="6" t="s">
        <v>13</v>
      </c>
      <c r="F352" s="6" t="s">
        <v>36</v>
      </c>
      <c r="G352" s="5">
        <v>10</v>
      </c>
      <c r="H352" s="8">
        <v>44987</v>
      </c>
      <c r="I352" s="6" t="s">
        <v>29</v>
      </c>
      <c r="J352" s="6" t="s">
        <v>22</v>
      </c>
    </row>
    <row r="353" spans="1:10" x14ac:dyDescent="0.3">
      <c r="A353" s="6" t="s">
        <v>397</v>
      </c>
      <c r="B353" s="6" t="s">
        <v>31</v>
      </c>
      <c r="C353" s="7">
        <v>38</v>
      </c>
      <c r="D353" s="5" t="s">
        <v>12</v>
      </c>
      <c r="E353" s="6" t="s">
        <v>19</v>
      </c>
      <c r="F353" s="6" t="s">
        <v>88</v>
      </c>
      <c r="G353" s="5">
        <v>54</v>
      </c>
      <c r="H353" s="8">
        <v>43648</v>
      </c>
      <c r="I353" s="6" t="s">
        <v>21</v>
      </c>
      <c r="J353" s="6" t="s">
        <v>27</v>
      </c>
    </row>
    <row r="354" spans="1:10" x14ac:dyDescent="0.3">
      <c r="A354" s="6" t="s">
        <v>398</v>
      </c>
      <c r="B354" s="6" t="s">
        <v>24</v>
      </c>
      <c r="C354" s="7">
        <v>33</v>
      </c>
      <c r="D354" s="5" t="s">
        <v>18</v>
      </c>
      <c r="E354" s="6" t="s">
        <v>13</v>
      </c>
      <c r="F354" s="6" t="s">
        <v>88</v>
      </c>
      <c r="G354" s="5">
        <v>16</v>
      </c>
      <c r="H354" s="8">
        <v>44786</v>
      </c>
      <c r="I354" s="6" t="s">
        <v>21</v>
      </c>
      <c r="J354" s="6" t="s">
        <v>65</v>
      </c>
    </row>
    <row r="355" spans="1:10" x14ac:dyDescent="0.3">
      <c r="A355" s="6" t="s">
        <v>399</v>
      </c>
      <c r="B355" s="6" t="s">
        <v>11</v>
      </c>
      <c r="C355" s="7">
        <v>37</v>
      </c>
      <c r="D355" s="5" t="s">
        <v>12</v>
      </c>
      <c r="E355" s="6" t="s">
        <v>19</v>
      </c>
      <c r="F355" s="6" t="s">
        <v>25</v>
      </c>
      <c r="G355" s="5">
        <v>44</v>
      </c>
      <c r="H355" s="8">
        <v>43951</v>
      </c>
      <c r="I355" s="6" t="s">
        <v>15</v>
      </c>
      <c r="J355" s="6" t="s">
        <v>22</v>
      </c>
    </row>
    <row r="356" spans="1:10" x14ac:dyDescent="0.3">
      <c r="A356" s="6" t="s">
        <v>400</v>
      </c>
      <c r="B356" s="6" t="s">
        <v>11</v>
      </c>
      <c r="C356" s="7">
        <v>31</v>
      </c>
      <c r="D356" s="5" t="s">
        <v>18</v>
      </c>
      <c r="E356" s="6" t="s">
        <v>13</v>
      </c>
      <c r="F356" s="6" t="s">
        <v>54</v>
      </c>
      <c r="G356" s="5">
        <v>14</v>
      </c>
      <c r="H356" s="8">
        <v>44865</v>
      </c>
      <c r="I356" s="6" t="s">
        <v>34</v>
      </c>
      <c r="J356" s="6" t="s">
        <v>22</v>
      </c>
    </row>
    <row r="357" spans="1:10" x14ac:dyDescent="0.3">
      <c r="A357" s="6" t="s">
        <v>401</v>
      </c>
      <c r="B357" s="6" t="s">
        <v>24</v>
      </c>
      <c r="C357" s="7">
        <v>24</v>
      </c>
      <c r="D357" s="5" t="s">
        <v>32</v>
      </c>
      <c r="E357" s="6" t="s">
        <v>19</v>
      </c>
      <c r="F357" s="6" t="s">
        <v>64</v>
      </c>
      <c r="G357" s="5">
        <v>51</v>
      </c>
      <c r="H357" s="8">
        <v>43742</v>
      </c>
      <c r="I357" s="6" t="s">
        <v>47</v>
      </c>
      <c r="J357" s="6" t="s">
        <v>22</v>
      </c>
    </row>
    <row r="358" spans="1:10" x14ac:dyDescent="0.3">
      <c r="A358" s="6" t="s">
        <v>402</v>
      </c>
      <c r="B358" s="6" t="s">
        <v>61</v>
      </c>
      <c r="C358" s="7">
        <v>25</v>
      </c>
      <c r="D358" s="5" t="s">
        <v>18</v>
      </c>
      <c r="E358" s="6" t="s">
        <v>13</v>
      </c>
      <c r="F358" s="6" t="s">
        <v>25</v>
      </c>
      <c r="G358" s="5">
        <v>24</v>
      </c>
      <c r="H358" s="8">
        <v>44568</v>
      </c>
      <c r="I358" s="6" t="s">
        <v>49</v>
      </c>
      <c r="J358" s="6" t="s">
        <v>27</v>
      </c>
    </row>
    <row r="359" spans="1:10" x14ac:dyDescent="0.3">
      <c r="A359" s="6" t="s">
        <v>403</v>
      </c>
      <c r="B359" s="6" t="s">
        <v>24</v>
      </c>
      <c r="C359" s="7">
        <v>36</v>
      </c>
      <c r="D359" s="5" t="s">
        <v>12</v>
      </c>
      <c r="E359" s="6" t="s">
        <v>13</v>
      </c>
      <c r="F359" s="6" t="s">
        <v>36</v>
      </c>
      <c r="G359" s="5">
        <v>57</v>
      </c>
      <c r="H359" s="8">
        <v>43564</v>
      </c>
      <c r="I359" s="6" t="s">
        <v>21</v>
      </c>
      <c r="J359" s="6" t="s">
        <v>16</v>
      </c>
    </row>
    <row r="360" spans="1:10" x14ac:dyDescent="0.3">
      <c r="A360" s="6" t="s">
        <v>404</v>
      </c>
      <c r="B360" s="6" t="s">
        <v>31</v>
      </c>
      <c r="C360" s="7">
        <v>22</v>
      </c>
      <c r="D360" s="5" t="s">
        <v>32</v>
      </c>
      <c r="E360" s="6" t="s">
        <v>13</v>
      </c>
      <c r="F360" s="6" t="s">
        <v>36</v>
      </c>
      <c r="G360" s="5">
        <v>51</v>
      </c>
      <c r="H360" s="8">
        <v>43762</v>
      </c>
      <c r="I360" s="6" t="s">
        <v>62</v>
      </c>
      <c r="J360" s="6" t="s">
        <v>27</v>
      </c>
    </row>
    <row r="361" spans="1:10" x14ac:dyDescent="0.3">
      <c r="A361" s="6" t="s">
        <v>405</v>
      </c>
      <c r="B361" s="6" t="s">
        <v>42</v>
      </c>
      <c r="C361" s="7">
        <v>23</v>
      </c>
      <c r="D361" s="5" t="s">
        <v>32</v>
      </c>
      <c r="E361" s="6" t="s">
        <v>13</v>
      </c>
      <c r="F361" s="6" t="s">
        <v>14</v>
      </c>
      <c r="G361" s="5">
        <v>4</v>
      </c>
      <c r="H361" s="8">
        <v>45172</v>
      </c>
      <c r="I361" s="6" t="s">
        <v>29</v>
      </c>
      <c r="J361" s="6" t="s">
        <v>27</v>
      </c>
    </row>
    <row r="362" spans="1:10" x14ac:dyDescent="0.3">
      <c r="A362" s="6" t="s">
        <v>406</v>
      </c>
      <c r="B362" s="6" t="s">
        <v>24</v>
      </c>
      <c r="C362" s="7">
        <v>28</v>
      </c>
      <c r="D362" s="5" t="s">
        <v>18</v>
      </c>
      <c r="E362" s="6" t="s">
        <v>19</v>
      </c>
      <c r="F362" s="6" t="s">
        <v>36</v>
      </c>
      <c r="G362" s="5">
        <v>46</v>
      </c>
      <c r="H362" s="8">
        <v>43888</v>
      </c>
      <c r="I362" s="6" t="s">
        <v>29</v>
      </c>
      <c r="J362" s="6" t="s">
        <v>16</v>
      </c>
    </row>
    <row r="363" spans="1:10" x14ac:dyDescent="0.3">
      <c r="A363" s="6" t="s">
        <v>407</v>
      </c>
      <c r="B363" s="6" t="s">
        <v>11</v>
      </c>
      <c r="C363" s="7">
        <v>34</v>
      </c>
      <c r="D363" s="5" t="s">
        <v>18</v>
      </c>
      <c r="E363" s="6" t="s">
        <v>13</v>
      </c>
      <c r="F363" s="6" t="s">
        <v>20</v>
      </c>
      <c r="G363" s="5">
        <v>12</v>
      </c>
      <c r="H363" s="8">
        <v>44912</v>
      </c>
      <c r="I363" s="6" t="s">
        <v>29</v>
      </c>
      <c r="J363" s="6" t="s">
        <v>27</v>
      </c>
    </row>
    <row r="364" spans="1:10" x14ac:dyDescent="0.3">
      <c r="A364" s="6" t="s">
        <v>408</v>
      </c>
      <c r="B364" s="6" t="s">
        <v>31</v>
      </c>
      <c r="C364" s="7">
        <v>38</v>
      </c>
      <c r="D364" s="5" t="s">
        <v>12</v>
      </c>
      <c r="E364" s="6" t="s">
        <v>19</v>
      </c>
      <c r="F364" s="6" t="s">
        <v>88</v>
      </c>
      <c r="G364" s="5">
        <v>43</v>
      </c>
      <c r="H364" s="8">
        <v>43973</v>
      </c>
      <c r="I364" s="6" t="s">
        <v>26</v>
      </c>
      <c r="J364" s="6" t="s">
        <v>27</v>
      </c>
    </row>
    <row r="365" spans="1:10" x14ac:dyDescent="0.3">
      <c r="A365" s="6" t="s">
        <v>409</v>
      </c>
      <c r="B365" s="6" t="s">
        <v>11</v>
      </c>
      <c r="C365" s="7">
        <v>25</v>
      </c>
      <c r="D365" s="5" t="s">
        <v>18</v>
      </c>
      <c r="E365" s="6" t="s">
        <v>13</v>
      </c>
      <c r="F365" s="6" t="s">
        <v>14</v>
      </c>
      <c r="G365" s="5">
        <v>47</v>
      </c>
      <c r="H365" s="8">
        <v>43861</v>
      </c>
      <c r="I365" s="6" t="s">
        <v>26</v>
      </c>
      <c r="J365" s="6" t="s">
        <v>27</v>
      </c>
    </row>
    <row r="366" spans="1:10" x14ac:dyDescent="0.3">
      <c r="A366" s="6" t="s">
        <v>410</v>
      </c>
      <c r="B366" s="6" t="s">
        <v>61</v>
      </c>
      <c r="C366" s="7">
        <v>39</v>
      </c>
      <c r="D366" s="5" t="s">
        <v>12</v>
      </c>
      <c r="E366" s="6" t="s">
        <v>13</v>
      </c>
      <c r="F366" s="6" t="s">
        <v>25</v>
      </c>
      <c r="G366" s="5">
        <v>5</v>
      </c>
      <c r="H366" s="8">
        <v>45129</v>
      </c>
      <c r="I366" s="6" t="s">
        <v>26</v>
      </c>
      <c r="J366" s="6" t="s">
        <v>16</v>
      </c>
    </row>
    <row r="367" spans="1:10" x14ac:dyDescent="0.3">
      <c r="A367" s="6" t="s">
        <v>411</v>
      </c>
      <c r="B367" s="6" t="s">
        <v>24</v>
      </c>
      <c r="C367" s="7">
        <v>33</v>
      </c>
      <c r="D367" s="5" t="s">
        <v>18</v>
      </c>
      <c r="E367" s="6" t="s">
        <v>19</v>
      </c>
      <c r="F367" s="6" t="s">
        <v>14</v>
      </c>
      <c r="G367" s="5">
        <v>37</v>
      </c>
      <c r="H367" s="8">
        <v>44171</v>
      </c>
      <c r="I367" s="6" t="s">
        <v>26</v>
      </c>
      <c r="J367" s="6" t="s">
        <v>27</v>
      </c>
    </row>
    <row r="368" spans="1:10" x14ac:dyDescent="0.3">
      <c r="A368" s="6" t="s">
        <v>412</v>
      </c>
      <c r="B368" s="6" t="s">
        <v>61</v>
      </c>
      <c r="C368" s="7">
        <v>18</v>
      </c>
      <c r="D368" s="5" t="s">
        <v>32</v>
      </c>
      <c r="E368" s="6" t="s">
        <v>19</v>
      </c>
      <c r="F368" s="6" t="s">
        <v>56</v>
      </c>
      <c r="G368" s="5">
        <v>38</v>
      </c>
      <c r="H368" s="8">
        <v>44147</v>
      </c>
      <c r="I368" s="6" t="s">
        <v>15</v>
      </c>
      <c r="J368" s="6" t="s">
        <v>16</v>
      </c>
    </row>
    <row r="369" spans="1:10" x14ac:dyDescent="0.3">
      <c r="A369" s="6" t="s">
        <v>413</v>
      </c>
      <c r="B369" s="6" t="s">
        <v>31</v>
      </c>
      <c r="C369" s="7">
        <v>34</v>
      </c>
      <c r="D369" s="5" t="s">
        <v>18</v>
      </c>
      <c r="E369" s="6" t="s">
        <v>19</v>
      </c>
      <c r="F369" s="6" t="s">
        <v>38</v>
      </c>
      <c r="G369" s="5">
        <v>41</v>
      </c>
      <c r="H369" s="8">
        <v>44037</v>
      </c>
      <c r="I369" s="6" t="s">
        <v>29</v>
      </c>
      <c r="J369" s="6" t="s">
        <v>22</v>
      </c>
    </row>
    <row r="370" spans="1:10" x14ac:dyDescent="0.3">
      <c r="A370" s="6" t="s">
        <v>414</v>
      </c>
      <c r="B370" s="6" t="s">
        <v>11</v>
      </c>
      <c r="C370" s="7">
        <v>37</v>
      </c>
      <c r="D370" s="5" t="s">
        <v>12</v>
      </c>
      <c r="E370" s="6" t="s">
        <v>13</v>
      </c>
      <c r="F370" s="6" t="s">
        <v>54</v>
      </c>
      <c r="G370" s="5">
        <v>46</v>
      </c>
      <c r="H370" s="8">
        <v>43909</v>
      </c>
      <c r="I370" s="6" t="s">
        <v>39</v>
      </c>
      <c r="J370" s="6" t="s">
        <v>27</v>
      </c>
    </row>
    <row r="371" spans="1:10" x14ac:dyDescent="0.3">
      <c r="A371" s="6" t="s">
        <v>415</v>
      </c>
      <c r="B371" s="6" t="s">
        <v>61</v>
      </c>
      <c r="C371" s="7">
        <v>28</v>
      </c>
      <c r="D371" s="5" t="s">
        <v>18</v>
      </c>
      <c r="E371" s="6" t="s">
        <v>13</v>
      </c>
      <c r="F371" s="6" t="s">
        <v>56</v>
      </c>
      <c r="G371" s="5">
        <v>7</v>
      </c>
      <c r="H371" s="8">
        <v>45080</v>
      </c>
      <c r="I371" s="6" t="s">
        <v>47</v>
      </c>
      <c r="J371" s="6" t="s">
        <v>27</v>
      </c>
    </row>
    <row r="372" spans="1:10" x14ac:dyDescent="0.3">
      <c r="A372" s="6" t="s">
        <v>416</v>
      </c>
      <c r="B372" s="6" t="s">
        <v>31</v>
      </c>
      <c r="C372" s="7">
        <v>22</v>
      </c>
      <c r="D372" s="5" t="s">
        <v>32</v>
      </c>
      <c r="E372" s="6" t="s">
        <v>13</v>
      </c>
      <c r="F372" s="6" t="s">
        <v>25</v>
      </c>
      <c r="G372" s="5">
        <v>17</v>
      </c>
      <c r="H372" s="8">
        <v>44781</v>
      </c>
      <c r="I372" s="6" t="s">
        <v>49</v>
      </c>
      <c r="J372" s="6" t="s">
        <v>22</v>
      </c>
    </row>
    <row r="373" spans="1:10" x14ac:dyDescent="0.3">
      <c r="A373" s="6" t="s">
        <v>417</v>
      </c>
      <c r="B373" s="6" t="s">
        <v>61</v>
      </c>
      <c r="C373" s="7">
        <v>45</v>
      </c>
      <c r="D373" s="5" t="s">
        <v>46</v>
      </c>
      <c r="E373" s="6" t="s">
        <v>19</v>
      </c>
      <c r="F373" s="6" t="s">
        <v>54</v>
      </c>
      <c r="G373" s="5">
        <v>20</v>
      </c>
      <c r="H373" s="8">
        <v>44672</v>
      </c>
      <c r="I373" s="6" t="s">
        <v>39</v>
      </c>
      <c r="J373" s="6" t="s">
        <v>16</v>
      </c>
    </row>
    <row r="374" spans="1:10" x14ac:dyDescent="0.3">
      <c r="A374" s="6" t="s">
        <v>418</v>
      </c>
      <c r="B374" s="6" t="s">
        <v>24</v>
      </c>
      <c r="C374" s="7">
        <v>35</v>
      </c>
      <c r="D374" s="5" t="s">
        <v>12</v>
      </c>
      <c r="E374" s="6" t="s">
        <v>19</v>
      </c>
      <c r="F374" s="6" t="s">
        <v>88</v>
      </c>
      <c r="G374" s="5">
        <v>30</v>
      </c>
      <c r="H374" s="8">
        <v>44391</v>
      </c>
      <c r="I374" s="6" t="s">
        <v>39</v>
      </c>
      <c r="J374" s="6" t="s">
        <v>27</v>
      </c>
    </row>
    <row r="375" spans="1:10" x14ac:dyDescent="0.3">
      <c r="A375" s="6" t="s">
        <v>419</v>
      </c>
      <c r="B375" s="6" t="s">
        <v>24</v>
      </c>
      <c r="C375" s="7">
        <v>36</v>
      </c>
      <c r="D375" s="5" t="s">
        <v>12</v>
      </c>
      <c r="E375" s="6" t="s">
        <v>19</v>
      </c>
      <c r="F375" s="6" t="s">
        <v>56</v>
      </c>
      <c r="G375" s="5">
        <v>3</v>
      </c>
      <c r="H375" s="8">
        <v>45194</v>
      </c>
      <c r="I375" s="6" t="s">
        <v>47</v>
      </c>
      <c r="J375" s="6" t="s">
        <v>27</v>
      </c>
    </row>
    <row r="376" spans="1:10" x14ac:dyDescent="0.3">
      <c r="A376" s="6" t="s">
        <v>420</v>
      </c>
      <c r="B376" s="6" t="s">
        <v>24</v>
      </c>
      <c r="C376" s="7">
        <v>39</v>
      </c>
      <c r="D376" s="5" t="s">
        <v>12</v>
      </c>
      <c r="E376" s="6" t="s">
        <v>13</v>
      </c>
      <c r="F376" s="6" t="s">
        <v>88</v>
      </c>
      <c r="G376" s="5">
        <v>7</v>
      </c>
      <c r="H376" s="8">
        <v>45081</v>
      </c>
      <c r="I376" s="6" t="s">
        <v>15</v>
      </c>
      <c r="J376" s="6" t="s">
        <v>27</v>
      </c>
    </row>
    <row r="377" spans="1:10" x14ac:dyDescent="0.3">
      <c r="A377" s="6" t="s">
        <v>421</v>
      </c>
      <c r="B377" s="6" t="s">
        <v>31</v>
      </c>
      <c r="C377" s="7">
        <v>18</v>
      </c>
      <c r="D377" s="5" t="s">
        <v>32</v>
      </c>
      <c r="E377" s="6" t="s">
        <v>13</v>
      </c>
      <c r="F377" s="6" t="s">
        <v>36</v>
      </c>
      <c r="G377" s="5">
        <v>40</v>
      </c>
      <c r="H377" s="8">
        <v>44087</v>
      </c>
      <c r="I377" s="6" t="s">
        <v>34</v>
      </c>
      <c r="J377" s="6" t="s">
        <v>27</v>
      </c>
    </row>
    <row r="378" spans="1:10" x14ac:dyDescent="0.3">
      <c r="A378" s="6" t="s">
        <v>422</v>
      </c>
      <c r="B378" s="6" t="s">
        <v>24</v>
      </c>
      <c r="C378" s="7">
        <v>37</v>
      </c>
      <c r="D378" s="5" t="s">
        <v>12</v>
      </c>
      <c r="E378" s="6" t="s">
        <v>13</v>
      </c>
      <c r="F378" s="6" t="s">
        <v>25</v>
      </c>
      <c r="G378" s="5">
        <v>45</v>
      </c>
      <c r="H378" s="8">
        <v>43918</v>
      </c>
      <c r="I378" s="6" t="s">
        <v>21</v>
      </c>
      <c r="J378" s="6" t="s">
        <v>22</v>
      </c>
    </row>
    <row r="379" spans="1:10" x14ac:dyDescent="0.3">
      <c r="A379" s="6" t="s">
        <v>423</v>
      </c>
      <c r="B379" s="6" t="s">
        <v>31</v>
      </c>
      <c r="C379" s="7">
        <v>34</v>
      </c>
      <c r="D379" s="5" t="s">
        <v>18</v>
      </c>
      <c r="E379" s="6" t="s">
        <v>19</v>
      </c>
      <c r="F379" s="6" t="s">
        <v>88</v>
      </c>
      <c r="G379" s="5">
        <v>12</v>
      </c>
      <c r="H379" s="8">
        <v>44905</v>
      </c>
      <c r="I379" s="6" t="s">
        <v>39</v>
      </c>
      <c r="J379" s="6" t="s">
        <v>22</v>
      </c>
    </row>
    <row r="380" spans="1:10" x14ac:dyDescent="0.3">
      <c r="A380" s="6" t="s">
        <v>424</v>
      </c>
      <c r="B380" s="6" t="s">
        <v>31</v>
      </c>
      <c r="C380" s="7">
        <v>33</v>
      </c>
      <c r="D380" s="5" t="s">
        <v>18</v>
      </c>
      <c r="E380" s="6" t="s">
        <v>19</v>
      </c>
      <c r="F380" s="6" t="s">
        <v>54</v>
      </c>
      <c r="G380" s="5">
        <v>58</v>
      </c>
      <c r="H380" s="8">
        <v>43547</v>
      </c>
      <c r="I380" s="6" t="s">
        <v>26</v>
      </c>
      <c r="J380" s="6" t="s">
        <v>22</v>
      </c>
    </row>
    <row r="381" spans="1:10" x14ac:dyDescent="0.3">
      <c r="A381" s="6" t="s">
        <v>425</v>
      </c>
      <c r="B381" s="6" t="s">
        <v>42</v>
      </c>
      <c r="C381" s="7">
        <v>44</v>
      </c>
      <c r="D381" s="5" t="s">
        <v>12</v>
      </c>
      <c r="E381" s="6" t="s">
        <v>13</v>
      </c>
      <c r="F381" s="6" t="s">
        <v>54</v>
      </c>
      <c r="G381" s="5">
        <v>32</v>
      </c>
      <c r="H381" s="8">
        <v>44312</v>
      </c>
      <c r="I381" s="6" t="s">
        <v>49</v>
      </c>
      <c r="J381" s="6" t="s">
        <v>27</v>
      </c>
    </row>
    <row r="382" spans="1:10" x14ac:dyDescent="0.3">
      <c r="A382" s="6" t="s">
        <v>426</v>
      </c>
      <c r="B382" s="6" t="s">
        <v>31</v>
      </c>
      <c r="C382" s="7">
        <v>36</v>
      </c>
      <c r="D382" s="5" t="s">
        <v>12</v>
      </c>
      <c r="E382" s="6" t="s">
        <v>19</v>
      </c>
      <c r="F382" s="6" t="s">
        <v>36</v>
      </c>
      <c r="G382" s="5">
        <v>27</v>
      </c>
      <c r="H382" s="8">
        <v>44480</v>
      </c>
      <c r="I382" s="6" t="s">
        <v>34</v>
      </c>
      <c r="J382" s="6" t="s">
        <v>65</v>
      </c>
    </row>
    <row r="383" spans="1:10" x14ac:dyDescent="0.3">
      <c r="A383" s="6" t="s">
        <v>427</v>
      </c>
      <c r="B383" s="6" t="s">
        <v>31</v>
      </c>
      <c r="C383" s="7">
        <v>37</v>
      </c>
      <c r="D383" s="5" t="s">
        <v>12</v>
      </c>
      <c r="E383" s="6" t="s">
        <v>19</v>
      </c>
      <c r="F383" s="6" t="s">
        <v>14</v>
      </c>
      <c r="G383" s="5">
        <v>45</v>
      </c>
      <c r="H383" s="8">
        <v>43922</v>
      </c>
      <c r="I383" s="6" t="s">
        <v>49</v>
      </c>
      <c r="J383" s="6" t="s">
        <v>27</v>
      </c>
    </row>
    <row r="384" spans="1:10" x14ac:dyDescent="0.3">
      <c r="A384" s="6" t="s">
        <v>428</v>
      </c>
      <c r="B384" s="6" t="s">
        <v>31</v>
      </c>
      <c r="C384" s="7">
        <v>47</v>
      </c>
      <c r="D384" s="5" t="s">
        <v>46</v>
      </c>
      <c r="E384" s="6" t="s">
        <v>13</v>
      </c>
      <c r="F384" s="6" t="s">
        <v>33</v>
      </c>
      <c r="G384" s="5">
        <v>8</v>
      </c>
      <c r="H384" s="8">
        <v>45050</v>
      </c>
      <c r="I384" s="6" t="s">
        <v>26</v>
      </c>
      <c r="J384" s="6" t="s">
        <v>27</v>
      </c>
    </row>
    <row r="385" spans="1:10" x14ac:dyDescent="0.3">
      <c r="A385" s="6" t="s">
        <v>429</v>
      </c>
      <c r="B385" s="6" t="s">
        <v>11</v>
      </c>
      <c r="C385" s="7">
        <v>29</v>
      </c>
      <c r="D385" s="5" t="s">
        <v>18</v>
      </c>
      <c r="E385" s="6" t="s">
        <v>19</v>
      </c>
      <c r="F385" s="6" t="s">
        <v>38</v>
      </c>
      <c r="G385" s="5">
        <v>6</v>
      </c>
      <c r="H385" s="8">
        <v>45086</v>
      </c>
      <c r="I385" s="6" t="s">
        <v>39</v>
      </c>
      <c r="J385" s="6" t="s">
        <v>27</v>
      </c>
    </row>
    <row r="386" spans="1:10" x14ac:dyDescent="0.3">
      <c r="A386" s="6" t="s">
        <v>430</v>
      </c>
      <c r="B386" s="6" t="s">
        <v>11</v>
      </c>
      <c r="C386" s="7">
        <v>18</v>
      </c>
      <c r="D386" s="5" t="s">
        <v>32</v>
      </c>
      <c r="E386" s="6" t="s">
        <v>19</v>
      </c>
      <c r="F386" s="6" t="s">
        <v>14</v>
      </c>
      <c r="G386" s="5">
        <v>53</v>
      </c>
      <c r="H386" s="8">
        <v>43687</v>
      </c>
      <c r="I386" s="6" t="s">
        <v>49</v>
      </c>
      <c r="J386" s="6" t="s">
        <v>22</v>
      </c>
    </row>
    <row r="387" spans="1:10" x14ac:dyDescent="0.3">
      <c r="A387" s="6" t="s">
        <v>431</v>
      </c>
      <c r="B387" s="6" t="s">
        <v>31</v>
      </c>
      <c r="C387" s="7">
        <v>26</v>
      </c>
      <c r="D387" s="5" t="s">
        <v>18</v>
      </c>
      <c r="E387" s="6" t="s">
        <v>13</v>
      </c>
      <c r="F387" s="6" t="s">
        <v>36</v>
      </c>
      <c r="G387" s="5">
        <v>14</v>
      </c>
      <c r="H387" s="8">
        <v>44852</v>
      </c>
      <c r="I387" s="6" t="s">
        <v>49</v>
      </c>
      <c r="J387" s="6" t="s">
        <v>16</v>
      </c>
    </row>
    <row r="388" spans="1:10" x14ac:dyDescent="0.3">
      <c r="A388" s="6" t="s">
        <v>432</v>
      </c>
      <c r="B388" s="6" t="s">
        <v>11</v>
      </c>
      <c r="C388" s="7">
        <v>24</v>
      </c>
      <c r="D388" s="5" t="s">
        <v>32</v>
      </c>
      <c r="E388" s="6" t="s">
        <v>13</v>
      </c>
      <c r="F388" s="6" t="s">
        <v>36</v>
      </c>
      <c r="G388" s="5">
        <v>2</v>
      </c>
      <c r="H388" s="8">
        <v>45224</v>
      </c>
      <c r="I388" s="6" t="s">
        <v>26</v>
      </c>
      <c r="J388" s="6" t="s">
        <v>16</v>
      </c>
    </row>
    <row r="389" spans="1:10" x14ac:dyDescent="0.3">
      <c r="A389" s="6" t="s">
        <v>433</v>
      </c>
      <c r="B389" s="6" t="s">
        <v>24</v>
      </c>
      <c r="C389" s="7">
        <v>20</v>
      </c>
      <c r="D389" s="5" t="s">
        <v>32</v>
      </c>
      <c r="E389" s="6" t="s">
        <v>13</v>
      </c>
      <c r="F389" s="6" t="s">
        <v>38</v>
      </c>
      <c r="G389" s="5">
        <v>37</v>
      </c>
      <c r="H389" s="8">
        <v>44156</v>
      </c>
      <c r="I389" s="6" t="s">
        <v>15</v>
      </c>
      <c r="J389" s="6" t="s">
        <v>16</v>
      </c>
    </row>
    <row r="390" spans="1:10" x14ac:dyDescent="0.3">
      <c r="A390" s="6" t="s">
        <v>434</v>
      </c>
      <c r="B390" s="6" t="s">
        <v>11</v>
      </c>
      <c r="C390" s="7">
        <v>20</v>
      </c>
      <c r="D390" s="5" t="s">
        <v>32</v>
      </c>
      <c r="E390" s="6" t="s">
        <v>13</v>
      </c>
      <c r="F390" s="6" t="s">
        <v>56</v>
      </c>
      <c r="G390" s="5">
        <v>6</v>
      </c>
      <c r="H390" s="8">
        <v>45098</v>
      </c>
      <c r="I390" s="6" t="s">
        <v>26</v>
      </c>
      <c r="J390" s="6" t="s">
        <v>22</v>
      </c>
    </row>
    <row r="391" spans="1:10" x14ac:dyDescent="0.3">
      <c r="A391" s="6" t="s">
        <v>435</v>
      </c>
      <c r="B391" s="6" t="s">
        <v>24</v>
      </c>
      <c r="C391" s="7">
        <v>36</v>
      </c>
      <c r="D391" s="5" t="s">
        <v>12</v>
      </c>
      <c r="E391" s="6" t="s">
        <v>13</v>
      </c>
      <c r="F391" s="6" t="s">
        <v>36</v>
      </c>
      <c r="G391" s="5">
        <v>51</v>
      </c>
      <c r="H391" s="8">
        <v>43757</v>
      </c>
      <c r="I391" s="6" t="s">
        <v>15</v>
      </c>
      <c r="J391" s="6" t="s">
        <v>16</v>
      </c>
    </row>
    <row r="392" spans="1:10" x14ac:dyDescent="0.3">
      <c r="A392" s="6" t="s">
        <v>436</v>
      </c>
      <c r="B392" s="6" t="s">
        <v>42</v>
      </c>
      <c r="C392" s="7">
        <v>38</v>
      </c>
      <c r="D392" s="5" t="s">
        <v>12</v>
      </c>
      <c r="E392" s="6" t="s">
        <v>19</v>
      </c>
      <c r="F392" s="6" t="s">
        <v>25</v>
      </c>
      <c r="G392" s="5">
        <v>3</v>
      </c>
      <c r="H392" s="8">
        <v>45187</v>
      </c>
      <c r="I392" s="6" t="s">
        <v>34</v>
      </c>
      <c r="J392" s="6" t="s">
        <v>16</v>
      </c>
    </row>
    <row r="393" spans="1:10" x14ac:dyDescent="0.3">
      <c r="A393" s="6" t="s">
        <v>437</v>
      </c>
      <c r="B393" s="6" t="s">
        <v>11</v>
      </c>
      <c r="C393" s="7">
        <v>33</v>
      </c>
      <c r="D393" s="5" t="s">
        <v>18</v>
      </c>
      <c r="E393" s="6" t="s">
        <v>13</v>
      </c>
      <c r="F393" s="6" t="s">
        <v>38</v>
      </c>
      <c r="G393" s="5">
        <v>3</v>
      </c>
      <c r="H393" s="8">
        <v>45187</v>
      </c>
      <c r="I393" s="6" t="s">
        <v>39</v>
      </c>
      <c r="J393" s="6" t="s">
        <v>27</v>
      </c>
    </row>
    <row r="394" spans="1:10" x14ac:dyDescent="0.3">
      <c r="A394" s="6" t="s">
        <v>438</v>
      </c>
      <c r="B394" s="6" t="s">
        <v>42</v>
      </c>
      <c r="C394" s="7">
        <v>33</v>
      </c>
      <c r="D394" s="5" t="s">
        <v>18</v>
      </c>
      <c r="E394" s="6" t="s">
        <v>13</v>
      </c>
      <c r="F394" s="6" t="s">
        <v>54</v>
      </c>
      <c r="G394" s="5">
        <v>58</v>
      </c>
      <c r="H394" s="8">
        <v>43552</v>
      </c>
      <c r="I394" s="6" t="s">
        <v>29</v>
      </c>
      <c r="J394" s="6" t="s">
        <v>22</v>
      </c>
    </row>
    <row r="395" spans="1:10" x14ac:dyDescent="0.3">
      <c r="A395" s="6" t="s">
        <v>439</v>
      </c>
      <c r="B395" s="6" t="s">
        <v>24</v>
      </c>
      <c r="C395" s="7">
        <v>34</v>
      </c>
      <c r="D395" s="5" t="s">
        <v>18</v>
      </c>
      <c r="E395" s="6" t="s">
        <v>13</v>
      </c>
      <c r="F395" s="6" t="s">
        <v>88</v>
      </c>
      <c r="G395" s="5">
        <v>38</v>
      </c>
      <c r="H395" s="8">
        <v>44145</v>
      </c>
      <c r="I395" s="6" t="s">
        <v>39</v>
      </c>
      <c r="J395" s="6" t="s">
        <v>27</v>
      </c>
    </row>
    <row r="396" spans="1:10" x14ac:dyDescent="0.3">
      <c r="A396" s="6" t="s">
        <v>440</v>
      </c>
      <c r="B396" s="6" t="s">
        <v>11</v>
      </c>
      <c r="C396" s="7">
        <v>18</v>
      </c>
      <c r="D396" s="5" t="s">
        <v>32</v>
      </c>
      <c r="E396" s="6" t="s">
        <v>13</v>
      </c>
      <c r="F396" s="6" t="s">
        <v>88</v>
      </c>
      <c r="G396" s="5">
        <v>3</v>
      </c>
      <c r="H396" s="8">
        <v>45179</v>
      </c>
      <c r="I396" s="6" t="s">
        <v>39</v>
      </c>
      <c r="J396" s="6" t="s">
        <v>16</v>
      </c>
    </row>
    <row r="397" spans="1:10" x14ac:dyDescent="0.3">
      <c r="A397" s="6" t="s">
        <v>441</v>
      </c>
      <c r="B397" s="6" t="s">
        <v>11</v>
      </c>
      <c r="C397" s="7">
        <v>49</v>
      </c>
      <c r="D397" s="5" t="s">
        <v>46</v>
      </c>
      <c r="E397" s="6" t="s">
        <v>13</v>
      </c>
      <c r="F397" s="6" t="s">
        <v>36</v>
      </c>
      <c r="G397" s="5">
        <v>48</v>
      </c>
      <c r="H397" s="8">
        <v>43845</v>
      </c>
      <c r="I397" s="6" t="s">
        <v>39</v>
      </c>
      <c r="J397" s="6" t="s">
        <v>16</v>
      </c>
    </row>
    <row r="398" spans="1:10" x14ac:dyDescent="0.3">
      <c r="A398" s="6" t="s">
        <v>442</v>
      </c>
      <c r="B398" s="6" t="s">
        <v>31</v>
      </c>
      <c r="C398" s="7">
        <v>18</v>
      </c>
      <c r="D398" s="5" t="s">
        <v>32</v>
      </c>
      <c r="E398" s="6" t="s">
        <v>19</v>
      </c>
      <c r="F398" s="6" t="s">
        <v>14</v>
      </c>
      <c r="G398" s="5">
        <v>24</v>
      </c>
      <c r="H398" s="8">
        <v>44550</v>
      </c>
      <c r="I398" s="6" t="s">
        <v>49</v>
      </c>
      <c r="J398" s="6" t="s">
        <v>16</v>
      </c>
    </row>
    <row r="399" spans="1:10" x14ac:dyDescent="0.3">
      <c r="A399" s="6" t="s">
        <v>443</v>
      </c>
      <c r="B399" s="6" t="s">
        <v>31</v>
      </c>
      <c r="C399" s="7">
        <v>21</v>
      </c>
      <c r="D399" s="5" t="s">
        <v>32</v>
      </c>
      <c r="E399" s="6" t="s">
        <v>13</v>
      </c>
      <c r="F399" s="6" t="s">
        <v>38</v>
      </c>
      <c r="G399" s="5">
        <v>55</v>
      </c>
      <c r="H399" s="8">
        <v>43631</v>
      </c>
      <c r="I399" s="6" t="s">
        <v>39</v>
      </c>
      <c r="J399" s="6" t="s">
        <v>22</v>
      </c>
    </row>
    <row r="400" spans="1:10" x14ac:dyDescent="0.3">
      <c r="A400" s="6" t="s">
        <v>444</v>
      </c>
      <c r="B400" s="6" t="s">
        <v>42</v>
      </c>
      <c r="C400" s="7">
        <v>45</v>
      </c>
      <c r="D400" s="5" t="s">
        <v>46</v>
      </c>
      <c r="E400" s="6" t="s">
        <v>19</v>
      </c>
      <c r="F400" s="6" t="s">
        <v>25</v>
      </c>
      <c r="G400" s="5">
        <v>8</v>
      </c>
      <c r="H400" s="8">
        <v>45049</v>
      </c>
      <c r="I400" s="6" t="s">
        <v>47</v>
      </c>
      <c r="J400" s="6" t="s">
        <v>65</v>
      </c>
    </row>
    <row r="401" spans="1:10" x14ac:dyDescent="0.3">
      <c r="A401" s="6" t="s">
        <v>445</v>
      </c>
      <c r="B401" s="6" t="s">
        <v>24</v>
      </c>
      <c r="C401" s="7">
        <v>40</v>
      </c>
      <c r="D401" s="5" t="s">
        <v>12</v>
      </c>
      <c r="E401" s="6" t="s">
        <v>19</v>
      </c>
      <c r="F401" s="6" t="s">
        <v>56</v>
      </c>
      <c r="G401" s="5">
        <v>16</v>
      </c>
      <c r="H401" s="8">
        <v>44796</v>
      </c>
      <c r="I401" s="6" t="s">
        <v>29</v>
      </c>
      <c r="J401" s="6" t="s">
        <v>16</v>
      </c>
    </row>
    <row r="402" spans="1:10" x14ac:dyDescent="0.3">
      <c r="A402" s="6" t="s">
        <v>446</v>
      </c>
      <c r="B402" s="6" t="s">
        <v>24</v>
      </c>
      <c r="C402" s="7">
        <v>40</v>
      </c>
      <c r="D402" s="5" t="s">
        <v>12</v>
      </c>
      <c r="E402" s="6" t="s">
        <v>13</v>
      </c>
      <c r="F402" s="6" t="s">
        <v>54</v>
      </c>
      <c r="G402" s="5">
        <v>32</v>
      </c>
      <c r="H402" s="8">
        <v>44325</v>
      </c>
      <c r="I402" s="6" t="s">
        <v>15</v>
      </c>
      <c r="J402" s="6" t="s">
        <v>27</v>
      </c>
    </row>
    <row r="403" spans="1:10" x14ac:dyDescent="0.3">
      <c r="A403" s="6" t="s">
        <v>447</v>
      </c>
      <c r="B403" s="6" t="s">
        <v>42</v>
      </c>
      <c r="C403" s="7">
        <v>47</v>
      </c>
      <c r="D403" s="5" t="s">
        <v>46</v>
      </c>
      <c r="E403" s="6" t="s">
        <v>13</v>
      </c>
      <c r="F403" s="6" t="s">
        <v>14</v>
      </c>
      <c r="G403" s="5">
        <v>42</v>
      </c>
      <c r="H403" s="8">
        <v>44026</v>
      </c>
      <c r="I403" s="6" t="s">
        <v>39</v>
      </c>
      <c r="J403" s="6" t="s">
        <v>22</v>
      </c>
    </row>
    <row r="404" spans="1:10" x14ac:dyDescent="0.3">
      <c r="A404" s="6" t="s">
        <v>448</v>
      </c>
      <c r="B404" s="6" t="s">
        <v>31</v>
      </c>
      <c r="C404" s="7">
        <v>47</v>
      </c>
      <c r="D404" s="5" t="s">
        <v>46</v>
      </c>
      <c r="E404" s="6" t="s">
        <v>13</v>
      </c>
      <c r="F404" s="6" t="s">
        <v>36</v>
      </c>
      <c r="G404" s="5">
        <v>20</v>
      </c>
      <c r="H404" s="8">
        <v>44691</v>
      </c>
      <c r="I404" s="6" t="s">
        <v>47</v>
      </c>
      <c r="J404" s="6" t="s">
        <v>22</v>
      </c>
    </row>
    <row r="405" spans="1:10" x14ac:dyDescent="0.3">
      <c r="A405" s="6" t="s">
        <v>449</v>
      </c>
      <c r="B405" s="6" t="s">
        <v>24</v>
      </c>
      <c r="C405" s="7">
        <v>43</v>
      </c>
      <c r="D405" s="5" t="s">
        <v>12</v>
      </c>
      <c r="E405" s="6" t="s">
        <v>13</v>
      </c>
      <c r="F405" s="6" t="s">
        <v>36</v>
      </c>
      <c r="G405" s="5">
        <v>51</v>
      </c>
      <c r="H405" s="8">
        <v>43760</v>
      </c>
      <c r="I405" s="6" t="s">
        <v>62</v>
      </c>
      <c r="J405" s="6" t="s">
        <v>16</v>
      </c>
    </row>
    <row r="406" spans="1:10" x14ac:dyDescent="0.3">
      <c r="A406" s="6" t="s">
        <v>450</v>
      </c>
      <c r="B406" s="6" t="s">
        <v>24</v>
      </c>
      <c r="C406" s="7">
        <v>25</v>
      </c>
      <c r="D406" s="5" t="s">
        <v>18</v>
      </c>
      <c r="E406" s="6" t="s">
        <v>13</v>
      </c>
      <c r="F406" s="6" t="s">
        <v>56</v>
      </c>
      <c r="G406" s="5">
        <v>21</v>
      </c>
      <c r="H406" s="8">
        <v>44657</v>
      </c>
      <c r="I406" s="6" t="s">
        <v>15</v>
      </c>
      <c r="J406" s="6" t="s">
        <v>27</v>
      </c>
    </row>
    <row r="407" spans="1:10" x14ac:dyDescent="0.3">
      <c r="A407" s="6" t="s">
        <v>451</v>
      </c>
      <c r="B407" s="6" t="s">
        <v>42</v>
      </c>
      <c r="C407" s="7">
        <v>26</v>
      </c>
      <c r="D407" s="5" t="s">
        <v>18</v>
      </c>
      <c r="E407" s="6" t="s">
        <v>13</v>
      </c>
      <c r="F407" s="6" t="s">
        <v>56</v>
      </c>
      <c r="G407" s="5">
        <v>43</v>
      </c>
      <c r="H407" s="8">
        <v>43979</v>
      </c>
      <c r="I407" s="6" t="s">
        <v>26</v>
      </c>
      <c r="J407" s="6" t="s">
        <v>22</v>
      </c>
    </row>
    <row r="408" spans="1:10" x14ac:dyDescent="0.3">
      <c r="A408" s="6" t="s">
        <v>452</v>
      </c>
      <c r="B408" s="6" t="s">
        <v>11</v>
      </c>
      <c r="C408" s="7">
        <v>33</v>
      </c>
      <c r="D408" s="5" t="s">
        <v>18</v>
      </c>
      <c r="E408" s="6" t="s">
        <v>19</v>
      </c>
      <c r="F408" s="6" t="s">
        <v>38</v>
      </c>
      <c r="G408" s="5">
        <v>43</v>
      </c>
      <c r="H408" s="8">
        <v>43992</v>
      </c>
      <c r="I408" s="6" t="s">
        <v>34</v>
      </c>
      <c r="J408" s="6" t="s">
        <v>22</v>
      </c>
    </row>
    <row r="409" spans="1:10" x14ac:dyDescent="0.3">
      <c r="A409" s="6" t="s">
        <v>453</v>
      </c>
      <c r="B409" s="6" t="s">
        <v>11</v>
      </c>
      <c r="C409" s="7">
        <v>19</v>
      </c>
      <c r="D409" s="5" t="s">
        <v>32</v>
      </c>
      <c r="E409" s="6" t="s">
        <v>19</v>
      </c>
      <c r="F409" s="6" t="s">
        <v>33</v>
      </c>
      <c r="G409" s="5">
        <v>49</v>
      </c>
      <c r="H409" s="8">
        <v>43810</v>
      </c>
      <c r="I409" s="6" t="s">
        <v>15</v>
      </c>
      <c r="J409" s="6" t="s">
        <v>16</v>
      </c>
    </row>
    <row r="410" spans="1:10" x14ac:dyDescent="0.3">
      <c r="A410" s="6" t="s">
        <v>454</v>
      </c>
      <c r="B410" s="6" t="s">
        <v>61</v>
      </c>
      <c r="C410" s="7">
        <v>22</v>
      </c>
      <c r="D410" s="5" t="s">
        <v>32</v>
      </c>
      <c r="E410" s="6" t="s">
        <v>19</v>
      </c>
      <c r="F410" s="6" t="s">
        <v>64</v>
      </c>
      <c r="G410" s="5">
        <v>19</v>
      </c>
      <c r="H410" s="8">
        <v>44695</v>
      </c>
      <c r="I410" s="6" t="s">
        <v>47</v>
      </c>
      <c r="J410" s="6" t="s">
        <v>16</v>
      </c>
    </row>
    <row r="411" spans="1:10" x14ac:dyDescent="0.3">
      <c r="A411" s="6" t="s">
        <v>455</v>
      </c>
      <c r="B411" s="6" t="s">
        <v>11</v>
      </c>
      <c r="C411" s="7">
        <v>28</v>
      </c>
      <c r="D411" s="5" t="s">
        <v>18</v>
      </c>
      <c r="E411" s="6" t="s">
        <v>19</v>
      </c>
      <c r="F411" s="6" t="s">
        <v>38</v>
      </c>
      <c r="G411" s="5">
        <v>13</v>
      </c>
      <c r="H411" s="8">
        <v>44877</v>
      </c>
      <c r="I411" s="6" t="s">
        <v>26</v>
      </c>
      <c r="J411" s="6" t="s">
        <v>16</v>
      </c>
    </row>
    <row r="412" spans="1:10" x14ac:dyDescent="0.3">
      <c r="A412" s="6" t="s">
        <v>456</v>
      </c>
      <c r="B412" s="6" t="s">
        <v>24</v>
      </c>
      <c r="C412" s="7">
        <v>44</v>
      </c>
      <c r="D412" s="5" t="s">
        <v>12</v>
      </c>
      <c r="E412" s="6" t="s">
        <v>19</v>
      </c>
      <c r="F412" s="6" t="s">
        <v>14</v>
      </c>
      <c r="G412" s="5">
        <v>29</v>
      </c>
      <c r="H412" s="8">
        <v>44409</v>
      </c>
      <c r="I412" s="6" t="s">
        <v>62</v>
      </c>
      <c r="J412" s="6" t="s">
        <v>65</v>
      </c>
    </row>
    <row r="413" spans="1:10" x14ac:dyDescent="0.3">
      <c r="A413" s="6" t="s">
        <v>457</v>
      </c>
      <c r="B413" s="6" t="s">
        <v>11</v>
      </c>
      <c r="C413" s="7">
        <v>30</v>
      </c>
      <c r="D413" s="5" t="s">
        <v>18</v>
      </c>
      <c r="E413" s="6" t="s">
        <v>13</v>
      </c>
      <c r="F413" s="6" t="s">
        <v>56</v>
      </c>
      <c r="G413" s="5">
        <v>45</v>
      </c>
      <c r="H413" s="8">
        <v>43920</v>
      </c>
      <c r="I413" s="6" t="s">
        <v>34</v>
      </c>
      <c r="J413" s="6" t="s">
        <v>27</v>
      </c>
    </row>
    <row r="414" spans="1:10" x14ac:dyDescent="0.3">
      <c r="A414" s="6" t="s">
        <v>458</v>
      </c>
      <c r="B414" s="6" t="s">
        <v>61</v>
      </c>
      <c r="C414" s="7">
        <v>30</v>
      </c>
      <c r="D414" s="5" t="s">
        <v>18</v>
      </c>
      <c r="E414" s="6" t="s">
        <v>19</v>
      </c>
      <c r="F414" s="6" t="s">
        <v>25</v>
      </c>
      <c r="G414" s="5">
        <v>11</v>
      </c>
      <c r="H414" s="8">
        <v>44959</v>
      </c>
      <c r="I414" s="6" t="s">
        <v>34</v>
      </c>
      <c r="J414" s="6" t="s">
        <v>16</v>
      </c>
    </row>
    <row r="415" spans="1:10" x14ac:dyDescent="0.3">
      <c r="A415" s="6" t="s">
        <v>459</v>
      </c>
      <c r="B415" s="6" t="s">
        <v>31</v>
      </c>
      <c r="C415" s="7">
        <v>23</v>
      </c>
      <c r="D415" s="5" t="s">
        <v>32</v>
      </c>
      <c r="E415" s="6" t="s">
        <v>13</v>
      </c>
      <c r="F415" s="6" t="s">
        <v>25</v>
      </c>
      <c r="G415" s="5">
        <v>22</v>
      </c>
      <c r="H415" s="8">
        <v>44614</v>
      </c>
      <c r="I415" s="6" t="s">
        <v>39</v>
      </c>
      <c r="J415" s="6" t="s">
        <v>27</v>
      </c>
    </row>
    <row r="416" spans="1:10" x14ac:dyDescent="0.3">
      <c r="A416" s="6" t="s">
        <v>460</v>
      </c>
      <c r="B416" s="6" t="s">
        <v>61</v>
      </c>
      <c r="C416" s="7">
        <v>27</v>
      </c>
      <c r="D416" s="5" t="s">
        <v>18</v>
      </c>
      <c r="E416" s="6" t="s">
        <v>13</v>
      </c>
      <c r="F416" s="6" t="s">
        <v>36</v>
      </c>
      <c r="G416" s="5">
        <v>53</v>
      </c>
      <c r="H416" s="8">
        <v>43689</v>
      </c>
      <c r="I416" s="6" t="s">
        <v>39</v>
      </c>
      <c r="J416" s="6" t="s">
        <v>65</v>
      </c>
    </row>
    <row r="417" spans="1:10" x14ac:dyDescent="0.3">
      <c r="A417" s="6" t="s">
        <v>461</v>
      </c>
      <c r="B417" s="6" t="s">
        <v>61</v>
      </c>
      <c r="C417" s="7">
        <v>27</v>
      </c>
      <c r="D417" s="5" t="s">
        <v>18</v>
      </c>
      <c r="E417" s="6" t="s">
        <v>19</v>
      </c>
      <c r="F417" s="6" t="s">
        <v>54</v>
      </c>
      <c r="G417" s="5">
        <v>55</v>
      </c>
      <c r="H417" s="8">
        <v>43625</v>
      </c>
      <c r="I417" s="6" t="s">
        <v>26</v>
      </c>
      <c r="J417" s="6" t="s">
        <v>27</v>
      </c>
    </row>
    <row r="418" spans="1:10" x14ac:dyDescent="0.3">
      <c r="A418" s="6" t="s">
        <v>462</v>
      </c>
      <c r="B418" s="6" t="s">
        <v>31</v>
      </c>
      <c r="C418" s="7">
        <v>51</v>
      </c>
      <c r="D418" s="5" t="s">
        <v>46</v>
      </c>
      <c r="E418" s="6" t="s">
        <v>13</v>
      </c>
      <c r="F418" s="6" t="s">
        <v>20</v>
      </c>
      <c r="G418" s="5">
        <v>40</v>
      </c>
      <c r="H418" s="8">
        <v>44068</v>
      </c>
      <c r="I418" s="6" t="s">
        <v>62</v>
      </c>
      <c r="J418" s="6" t="s">
        <v>16</v>
      </c>
    </row>
    <row r="419" spans="1:10" x14ac:dyDescent="0.3">
      <c r="A419" s="6" t="s">
        <v>463</v>
      </c>
      <c r="B419" s="6" t="s">
        <v>11</v>
      </c>
      <c r="C419" s="7">
        <v>42</v>
      </c>
      <c r="D419" s="5" t="s">
        <v>12</v>
      </c>
      <c r="E419" s="6" t="s">
        <v>19</v>
      </c>
      <c r="F419" s="6" t="s">
        <v>25</v>
      </c>
      <c r="G419" s="5">
        <v>46</v>
      </c>
      <c r="H419" s="8">
        <v>43897</v>
      </c>
      <c r="I419" s="6" t="s">
        <v>34</v>
      </c>
      <c r="J419" s="6" t="s">
        <v>27</v>
      </c>
    </row>
    <row r="420" spans="1:10" x14ac:dyDescent="0.3">
      <c r="A420" s="6" t="s">
        <v>464</v>
      </c>
      <c r="B420" s="6" t="s">
        <v>24</v>
      </c>
      <c r="C420" s="7">
        <v>35</v>
      </c>
      <c r="D420" s="5" t="s">
        <v>12</v>
      </c>
      <c r="E420" s="6" t="s">
        <v>105</v>
      </c>
      <c r="F420" s="6" t="s">
        <v>36</v>
      </c>
      <c r="G420" s="5">
        <v>20</v>
      </c>
      <c r="H420" s="8">
        <v>44671</v>
      </c>
      <c r="I420" s="6" t="s">
        <v>39</v>
      </c>
      <c r="J420" s="6" t="s">
        <v>22</v>
      </c>
    </row>
    <row r="421" spans="1:10" x14ac:dyDescent="0.3">
      <c r="A421" s="6" t="s">
        <v>465</v>
      </c>
      <c r="B421" s="6" t="s">
        <v>24</v>
      </c>
      <c r="C421" s="7">
        <v>43</v>
      </c>
      <c r="D421" s="5" t="s">
        <v>12</v>
      </c>
      <c r="E421" s="6" t="s">
        <v>13</v>
      </c>
      <c r="F421" s="6" t="s">
        <v>88</v>
      </c>
      <c r="G421" s="5">
        <v>52</v>
      </c>
      <c r="H421" s="8">
        <v>43714</v>
      </c>
      <c r="I421" s="6" t="s">
        <v>49</v>
      </c>
      <c r="J421" s="6" t="s">
        <v>16</v>
      </c>
    </row>
    <row r="422" spans="1:10" x14ac:dyDescent="0.3">
      <c r="A422" s="6" t="s">
        <v>466</v>
      </c>
      <c r="B422" s="6" t="s">
        <v>42</v>
      </c>
      <c r="C422" s="7">
        <v>33</v>
      </c>
      <c r="D422" s="5" t="s">
        <v>18</v>
      </c>
      <c r="E422" s="6" t="s">
        <v>13</v>
      </c>
      <c r="F422" s="6" t="s">
        <v>88</v>
      </c>
      <c r="G422" s="5">
        <v>21</v>
      </c>
      <c r="H422" s="8">
        <v>44640</v>
      </c>
      <c r="I422" s="6" t="s">
        <v>26</v>
      </c>
      <c r="J422" s="6" t="s">
        <v>27</v>
      </c>
    </row>
    <row r="423" spans="1:10" x14ac:dyDescent="0.3">
      <c r="A423" s="6" t="s">
        <v>467</v>
      </c>
      <c r="B423" s="6" t="s">
        <v>31</v>
      </c>
      <c r="C423" s="7">
        <v>49</v>
      </c>
      <c r="D423" s="5" t="s">
        <v>46</v>
      </c>
      <c r="E423" s="6" t="s">
        <v>19</v>
      </c>
      <c r="F423" s="6" t="s">
        <v>20</v>
      </c>
      <c r="G423" s="5">
        <v>2</v>
      </c>
      <c r="H423" s="8">
        <v>45204</v>
      </c>
      <c r="I423" s="6" t="s">
        <v>29</v>
      </c>
      <c r="J423" s="6" t="s">
        <v>22</v>
      </c>
    </row>
    <row r="424" spans="1:10" x14ac:dyDescent="0.3">
      <c r="A424" s="6" t="s">
        <v>468</v>
      </c>
      <c r="B424" s="6" t="s">
        <v>11</v>
      </c>
      <c r="C424" s="7">
        <v>36</v>
      </c>
      <c r="D424" s="5" t="s">
        <v>12</v>
      </c>
      <c r="E424" s="6" t="s">
        <v>13</v>
      </c>
      <c r="F424" s="6" t="s">
        <v>33</v>
      </c>
      <c r="G424" s="5">
        <v>51</v>
      </c>
      <c r="H424" s="8">
        <v>43761</v>
      </c>
      <c r="I424" s="6" t="s">
        <v>47</v>
      </c>
      <c r="J424" s="6" t="s">
        <v>22</v>
      </c>
    </row>
    <row r="425" spans="1:10" x14ac:dyDescent="0.3">
      <c r="A425" s="6" t="s">
        <v>469</v>
      </c>
      <c r="B425" s="6" t="s">
        <v>61</v>
      </c>
      <c r="C425" s="7">
        <v>22</v>
      </c>
      <c r="D425" s="5" t="s">
        <v>32</v>
      </c>
      <c r="E425" s="6" t="s">
        <v>13</v>
      </c>
      <c r="F425" s="6" t="s">
        <v>14</v>
      </c>
      <c r="G425" s="5">
        <v>37</v>
      </c>
      <c r="H425" s="8">
        <v>44178</v>
      </c>
      <c r="I425" s="6" t="s">
        <v>29</v>
      </c>
      <c r="J425" s="6" t="s">
        <v>27</v>
      </c>
    </row>
    <row r="426" spans="1:10" x14ac:dyDescent="0.3">
      <c r="A426" s="6" t="s">
        <v>470</v>
      </c>
      <c r="B426" s="6" t="s">
        <v>11</v>
      </c>
      <c r="C426" s="7">
        <v>39</v>
      </c>
      <c r="D426" s="5" t="s">
        <v>12</v>
      </c>
      <c r="E426" s="6" t="s">
        <v>19</v>
      </c>
      <c r="F426" s="6" t="s">
        <v>38</v>
      </c>
      <c r="G426" s="5">
        <v>37</v>
      </c>
      <c r="H426" s="8">
        <v>44168</v>
      </c>
      <c r="I426" s="6" t="s">
        <v>34</v>
      </c>
      <c r="J426" s="6" t="s">
        <v>22</v>
      </c>
    </row>
    <row r="427" spans="1:10" x14ac:dyDescent="0.3">
      <c r="A427" s="6" t="s">
        <v>471</v>
      </c>
      <c r="B427" s="6" t="s">
        <v>31</v>
      </c>
      <c r="C427" s="7">
        <v>18</v>
      </c>
      <c r="D427" s="5" t="s">
        <v>32</v>
      </c>
      <c r="E427" s="6" t="s">
        <v>19</v>
      </c>
      <c r="F427" s="6" t="s">
        <v>88</v>
      </c>
      <c r="G427" s="5">
        <v>48</v>
      </c>
      <c r="H427" s="8">
        <v>43850</v>
      </c>
      <c r="I427" s="6" t="s">
        <v>62</v>
      </c>
      <c r="J427" s="6" t="s">
        <v>22</v>
      </c>
    </row>
    <row r="428" spans="1:10" x14ac:dyDescent="0.3">
      <c r="A428" s="6" t="s">
        <v>472</v>
      </c>
      <c r="B428" s="6" t="s">
        <v>24</v>
      </c>
      <c r="C428" s="7">
        <v>29</v>
      </c>
      <c r="D428" s="5" t="s">
        <v>18</v>
      </c>
      <c r="E428" s="6" t="s">
        <v>13</v>
      </c>
      <c r="F428" s="6" t="s">
        <v>36</v>
      </c>
      <c r="G428" s="5">
        <v>41</v>
      </c>
      <c r="H428" s="8">
        <v>44039</v>
      </c>
      <c r="I428" s="6" t="s">
        <v>62</v>
      </c>
      <c r="J428" s="6" t="s">
        <v>22</v>
      </c>
    </row>
    <row r="429" spans="1:10" x14ac:dyDescent="0.3">
      <c r="A429" s="6" t="s">
        <v>473</v>
      </c>
      <c r="B429" s="6" t="s">
        <v>61</v>
      </c>
      <c r="C429" s="7">
        <v>36</v>
      </c>
      <c r="D429" s="5" t="s">
        <v>12</v>
      </c>
      <c r="E429" s="6" t="s">
        <v>13</v>
      </c>
      <c r="F429" s="6" t="s">
        <v>38</v>
      </c>
      <c r="G429" s="5">
        <v>6</v>
      </c>
      <c r="H429" s="8">
        <v>45103</v>
      </c>
      <c r="I429" s="6" t="s">
        <v>47</v>
      </c>
      <c r="J429" s="6" t="s">
        <v>22</v>
      </c>
    </row>
    <row r="430" spans="1:10" x14ac:dyDescent="0.3">
      <c r="A430" s="6" t="s">
        <v>474</v>
      </c>
      <c r="B430" s="6" t="s">
        <v>31</v>
      </c>
      <c r="C430" s="7">
        <v>25</v>
      </c>
      <c r="D430" s="5" t="s">
        <v>18</v>
      </c>
      <c r="E430" s="6" t="s">
        <v>13</v>
      </c>
      <c r="F430" s="6" t="s">
        <v>38</v>
      </c>
      <c r="G430" s="5">
        <v>42</v>
      </c>
      <c r="H430" s="8">
        <v>44030</v>
      </c>
      <c r="I430" s="6" t="s">
        <v>15</v>
      </c>
      <c r="J430" s="6" t="s">
        <v>27</v>
      </c>
    </row>
    <row r="431" spans="1:10" x14ac:dyDescent="0.3">
      <c r="A431" s="6" t="s">
        <v>475</v>
      </c>
      <c r="B431" s="6" t="s">
        <v>24</v>
      </c>
      <c r="C431" s="7">
        <v>53</v>
      </c>
      <c r="D431" s="5" t="s">
        <v>46</v>
      </c>
      <c r="E431" s="6" t="s">
        <v>19</v>
      </c>
      <c r="F431" s="6" t="s">
        <v>20</v>
      </c>
      <c r="G431" s="5">
        <v>35</v>
      </c>
      <c r="H431" s="8">
        <v>44228</v>
      </c>
      <c r="I431" s="6" t="s">
        <v>29</v>
      </c>
      <c r="J431" s="6" t="s">
        <v>16</v>
      </c>
    </row>
    <row r="432" spans="1:10" x14ac:dyDescent="0.3">
      <c r="A432" s="6" t="s">
        <v>476</v>
      </c>
      <c r="B432" s="6" t="s">
        <v>61</v>
      </c>
      <c r="C432" s="7">
        <v>59</v>
      </c>
      <c r="D432" s="5" t="s">
        <v>201</v>
      </c>
      <c r="E432" s="6" t="s">
        <v>19</v>
      </c>
      <c r="F432" s="6" t="s">
        <v>36</v>
      </c>
      <c r="G432" s="5">
        <v>26</v>
      </c>
      <c r="H432" s="8">
        <v>44512</v>
      </c>
      <c r="I432" s="6" t="s">
        <v>39</v>
      </c>
      <c r="J432" s="6" t="s">
        <v>27</v>
      </c>
    </row>
    <row r="433" spans="1:10" x14ac:dyDescent="0.3">
      <c r="A433" s="6" t="s">
        <v>477</v>
      </c>
      <c r="B433" s="6" t="s">
        <v>24</v>
      </c>
      <c r="C433" s="7">
        <v>31</v>
      </c>
      <c r="D433" s="5" t="s">
        <v>18</v>
      </c>
      <c r="E433" s="6" t="s">
        <v>19</v>
      </c>
      <c r="F433" s="6" t="s">
        <v>36</v>
      </c>
      <c r="G433" s="5">
        <v>53</v>
      </c>
      <c r="H433" s="8">
        <v>43701</v>
      </c>
      <c r="I433" s="6" t="s">
        <v>34</v>
      </c>
      <c r="J433" s="6" t="s">
        <v>22</v>
      </c>
    </row>
    <row r="434" spans="1:10" x14ac:dyDescent="0.3">
      <c r="A434" s="6" t="s">
        <v>478</v>
      </c>
      <c r="B434" s="6" t="s">
        <v>31</v>
      </c>
      <c r="C434" s="7">
        <v>28</v>
      </c>
      <c r="D434" s="5" t="s">
        <v>18</v>
      </c>
      <c r="E434" s="6" t="s">
        <v>13</v>
      </c>
      <c r="F434" s="6" t="s">
        <v>64</v>
      </c>
      <c r="G434" s="5">
        <v>13</v>
      </c>
      <c r="H434" s="8">
        <v>44876</v>
      </c>
      <c r="I434" s="6" t="s">
        <v>29</v>
      </c>
      <c r="J434" s="6" t="s">
        <v>22</v>
      </c>
    </row>
    <row r="435" spans="1:10" x14ac:dyDescent="0.3">
      <c r="A435" s="6" t="s">
        <v>479</v>
      </c>
      <c r="B435" s="6" t="s">
        <v>31</v>
      </c>
      <c r="C435" s="7">
        <v>38</v>
      </c>
      <c r="D435" s="5" t="s">
        <v>12</v>
      </c>
      <c r="E435" s="6" t="s">
        <v>13</v>
      </c>
      <c r="F435" s="6" t="s">
        <v>88</v>
      </c>
      <c r="G435" s="5">
        <v>7</v>
      </c>
      <c r="H435" s="8">
        <v>45054</v>
      </c>
      <c r="I435" s="6" t="s">
        <v>39</v>
      </c>
      <c r="J435" s="6" t="s">
        <v>16</v>
      </c>
    </row>
    <row r="436" spans="1:10" x14ac:dyDescent="0.3">
      <c r="A436" s="6" t="s">
        <v>480</v>
      </c>
      <c r="B436" s="6" t="s">
        <v>11</v>
      </c>
      <c r="C436" s="7">
        <v>26</v>
      </c>
      <c r="D436" s="5" t="s">
        <v>18</v>
      </c>
      <c r="E436" s="6" t="s">
        <v>13</v>
      </c>
      <c r="F436" s="6" t="s">
        <v>64</v>
      </c>
      <c r="G436" s="5">
        <v>25</v>
      </c>
      <c r="H436" s="8">
        <v>44533</v>
      </c>
      <c r="I436" s="6" t="s">
        <v>26</v>
      </c>
      <c r="J436" s="6" t="s">
        <v>22</v>
      </c>
    </row>
    <row r="437" spans="1:10" x14ac:dyDescent="0.3">
      <c r="A437" s="6" t="s">
        <v>481</v>
      </c>
      <c r="B437" s="6" t="s">
        <v>31</v>
      </c>
      <c r="C437" s="7">
        <v>37</v>
      </c>
      <c r="D437" s="5" t="s">
        <v>12</v>
      </c>
      <c r="E437" s="6" t="s">
        <v>13</v>
      </c>
      <c r="F437" s="6" t="s">
        <v>25</v>
      </c>
      <c r="G437" s="5">
        <v>57</v>
      </c>
      <c r="H437" s="8">
        <v>43562</v>
      </c>
      <c r="I437" s="6" t="s">
        <v>29</v>
      </c>
      <c r="J437" s="6" t="s">
        <v>27</v>
      </c>
    </row>
    <row r="438" spans="1:10" x14ac:dyDescent="0.3">
      <c r="A438" s="6" t="s">
        <v>482</v>
      </c>
      <c r="B438" s="6" t="s">
        <v>42</v>
      </c>
      <c r="C438" s="7">
        <v>29</v>
      </c>
      <c r="D438" s="5" t="s">
        <v>18</v>
      </c>
      <c r="E438" s="6" t="s">
        <v>19</v>
      </c>
      <c r="F438" s="6" t="s">
        <v>20</v>
      </c>
      <c r="G438" s="5">
        <v>21</v>
      </c>
      <c r="H438" s="8">
        <v>44661</v>
      </c>
      <c r="I438" s="6" t="s">
        <v>26</v>
      </c>
      <c r="J438" s="6" t="s">
        <v>27</v>
      </c>
    </row>
    <row r="439" spans="1:10" x14ac:dyDescent="0.3">
      <c r="A439" s="6" t="s">
        <v>483</v>
      </c>
      <c r="B439" s="6" t="s">
        <v>42</v>
      </c>
      <c r="C439" s="7">
        <v>31</v>
      </c>
      <c r="D439" s="5" t="s">
        <v>18</v>
      </c>
      <c r="E439" s="6" t="s">
        <v>13</v>
      </c>
      <c r="F439" s="6" t="s">
        <v>25</v>
      </c>
      <c r="G439" s="5">
        <v>3</v>
      </c>
      <c r="H439" s="8">
        <v>45195</v>
      </c>
      <c r="I439" s="6" t="s">
        <v>39</v>
      </c>
      <c r="J439" s="6" t="s">
        <v>27</v>
      </c>
    </row>
    <row r="440" spans="1:10" x14ac:dyDescent="0.3">
      <c r="A440" s="6" t="s">
        <v>484</v>
      </c>
      <c r="B440" s="6" t="s">
        <v>11</v>
      </c>
      <c r="C440" s="7">
        <v>43</v>
      </c>
      <c r="D440" s="5" t="s">
        <v>12</v>
      </c>
      <c r="E440" s="6" t="s">
        <v>19</v>
      </c>
      <c r="F440" s="6" t="s">
        <v>88</v>
      </c>
      <c r="G440" s="5">
        <v>33</v>
      </c>
      <c r="H440" s="8">
        <v>44300</v>
      </c>
      <c r="I440" s="6" t="s">
        <v>26</v>
      </c>
      <c r="J440" s="6" t="s">
        <v>27</v>
      </c>
    </row>
    <row r="441" spans="1:10" x14ac:dyDescent="0.3">
      <c r="A441" s="6" t="s">
        <v>485</v>
      </c>
      <c r="B441" s="6" t="s">
        <v>11</v>
      </c>
      <c r="C441" s="7">
        <v>36</v>
      </c>
      <c r="D441" s="5" t="s">
        <v>12</v>
      </c>
      <c r="E441" s="6" t="s">
        <v>13</v>
      </c>
      <c r="F441" s="6" t="s">
        <v>56</v>
      </c>
      <c r="G441" s="5">
        <v>24</v>
      </c>
      <c r="H441" s="8">
        <v>44548</v>
      </c>
      <c r="I441" s="6" t="s">
        <v>47</v>
      </c>
      <c r="J441" s="6" t="s">
        <v>22</v>
      </c>
    </row>
    <row r="442" spans="1:10" x14ac:dyDescent="0.3">
      <c r="A442" s="6" t="s">
        <v>486</v>
      </c>
      <c r="B442" s="6" t="s">
        <v>11</v>
      </c>
      <c r="C442" s="7">
        <v>18</v>
      </c>
      <c r="D442" s="5" t="s">
        <v>32</v>
      </c>
      <c r="E442" s="6" t="s">
        <v>19</v>
      </c>
      <c r="F442" s="6" t="s">
        <v>38</v>
      </c>
      <c r="G442" s="5">
        <v>60</v>
      </c>
      <c r="H442" s="8">
        <v>43483</v>
      </c>
      <c r="I442" s="6" t="s">
        <v>21</v>
      </c>
      <c r="J442" s="6" t="s">
        <v>16</v>
      </c>
    </row>
    <row r="443" spans="1:10" x14ac:dyDescent="0.3">
      <c r="A443" s="6" t="s">
        <v>487</v>
      </c>
      <c r="B443" s="6" t="s">
        <v>11</v>
      </c>
      <c r="C443" s="7">
        <v>43</v>
      </c>
      <c r="D443" s="5" t="s">
        <v>12</v>
      </c>
      <c r="E443" s="6" t="s">
        <v>105</v>
      </c>
      <c r="F443" s="6" t="s">
        <v>64</v>
      </c>
      <c r="G443" s="5">
        <v>39</v>
      </c>
      <c r="H443" s="8">
        <v>44094</v>
      </c>
      <c r="I443" s="6" t="s">
        <v>49</v>
      </c>
      <c r="J443" s="6" t="s">
        <v>27</v>
      </c>
    </row>
    <row r="444" spans="1:10" x14ac:dyDescent="0.3">
      <c r="A444" s="6" t="s">
        <v>488</v>
      </c>
      <c r="B444" s="6" t="s">
        <v>31</v>
      </c>
      <c r="C444" s="7">
        <v>24</v>
      </c>
      <c r="D444" s="5" t="s">
        <v>32</v>
      </c>
      <c r="E444" s="6" t="s">
        <v>19</v>
      </c>
      <c r="F444" s="6" t="s">
        <v>38</v>
      </c>
      <c r="G444" s="5">
        <v>58</v>
      </c>
      <c r="H444" s="8">
        <v>43541</v>
      </c>
      <c r="I444" s="6" t="s">
        <v>62</v>
      </c>
      <c r="J444" s="6" t="s">
        <v>16</v>
      </c>
    </row>
    <row r="445" spans="1:10" x14ac:dyDescent="0.3">
      <c r="A445" s="6" t="s">
        <v>489</v>
      </c>
      <c r="B445" s="6" t="s">
        <v>31</v>
      </c>
      <c r="C445" s="7">
        <v>25</v>
      </c>
      <c r="D445" s="5" t="s">
        <v>18</v>
      </c>
      <c r="E445" s="6" t="s">
        <v>19</v>
      </c>
      <c r="F445" s="6" t="s">
        <v>33</v>
      </c>
      <c r="G445" s="5">
        <v>33</v>
      </c>
      <c r="H445" s="8">
        <v>44289</v>
      </c>
      <c r="I445" s="6" t="s">
        <v>49</v>
      </c>
      <c r="J445" s="6" t="s">
        <v>16</v>
      </c>
    </row>
    <row r="446" spans="1:10" x14ac:dyDescent="0.3">
      <c r="A446" s="6" t="s">
        <v>490</v>
      </c>
      <c r="B446" s="6" t="s">
        <v>24</v>
      </c>
      <c r="C446" s="7">
        <v>33</v>
      </c>
      <c r="D446" s="5" t="s">
        <v>18</v>
      </c>
      <c r="E446" s="6" t="s">
        <v>19</v>
      </c>
      <c r="F446" s="6" t="s">
        <v>33</v>
      </c>
      <c r="G446" s="5">
        <v>13</v>
      </c>
      <c r="H446" s="8">
        <v>44893</v>
      </c>
      <c r="I446" s="6" t="s">
        <v>47</v>
      </c>
      <c r="J446" s="6" t="s">
        <v>27</v>
      </c>
    </row>
    <row r="447" spans="1:10" x14ac:dyDescent="0.3">
      <c r="A447" s="6" t="s">
        <v>491</v>
      </c>
      <c r="B447" s="6" t="s">
        <v>42</v>
      </c>
      <c r="C447" s="7">
        <v>49</v>
      </c>
      <c r="D447" s="5" t="s">
        <v>46</v>
      </c>
      <c r="E447" s="6" t="s">
        <v>19</v>
      </c>
      <c r="F447" s="6" t="s">
        <v>88</v>
      </c>
      <c r="G447" s="5">
        <v>50</v>
      </c>
      <c r="H447" s="8">
        <v>43774</v>
      </c>
      <c r="I447" s="6" t="s">
        <v>47</v>
      </c>
      <c r="J447" s="6" t="s">
        <v>27</v>
      </c>
    </row>
    <row r="448" spans="1:10" x14ac:dyDescent="0.3">
      <c r="A448" s="6" t="s">
        <v>492</v>
      </c>
      <c r="B448" s="6" t="s">
        <v>11</v>
      </c>
      <c r="C448" s="7">
        <v>32</v>
      </c>
      <c r="D448" s="5" t="s">
        <v>18</v>
      </c>
      <c r="E448" s="6" t="s">
        <v>19</v>
      </c>
      <c r="F448" s="6" t="s">
        <v>14</v>
      </c>
      <c r="G448" s="5">
        <v>57</v>
      </c>
      <c r="H448" s="8">
        <v>43576</v>
      </c>
      <c r="I448" s="6" t="s">
        <v>21</v>
      </c>
      <c r="J448" s="6" t="s">
        <v>27</v>
      </c>
    </row>
    <row r="449" spans="1:10" x14ac:dyDescent="0.3">
      <c r="A449" s="6" t="s">
        <v>493</v>
      </c>
      <c r="B449" s="6" t="s">
        <v>61</v>
      </c>
      <c r="C449" s="7">
        <v>27</v>
      </c>
      <c r="D449" s="5" t="s">
        <v>18</v>
      </c>
      <c r="E449" s="6" t="s">
        <v>13</v>
      </c>
      <c r="F449" s="6" t="s">
        <v>25</v>
      </c>
      <c r="G449" s="5">
        <v>14</v>
      </c>
      <c r="H449" s="8">
        <v>44849</v>
      </c>
      <c r="I449" s="6" t="s">
        <v>39</v>
      </c>
      <c r="J449" s="6" t="s">
        <v>16</v>
      </c>
    </row>
    <row r="450" spans="1:10" x14ac:dyDescent="0.3">
      <c r="A450" s="6" t="s">
        <v>494</v>
      </c>
      <c r="B450" s="6" t="s">
        <v>31</v>
      </c>
      <c r="C450" s="7">
        <v>23</v>
      </c>
      <c r="D450" s="5" t="s">
        <v>32</v>
      </c>
      <c r="E450" s="6" t="s">
        <v>19</v>
      </c>
      <c r="F450" s="6" t="s">
        <v>38</v>
      </c>
      <c r="G450" s="5">
        <v>28</v>
      </c>
      <c r="H450" s="8">
        <v>44429</v>
      </c>
      <c r="I450" s="6" t="s">
        <v>34</v>
      </c>
      <c r="J450" s="6" t="s">
        <v>22</v>
      </c>
    </row>
    <row r="451" spans="1:10" x14ac:dyDescent="0.3">
      <c r="A451" s="6" t="s">
        <v>495</v>
      </c>
      <c r="B451" s="6" t="s">
        <v>42</v>
      </c>
      <c r="C451" s="7">
        <v>18</v>
      </c>
      <c r="D451" s="5" t="s">
        <v>32</v>
      </c>
      <c r="E451" s="6" t="s">
        <v>19</v>
      </c>
      <c r="F451" s="6" t="s">
        <v>33</v>
      </c>
      <c r="G451" s="5">
        <v>18</v>
      </c>
      <c r="H451" s="8">
        <v>44747</v>
      </c>
      <c r="I451" s="6" t="s">
        <v>26</v>
      </c>
      <c r="J451" s="6" t="s">
        <v>22</v>
      </c>
    </row>
    <row r="452" spans="1:10" x14ac:dyDescent="0.3">
      <c r="A452" s="6" t="s">
        <v>496</v>
      </c>
      <c r="B452" s="6" t="s">
        <v>31</v>
      </c>
      <c r="C452" s="7">
        <v>26</v>
      </c>
      <c r="D452" s="5" t="s">
        <v>18</v>
      </c>
      <c r="E452" s="6" t="s">
        <v>13</v>
      </c>
      <c r="F452" s="6" t="s">
        <v>20</v>
      </c>
      <c r="G452" s="5">
        <v>19</v>
      </c>
      <c r="H452" s="8">
        <v>44700</v>
      </c>
      <c r="I452" s="6" t="s">
        <v>26</v>
      </c>
      <c r="J452" s="6" t="s">
        <v>27</v>
      </c>
    </row>
    <row r="453" spans="1:10" x14ac:dyDescent="0.3">
      <c r="A453" s="6" t="s">
        <v>497</v>
      </c>
      <c r="B453" s="6" t="s">
        <v>42</v>
      </c>
      <c r="C453" s="7">
        <v>36</v>
      </c>
      <c r="D453" s="5" t="s">
        <v>12</v>
      </c>
      <c r="E453" s="6" t="s">
        <v>19</v>
      </c>
      <c r="F453" s="6" t="s">
        <v>56</v>
      </c>
      <c r="G453" s="5">
        <v>33</v>
      </c>
      <c r="H453" s="8">
        <v>44289</v>
      </c>
      <c r="I453" s="6" t="s">
        <v>34</v>
      </c>
      <c r="J453" s="6" t="s">
        <v>22</v>
      </c>
    </row>
    <row r="454" spans="1:10" x14ac:dyDescent="0.3">
      <c r="A454" s="6" t="s">
        <v>498</v>
      </c>
      <c r="B454" s="6" t="s">
        <v>11</v>
      </c>
      <c r="C454" s="7">
        <v>48</v>
      </c>
      <c r="D454" s="5" t="s">
        <v>46</v>
      </c>
      <c r="E454" s="6" t="s">
        <v>13</v>
      </c>
      <c r="F454" s="6" t="s">
        <v>56</v>
      </c>
      <c r="G454" s="5">
        <v>56</v>
      </c>
      <c r="H454" s="8">
        <v>43599</v>
      </c>
      <c r="I454" s="6" t="s">
        <v>29</v>
      </c>
      <c r="J454" s="6" t="s">
        <v>27</v>
      </c>
    </row>
    <row r="455" spans="1:10" x14ac:dyDescent="0.3">
      <c r="A455" s="6" t="s">
        <v>499</v>
      </c>
      <c r="B455" s="6" t="s">
        <v>24</v>
      </c>
      <c r="C455" s="7">
        <v>36</v>
      </c>
      <c r="D455" s="5" t="s">
        <v>12</v>
      </c>
      <c r="E455" s="6" t="s">
        <v>19</v>
      </c>
      <c r="F455" s="6" t="s">
        <v>54</v>
      </c>
      <c r="G455" s="5">
        <v>30</v>
      </c>
      <c r="H455" s="8">
        <v>44364</v>
      </c>
      <c r="I455" s="6" t="s">
        <v>34</v>
      </c>
      <c r="J455" s="6" t="s">
        <v>22</v>
      </c>
    </row>
    <row r="456" spans="1:10" x14ac:dyDescent="0.3">
      <c r="A456" s="6" t="s">
        <v>500</v>
      </c>
      <c r="B456" s="6" t="s">
        <v>11</v>
      </c>
      <c r="C456" s="7">
        <v>40</v>
      </c>
      <c r="D456" s="5" t="s">
        <v>12</v>
      </c>
      <c r="E456" s="6" t="s">
        <v>19</v>
      </c>
      <c r="F456" s="6" t="s">
        <v>38</v>
      </c>
      <c r="G456" s="5">
        <v>57</v>
      </c>
      <c r="H456" s="8">
        <v>43574</v>
      </c>
      <c r="I456" s="6" t="s">
        <v>39</v>
      </c>
      <c r="J456" s="6" t="s">
        <v>22</v>
      </c>
    </row>
    <row r="457" spans="1:10" x14ac:dyDescent="0.3">
      <c r="A457" s="6" t="s">
        <v>501</v>
      </c>
      <c r="B457" s="6" t="s">
        <v>31</v>
      </c>
      <c r="C457" s="7">
        <v>30</v>
      </c>
      <c r="D457" s="5" t="s">
        <v>18</v>
      </c>
      <c r="E457" s="6" t="s">
        <v>13</v>
      </c>
      <c r="F457" s="6" t="s">
        <v>54</v>
      </c>
      <c r="G457" s="5">
        <v>1</v>
      </c>
      <c r="H457" s="8">
        <v>45256</v>
      </c>
      <c r="I457" s="6" t="s">
        <v>49</v>
      </c>
      <c r="J457" s="6" t="s">
        <v>16</v>
      </c>
    </row>
    <row r="458" spans="1:10" x14ac:dyDescent="0.3">
      <c r="A458" s="6" t="s">
        <v>502</v>
      </c>
      <c r="B458" s="6" t="s">
        <v>24</v>
      </c>
      <c r="C458" s="7">
        <v>38</v>
      </c>
      <c r="D458" s="5" t="s">
        <v>12</v>
      </c>
      <c r="E458" s="6" t="s">
        <v>13</v>
      </c>
      <c r="F458" s="6" t="s">
        <v>54</v>
      </c>
      <c r="G458" s="5">
        <v>18</v>
      </c>
      <c r="H458" s="8">
        <v>44729</v>
      </c>
      <c r="I458" s="6" t="s">
        <v>39</v>
      </c>
      <c r="J458" s="6" t="s">
        <v>22</v>
      </c>
    </row>
    <row r="459" spans="1:10" x14ac:dyDescent="0.3">
      <c r="A459" s="6" t="s">
        <v>503</v>
      </c>
      <c r="B459" s="6" t="s">
        <v>61</v>
      </c>
      <c r="C459" s="7">
        <v>29</v>
      </c>
      <c r="D459" s="5" t="s">
        <v>18</v>
      </c>
      <c r="E459" s="6" t="s">
        <v>19</v>
      </c>
      <c r="F459" s="6" t="s">
        <v>88</v>
      </c>
      <c r="G459" s="5">
        <v>43</v>
      </c>
      <c r="H459" s="8">
        <v>43979</v>
      </c>
      <c r="I459" s="6" t="s">
        <v>15</v>
      </c>
      <c r="J459" s="6" t="s">
        <v>65</v>
      </c>
    </row>
    <row r="460" spans="1:10" x14ac:dyDescent="0.3">
      <c r="A460" s="6" t="s">
        <v>504</v>
      </c>
      <c r="B460" s="6" t="s">
        <v>31</v>
      </c>
      <c r="C460" s="7">
        <v>28</v>
      </c>
      <c r="D460" s="5" t="s">
        <v>18</v>
      </c>
      <c r="E460" s="6" t="s">
        <v>19</v>
      </c>
      <c r="F460" s="6" t="s">
        <v>25</v>
      </c>
      <c r="G460" s="5">
        <v>50</v>
      </c>
      <c r="H460" s="8">
        <v>43791</v>
      </c>
      <c r="I460" s="6" t="s">
        <v>62</v>
      </c>
      <c r="J460" s="6" t="s">
        <v>27</v>
      </c>
    </row>
    <row r="461" spans="1:10" x14ac:dyDescent="0.3">
      <c r="A461" s="6" t="s">
        <v>505</v>
      </c>
      <c r="B461" s="6" t="s">
        <v>11</v>
      </c>
      <c r="C461" s="7">
        <v>32</v>
      </c>
      <c r="D461" s="5" t="s">
        <v>18</v>
      </c>
      <c r="E461" s="6" t="s">
        <v>13</v>
      </c>
      <c r="F461" s="6" t="s">
        <v>64</v>
      </c>
      <c r="G461" s="5">
        <v>59</v>
      </c>
      <c r="H461" s="8">
        <v>43509</v>
      </c>
      <c r="I461" s="6" t="s">
        <v>15</v>
      </c>
      <c r="J461" s="6" t="s">
        <v>27</v>
      </c>
    </row>
    <row r="462" spans="1:10" x14ac:dyDescent="0.3">
      <c r="A462" s="6" t="s">
        <v>506</v>
      </c>
      <c r="B462" s="6" t="s">
        <v>24</v>
      </c>
      <c r="C462" s="7">
        <v>36</v>
      </c>
      <c r="D462" s="5" t="s">
        <v>12</v>
      </c>
      <c r="E462" s="6" t="s">
        <v>13</v>
      </c>
      <c r="F462" s="6" t="s">
        <v>88</v>
      </c>
      <c r="G462" s="5">
        <v>47</v>
      </c>
      <c r="H462" s="8">
        <v>43861</v>
      </c>
      <c r="I462" s="6" t="s">
        <v>26</v>
      </c>
      <c r="J462" s="6" t="s">
        <v>16</v>
      </c>
    </row>
    <row r="463" spans="1:10" x14ac:dyDescent="0.3">
      <c r="A463" s="6" t="s">
        <v>507</v>
      </c>
      <c r="B463" s="6" t="s">
        <v>31</v>
      </c>
      <c r="C463" s="7">
        <v>29</v>
      </c>
      <c r="D463" s="5" t="s">
        <v>18</v>
      </c>
      <c r="E463" s="6" t="s">
        <v>13</v>
      </c>
      <c r="F463" s="6" t="s">
        <v>56</v>
      </c>
      <c r="G463" s="5">
        <v>17</v>
      </c>
      <c r="H463" s="8">
        <v>44782</v>
      </c>
      <c r="I463" s="6" t="s">
        <v>26</v>
      </c>
      <c r="J463" s="6" t="s">
        <v>65</v>
      </c>
    </row>
    <row r="464" spans="1:10" x14ac:dyDescent="0.3">
      <c r="A464" s="6" t="s">
        <v>508</v>
      </c>
      <c r="B464" s="6" t="s">
        <v>61</v>
      </c>
      <c r="C464" s="7">
        <v>33</v>
      </c>
      <c r="D464" s="5" t="s">
        <v>18</v>
      </c>
      <c r="E464" s="6" t="s">
        <v>19</v>
      </c>
      <c r="F464" s="6" t="s">
        <v>54</v>
      </c>
      <c r="G464" s="5">
        <v>39</v>
      </c>
      <c r="H464" s="8">
        <v>44117</v>
      </c>
      <c r="I464" s="6" t="s">
        <v>47</v>
      </c>
      <c r="J464" s="6" t="s">
        <v>27</v>
      </c>
    </row>
    <row r="465" spans="1:10" x14ac:dyDescent="0.3">
      <c r="A465" s="6" t="s">
        <v>509</v>
      </c>
      <c r="B465" s="6" t="s">
        <v>24</v>
      </c>
      <c r="C465" s="7">
        <v>25</v>
      </c>
      <c r="D465" s="5" t="s">
        <v>18</v>
      </c>
      <c r="E465" s="6" t="s">
        <v>105</v>
      </c>
      <c r="F465" s="6" t="s">
        <v>36</v>
      </c>
      <c r="G465" s="5">
        <v>60</v>
      </c>
      <c r="H465" s="8">
        <v>43477</v>
      </c>
      <c r="I465" s="6" t="s">
        <v>21</v>
      </c>
      <c r="J465" s="6" t="s">
        <v>22</v>
      </c>
    </row>
    <row r="466" spans="1:10" x14ac:dyDescent="0.3">
      <c r="A466" s="6" t="s">
        <v>510</v>
      </c>
      <c r="B466" s="6" t="s">
        <v>11</v>
      </c>
      <c r="C466" s="7">
        <v>24</v>
      </c>
      <c r="D466" s="5" t="s">
        <v>32</v>
      </c>
      <c r="E466" s="6" t="s">
        <v>13</v>
      </c>
      <c r="F466" s="6" t="s">
        <v>54</v>
      </c>
      <c r="G466" s="5">
        <v>38</v>
      </c>
      <c r="H466" s="8">
        <v>44124</v>
      </c>
      <c r="I466" s="6" t="s">
        <v>26</v>
      </c>
      <c r="J466" s="6" t="s">
        <v>16</v>
      </c>
    </row>
    <row r="467" spans="1:10" x14ac:dyDescent="0.3">
      <c r="A467" s="6" t="s">
        <v>511</v>
      </c>
      <c r="B467" s="6" t="s">
        <v>24</v>
      </c>
      <c r="C467" s="7">
        <v>43</v>
      </c>
      <c r="D467" s="5" t="s">
        <v>12</v>
      </c>
      <c r="E467" s="6" t="s">
        <v>105</v>
      </c>
      <c r="F467" s="6" t="s">
        <v>33</v>
      </c>
      <c r="G467" s="5">
        <v>34</v>
      </c>
      <c r="H467" s="8">
        <v>44269</v>
      </c>
      <c r="I467" s="6" t="s">
        <v>26</v>
      </c>
      <c r="J467" s="6" t="s">
        <v>27</v>
      </c>
    </row>
    <row r="468" spans="1:10" x14ac:dyDescent="0.3">
      <c r="A468" s="6" t="s">
        <v>512</v>
      </c>
      <c r="B468" s="6" t="s">
        <v>11</v>
      </c>
      <c r="C468" s="7">
        <v>44</v>
      </c>
      <c r="D468" s="5" t="s">
        <v>12</v>
      </c>
      <c r="E468" s="6" t="s">
        <v>19</v>
      </c>
      <c r="F468" s="6" t="s">
        <v>20</v>
      </c>
      <c r="G468" s="5">
        <v>40</v>
      </c>
      <c r="H468" s="8">
        <v>44067</v>
      </c>
      <c r="I468" s="6" t="s">
        <v>47</v>
      </c>
      <c r="J468" s="6" t="s">
        <v>27</v>
      </c>
    </row>
    <row r="469" spans="1:10" x14ac:dyDescent="0.3">
      <c r="A469" s="6" t="s">
        <v>513</v>
      </c>
      <c r="B469" s="6" t="s">
        <v>24</v>
      </c>
      <c r="C469" s="7">
        <v>31</v>
      </c>
      <c r="D469" s="5" t="s">
        <v>18</v>
      </c>
      <c r="E469" s="6" t="s">
        <v>19</v>
      </c>
      <c r="F469" s="6" t="s">
        <v>38</v>
      </c>
      <c r="G469" s="5">
        <v>58</v>
      </c>
      <c r="H469" s="8">
        <v>43548</v>
      </c>
      <c r="I469" s="6" t="s">
        <v>34</v>
      </c>
      <c r="J469" s="6" t="s">
        <v>16</v>
      </c>
    </row>
    <row r="470" spans="1:10" x14ac:dyDescent="0.3">
      <c r="A470" s="6" t="s">
        <v>514</v>
      </c>
      <c r="B470" s="6" t="s">
        <v>24</v>
      </c>
      <c r="C470" s="7">
        <v>31</v>
      </c>
      <c r="D470" s="5" t="s">
        <v>18</v>
      </c>
      <c r="E470" s="6" t="s">
        <v>19</v>
      </c>
      <c r="F470" s="6" t="s">
        <v>88</v>
      </c>
      <c r="G470" s="5">
        <v>9</v>
      </c>
      <c r="H470" s="8">
        <v>44998</v>
      </c>
      <c r="I470" s="6" t="s">
        <v>15</v>
      </c>
      <c r="J470" s="6" t="s">
        <v>22</v>
      </c>
    </row>
    <row r="471" spans="1:10" x14ac:dyDescent="0.3">
      <c r="A471" s="6" t="s">
        <v>515</v>
      </c>
      <c r="B471" s="6" t="s">
        <v>42</v>
      </c>
      <c r="C471" s="7">
        <v>28</v>
      </c>
      <c r="D471" s="5" t="s">
        <v>18</v>
      </c>
      <c r="E471" s="6" t="s">
        <v>13</v>
      </c>
      <c r="F471" s="6" t="s">
        <v>20</v>
      </c>
      <c r="G471" s="5">
        <v>12</v>
      </c>
      <c r="H471" s="8">
        <v>44929</v>
      </c>
      <c r="I471" s="6" t="s">
        <v>49</v>
      </c>
      <c r="J471" s="6" t="s">
        <v>22</v>
      </c>
    </row>
    <row r="472" spans="1:10" x14ac:dyDescent="0.3">
      <c r="A472" s="6" t="s">
        <v>516</v>
      </c>
      <c r="B472" s="6" t="s">
        <v>11</v>
      </c>
      <c r="C472" s="7">
        <v>44</v>
      </c>
      <c r="D472" s="5" t="s">
        <v>12</v>
      </c>
      <c r="E472" s="6" t="s">
        <v>13</v>
      </c>
      <c r="F472" s="6" t="s">
        <v>38</v>
      </c>
      <c r="G472" s="5">
        <v>57</v>
      </c>
      <c r="H472" s="8">
        <v>43558</v>
      </c>
      <c r="I472" s="6" t="s">
        <v>34</v>
      </c>
      <c r="J472" s="6" t="s">
        <v>27</v>
      </c>
    </row>
    <row r="473" spans="1:10" x14ac:dyDescent="0.3">
      <c r="A473" s="6" t="s">
        <v>517</v>
      </c>
      <c r="B473" s="6" t="s">
        <v>24</v>
      </c>
      <c r="C473" s="7">
        <v>41</v>
      </c>
      <c r="D473" s="5" t="s">
        <v>12</v>
      </c>
      <c r="E473" s="6" t="s">
        <v>13</v>
      </c>
      <c r="F473" s="6" t="s">
        <v>56</v>
      </c>
      <c r="G473" s="5">
        <v>32</v>
      </c>
      <c r="H473" s="8">
        <v>44313</v>
      </c>
      <c r="I473" s="6" t="s">
        <v>15</v>
      </c>
      <c r="J473" s="6" t="s">
        <v>27</v>
      </c>
    </row>
    <row r="474" spans="1:10" x14ac:dyDescent="0.3">
      <c r="A474" s="6" t="s">
        <v>518</v>
      </c>
      <c r="B474" s="6" t="s">
        <v>31</v>
      </c>
      <c r="C474" s="7">
        <v>35</v>
      </c>
      <c r="D474" s="5" t="s">
        <v>12</v>
      </c>
      <c r="E474" s="6" t="s">
        <v>13</v>
      </c>
      <c r="F474" s="6" t="s">
        <v>14</v>
      </c>
      <c r="G474" s="5">
        <v>58</v>
      </c>
      <c r="H474" s="8">
        <v>43539</v>
      </c>
      <c r="I474" s="6" t="s">
        <v>15</v>
      </c>
      <c r="J474" s="6" t="s">
        <v>27</v>
      </c>
    </row>
    <row r="475" spans="1:10" x14ac:dyDescent="0.3">
      <c r="A475" s="6" t="s">
        <v>519</v>
      </c>
      <c r="B475" s="6" t="s">
        <v>42</v>
      </c>
      <c r="C475" s="7">
        <v>28</v>
      </c>
      <c r="D475" s="5" t="s">
        <v>18</v>
      </c>
      <c r="E475" s="6" t="s">
        <v>13</v>
      </c>
      <c r="F475" s="6" t="s">
        <v>88</v>
      </c>
      <c r="G475" s="5">
        <v>6</v>
      </c>
      <c r="H475" s="8">
        <v>45095</v>
      </c>
      <c r="I475" s="6" t="s">
        <v>62</v>
      </c>
      <c r="J475" s="6" t="s">
        <v>16</v>
      </c>
    </row>
    <row r="476" spans="1:10" x14ac:dyDescent="0.3">
      <c r="A476" s="6" t="s">
        <v>520</v>
      </c>
      <c r="B476" s="6" t="s">
        <v>24</v>
      </c>
      <c r="C476" s="7">
        <v>24</v>
      </c>
      <c r="D476" s="5" t="s">
        <v>32</v>
      </c>
      <c r="E476" s="6" t="s">
        <v>19</v>
      </c>
      <c r="F476" s="6" t="s">
        <v>88</v>
      </c>
      <c r="G476" s="5">
        <v>56</v>
      </c>
      <c r="H476" s="8">
        <v>43608</v>
      </c>
      <c r="I476" s="6" t="s">
        <v>21</v>
      </c>
      <c r="J476" s="6" t="s">
        <v>27</v>
      </c>
    </row>
    <row r="477" spans="1:10" x14ac:dyDescent="0.3">
      <c r="A477" s="6" t="s">
        <v>521</v>
      </c>
      <c r="B477" s="6" t="s">
        <v>31</v>
      </c>
      <c r="C477" s="7">
        <v>28</v>
      </c>
      <c r="D477" s="5" t="s">
        <v>18</v>
      </c>
      <c r="E477" s="6" t="s">
        <v>13</v>
      </c>
      <c r="F477" s="6" t="s">
        <v>54</v>
      </c>
      <c r="G477" s="5">
        <v>45</v>
      </c>
      <c r="H477" s="8">
        <v>43919</v>
      </c>
      <c r="I477" s="6" t="s">
        <v>26</v>
      </c>
      <c r="J477" s="6" t="s">
        <v>27</v>
      </c>
    </row>
    <row r="478" spans="1:10" x14ac:dyDescent="0.3">
      <c r="A478" s="6" t="s">
        <v>522</v>
      </c>
      <c r="B478" s="6" t="s">
        <v>24</v>
      </c>
      <c r="C478" s="7">
        <v>29</v>
      </c>
      <c r="D478" s="5" t="s">
        <v>18</v>
      </c>
      <c r="E478" s="6" t="s">
        <v>13</v>
      </c>
      <c r="F478" s="6" t="s">
        <v>54</v>
      </c>
      <c r="G478" s="5">
        <v>10</v>
      </c>
      <c r="H478" s="8">
        <v>44986</v>
      </c>
      <c r="I478" s="6" t="s">
        <v>47</v>
      </c>
      <c r="J478" s="6" t="s">
        <v>16</v>
      </c>
    </row>
    <row r="479" spans="1:10" x14ac:dyDescent="0.3">
      <c r="A479" s="6" t="s">
        <v>523</v>
      </c>
      <c r="B479" s="6" t="s">
        <v>42</v>
      </c>
      <c r="C479" s="7">
        <v>18</v>
      </c>
      <c r="D479" s="5" t="s">
        <v>32</v>
      </c>
      <c r="E479" s="6" t="s">
        <v>13</v>
      </c>
      <c r="F479" s="6" t="s">
        <v>14</v>
      </c>
      <c r="G479" s="5">
        <v>53</v>
      </c>
      <c r="H479" s="8">
        <v>43686</v>
      </c>
      <c r="I479" s="6" t="s">
        <v>26</v>
      </c>
      <c r="J479" s="6" t="s">
        <v>16</v>
      </c>
    </row>
    <row r="480" spans="1:10" x14ac:dyDescent="0.3">
      <c r="A480" s="6" t="s">
        <v>524</v>
      </c>
      <c r="B480" s="6" t="s">
        <v>31</v>
      </c>
      <c r="C480" s="7">
        <v>32</v>
      </c>
      <c r="D480" s="5" t="s">
        <v>18</v>
      </c>
      <c r="E480" s="6" t="s">
        <v>19</v>
      </c>
      <c r="F480" s="6" t="s">
        <v>64</v>
      </c>
      <c r="G480" s="5">
        <v>4</v>
      </c>
      <c r="H480" s="8">
        <v>45158</v>
      </c>
      <c r="I480" s="6" t="s">
        <v>34</v>
      </c>
      <c r="J480" s="6" t="s">
        <v>16</v>
      </c>
    </row>
    <row r="481" spans="1:10" x14ac:dyDescent="0.3">
      <c r="A481" s="6" t="s">
        <v>525</v>
      </c>
      <c r="B481" s="6" t="s">
        <v>24</v>
      </c>
      <c r="C481" s="7">
        <v>41</v>
      </c>
      <c r="D481" s="5" t="s">
        <v>12</v>
      </c>
      <c r="E481" s="6" t="s">
        <v>19</v>
      </c>
      <c r="F481" s="6" t="s">
        <v>36</v>
      </c>
      <c r="G481" s="5">
        <v>16</v>
      </c>
      <c r="H481" s="8">
        <v>44788</v>
      </c>
      <c r="I481" s="6" t="s">
        <v>47</v>
      </c>
      <c r="J481" s="6" t="s">
        <v>27</v>
      </c>
    </row>
    <row r="482" spans="1:10" x14ac:dyDescent="0.3">
      <c r="A482" s="6" t="s">
        <v>526</v>
      </c>
      <c r="B482" s="6" t="s">
        <v>24</v>
      </c>
      <c r="C482" s="7">
        <v>28</v>
      </c>
      <c r="D482" s="5" t="s">
        <v>18</v>
      </c>
      <c r="E482" s="6" t="s">
        <v>13</v>
      </c>
      <c r="F482" s="6" t="s">
        <v>54</v>
      </c>
      <c r="G482" s="5">
        <v>20</v>
      </c>
      <c r="H482" s="8">
        <v>44673</v>
      </c>
      <c r="I482" s="6" t="s">
        <v>15</v>
      </c>
      <c r="J482" s="6" t="s">
        <v>27</v>
      </c>
    </row>
    <row r="483" spans="1:10" x14ac:dyDescent="0.3">
      <c r="A483" s="6" t="s">
        <v>527</v>
      </c>
      <c r="B483" s="6" t="s">
        <v>61</v>
      </c>
      <c r="C483" s="7">
        <v>40</v>
      </c>
      <c r="D483" s="5" t="s">
        <v>12</v>
      </c>
      <c r="E483" s="6" t="s">
        <v>19</v>
      </c>
      <c r="F483" s="6" t="s">
        <v>56</v>
      </c>
      <c r="G483" s="5">
        <v>55</v>
      </c>
      <c r="H483" s="8">
        <v>43632</v>
      </c>
      <c r="I483" s="6" t="s">
        <v>26</v>
      </c>
      <c r="J483" s="6" t="s">
        <v>22</v>
      </c>
    </row>
    <row r="484" spans="1:10" x14ac:dyDescent="0.3">
      <c r="A484" s="6" t="s">
        <v>528</v>
      </c>
      <c r="B484" s="6" t="s">
        <v>42</v>
      </c>
      <c r="C484" s="7">
        <v>24</v>
      </c>
      <c r="D484" s="5" t="s">
        <v>32</v>
      </c>
      <c r="E484" s="6" t="s">
        <v>19</v>
      </c>
      <c r="F484" s="6" t="s">
        <v>36</v>
      </c>
      <c r="G484" s="5">
        <v>21</v>
      </c>
      <c r="H484" s="8">
        <v>44641</v>
      </c>
      <c r="I484" s="6" t="s">
        <v>15</v>
      </c>
      <c r="J484" s="6" t="s">
        <v>16</v>
      </c>
    </row>
    <row r="485" spans="1:10" x14ac:dyDescent="0.3">
      <c r="A485" s="6" t="s">
        <v>529</v>
      </c>
      <c r="B485" s="6" t="s">
        <v>31</v>
      </c>
      <c r="C485" s="7">
        <v>18</v>
      </c>
      <c r="D485" s="5" t="s">
        <v>32</v>
      </c>
      <c r="E485" s="6" t="s">
        <v>13</v>
      </c>
      <c r="F485" s="6" t="s">
        <v>14</v>
      </c>
      <c r="G485" s="5">
        <v>24</v>
      </c>
      <c r="H485" s="8">
        <v>44566</v>
      </c>
      <c r="I485" s="6" t="s">
        <v>34</v>
      </c>
      <c r="J485" s="6" t="s">
        <v>22</v>
      </c>
    </row>
    <row r="486" spans="1:10" x14ac:dyDescent="0.3">
      <c r="A486" s="6" t="s">
        <v>530</v>
      </c>
      <c r="B486" s="6" t="s">
        <v>24</v>
      </c>
      <c r="C486" s="7">
        <v>26</v>
      </c>
      <c r="D486" s="5" t="s">
        <v>18</v>
      </c>
      <c r="E486" s="6" t="s">
        <v>13</v>
      </c>
      <c r="F486" s="6" t="s">
        <v>38</v>
      </c>
      <c r="G486" s="5">
        <v>8</v>
      </c>
      <c r="H486" s="8">
        <v>45046</v>
      </c>
      <c r="I486" s="6" t="s">
        <v>29</v>
      </c>
      <c r="J486" s="6" t="s">
        <v>22</v>
      </c>
    </row>
    <row r="487" spans="1:10" x14ac:dyDescent="0.3">
      <c r="A487" s="6" t="s">
        <v>531</v>
      </c>
      <c r="B487" s="6" t="s">
        <v>24</v>
      </c>
      <c r="C487" s="7">
        <v>30</v>
      </c>
      <c r="D487" s="5" t="s">
        <v>18</v>
      </c>
      <c r="E487" s="6" t="s">
        <v>19</v>
      </c>
      <c r="F487" s="6" t="s">
        <v>54</v>
      </c>
      <c r="G487" s="5">
        <v>45</v>
      </c>
      <c r="H487" s="8">
        <v>43937</v>
      </c>
      <c r="I487" s="6" t="s">
        <v>34</v>
      </c>
      <c r="J487" s="6" t="s">
        <v>27</v>
      </c>
    </row>
    <row r="488" spans="1:10" x14ac:dyDescent="0.3">
      <c r="A488" s="6" t="s">
        <v>532</v>
      </c>
      <c r="B488" s="6" t="s">
        <v>31</v>
      </c>
      <c r="C488" s="7">
        <v>18</v>
      </c>
      <c r="D488" s="5" t="s">
        <v>32</v>
      </c>
      <c r="E488" s="6" t="s">
        <v>13</v>
      </c>
      <c r="F488" s="6" t="s">
        <v>64</v>
      </c>
      <c r="G488" s="5">
        <v>25</v>
      </c>
      <c r="H488" s="8">
        <v>44524</v>
      </c>
      <c r="I488" s="6" t="s">
        <v>15</v>
      </c>
      <c r="J488" s="6" t="s">
        <v>16</v>
      </c>
    </row>
    <row r="489" spans="1:10" x14ac:dyDescent="0.3">
      <c r="A489" s="6" t="s">
        <v>533</v>
      </c>
      <c r="B489" s="6" t="s">
        <v>11</v>
      </c>
      <c r="C489" s="7">
        <v>26</v>
      </c>
      <c r="D489" s="5" t="s">
        <v>18</v>
      </c>
      <c r="E489" s="6" t="s">
        <v>19</v>
      </c>
      <c r="F489" s="6" t="s">
        <v>36</v>
      </c>
      <c r="G489" s="5">
        <v>10</v>
      </c>
      <c r="H489" s="8">
        <v>44964</v>
      </c>
      <c r="I489" s="6" t="s">
        <v>47</v>
      </c>
      <c r="J489" s="6" t="s">
        <v>22</v>
      </c>
    </row>
    <row r="490" spans="1:10" x14ac:dyDescent="0.3">
      <c r="A490" s="6" t="s">
        <v>534</v>
      </c>
      <c r="B490" s="6" t="s">
        <v>11</v>
      </c>
      <c r="C490" s="7">
        <v>18</v>
      </c>
      <c r="D490" s="5" t="s">
        <v>32</v>
      </c>
      <c r="E490" s="6" t="s">
        <v>19</v>
      </c>
      <c r="F490" s="6" t="s">
        <v>25</v>
      </c>
      <c r="G490" s="5">
        <v>44</v>
      </c>
      <c r="H490" s="8">
        <v>43969</v>
      </c>
      <c r="I490" s="6" t="s">
        <v>62</v>
      </c>
      <c r="J490" s="6" t="s">
        <v>65</v>
      </c>
    </row>
    <row r="491" spans="1:10" x14ac:dyDescent="0.3">
      <c r="A491" s="6" t="s">
        <v>535</v>
      </c>
      <c r="B491" s="6" t="s">
        <v>24</v>
      </c>
      <c r="C491" s="7">
        <v>24</v>
      </c>
      <c r="D491" s="5" t="s">
        <v>32</v>
      </c>
      <c r="E491" s="6" t="s">
        <v>19</v>
      </c>
      <c r="F491" s="6" t="s">
        <v>64</v>
      </c>
      <c r="G491" s="5">
        <v>31</v>
      </c>
      <c r="H491" s="8">
        <v>44349</v>
      </c>
      <c r="I491" s="6" t="s">
        <v>15</v>
      </c>
      <c r="J491" s="6" t="s">
        <v>22</v>
      </c>
    </row>
    <row r="492" spans="1:10" x14ac:dyDescent="0.3">
      <c r="A492" s="6" t="s">
        <v>536</v>
      </c>
      <c r="B492" s="6" t="s">
        <v>24</v>
      </c>
      <c r="C492" s="7">
        <v>36</v>
      </c>
      <c r="D492" s="5" t="s">
        <v>12</v>
      </c>
      <c r="E492" s="6" t="s">
        <v>19</v>
      </c>
      <c r="F492" s="6" t="s">
        <v>54</v>
      </c>
      <c r="G492" s="5">
        <v>36</v>
      </c>
      <c r="H492" s="8">
        <v>44197</v>
      </c>
      <c r="I492" s="6" t="s">
        <v>62</v>
      </c>
      <c r="J492" s="6" t="s">
        <v>16</v>
      </c>
    </row>
    <row r="493" spans="1:10" x14ac:dyDescent="0.3">
      <c r="A493" s="6" t="s">
        <v>537</v>
      </c>
      <c r="B493" s="6" t="s">
        <v>42</v>
      </c>
      <c r="C493" s="7">
        <v>28</v>
      </c>
      <c r="D493" s="5" t="s">
        <v>18</v>
      </c>
      <c r="E493" s="6" t="s">
        <v>13</v>
      </c>
      <c r="F493" s="6" t="s">
        <v>64</v>
      </c>
      <c r="G493" s="5">
        <v>35</v>
      </c>
      <c r="H493" s="8">
        <v>44228</v>
      </c>
      <c r="I493" s="6" t="s">
        <v>29</v>
      </c>
      <c r="J493" s="6" t="s">
        <v>22</v>
      </c>
    </row>
    <row r="494" spans="1:10" x14ac:dyDescent="0.3">
      <c r="A494" s="6" t="s">
        <v>538</v>
      </c>
      <c r="B494" s="6" t="s">
        <v>24</v>
      </c>
      <c r="C494" s="7">
        <v>22</v>
      </c>
      <c r="D494" s="5" t="s">
        <v>32</v>
      </c>
      <c r="E494" s="6" t="s">
        <v>13</v>
      </c>
      <c r="F494" s="6" t="s">
        <v>88</v>
      </c>
      <c r="G494" s="5">
        <v>39</v>
      </c>
      <c r="H494" s="8">
        <v>44104</v>
      </c>
      <c r="I494" s="6" t="s">
        <v>62</v>
      </c>
      <c r="J494" s="6" t="s">
        <v>22</v>
      </c>
    </row>
    <row r="495" spans="1:10" x14ac:dyDescent="0.3">
      <c r="A495" s="6" t="s">
        <v>539</v>
      </c>
      <c r="B495" s="6" t="s">
        <v>24</v>
      </c>
      <c r="C495" s="7">
        <v>41</v>
      </c>
      <c r="D495" s="5" t="s">
        <v>12</v>
      </c>
      <c r="E495" s="6" t="s">
        <v>19</v>
      </c>
      <c r="F495" s="6" t="s">
        <v>56</v>
      </c>
      <c r="G495" s="5">
        <v>32</v>
      </c>
      <c r="H495" s="8">
        <v>44332</v>
      </c>
      <c r="I495" s="6" t="s">
        <v>29</v>
      </c>
      <c r="J495" s="6" t="s">
        <v>16</v>
      </c>
    </row>
    <row r="496" spans="1:10" x14ac:dyDescent="0.3">
      <c r="A496" s="6" t="s">
        <v>540</v>
      </c>
      <c r="B496" s="6" t="s">
        <v>11</v>
      </c>
      <c r="C496" s="7">
        <v>44</v>
      </c>
      <c r="D496" s="5" t="s">
        <v>12</v>
      </c>
      <c r="E496" s="6" t="s">
        <v>19</v>
      </c>
      <c r="F496" s="6" t="s">
        <v>64</v>
      </c>
      <c r="G496" s="5">
        <v>60</v>
      </c>
      <c r="H496" s="8">
        <v>43477</v>
      </c>
      <c r="I496" s="6" t="s">
        <v>21</v>
      </c>
      <c r="J496" s="6" t="s">
        <v>27</v>
      </c>
    </row>
    <row r="497" spans="1:10" x14ac:dyDescent="0.3">
      <c r="A497" s="6" t="s">
        <v>541</v>
      </c>
      <c r="B497" s="6" t="s">
        <v>11</v>
      </c>
      <c r="C497" s="7">
        <v>23</v>
      </c>
      <c r="D497" s="5" t="s">
        <v>32</v>
      </c>
      <c r="E497" s="6" t="s">
        <v>13</v>
      </c>
      <c r="F497" s="6" t="s">
        <v>33</v>
      </c>
      <c r="G497" s="5">
        <v>59</v>
      </c>
      <c r="H497" s="8">
        <v>43495</v>
      </c>
      <c r="I497" s="6" t="s">
        <v>62</v>
      </c>
      <c r="J497" s="6" t="s">
        <v>16</v>
      </c>
    </row>
    <row r="498" spans="1:10" x14ac:dyDescent="0.3">
      <c r="A498" s="6" t="s">
        <v>542</v>
      </c>
      <c r="B498" s="6" t="s">
        <v>31</v>
      </c>
      <c r="C498" s="7">
        <v>25</v>
      </c>
      <c r="D498" s="5" t="s">
        <v>18</v>
      </c>
      <c r="E498" s="6" t="s">
        <v>13</v>
      </c>
      <c r="F498" s="6" t="s">
        <v>56</v>
      </c>
      <c r="G498" s="5">
        <v>21</v>
      </c>
      <c r="H498" s="8">
        <v>44638</v>
      </c>
      <c r="I498" s="6" t="s">
        <v>34</v>
      </c>
      <c r="J498" s="6" t="s">
        <v>27</v>
      </c>
    </row>
    <row r="499" spans="1:10" x14ac:dyDescent="0.3">
      <c r="A499" s="6" t="s">
        <v>543</v>
      </c>
      <c r="B499" s="6" t="s">
        <v>24</v>
      </c>
      <c r="C499" s="7">
        <v>36</v>
      </c>
      <c r="D499" s="5" t="s">
        <v>12</v>
      </c>
      <c r="E499" s="6" t="s">
        <v>13</v>
      </c>
      <c r="F499" s="6" t="s">
        <v>56</v>
      </c>
      <c r="G499" s="5">
        <v>5</v>
      </c>
      <c r="H499" s="8">
        <v>45124</v>
      </c>
      <c r="I499" s="6" t="s">
        <v>47</v>
      </c>
      <c r="J499" s="6" t="s">
        <v>27</v>
      </c>
    </row>
    <row r="500" spans="1:10" x14ac:dyDescent="0.3">
      <c r="A500" s="6" t="s">
        <v>544</v>
      </c>
      <c r="B500" s="6" t="s">
        <v>42</v>
      </c>
      <c r="C500" s="7">
        <v>18</v>
      </c>
      <c r="D500" s="5" t="s">
        <v>32</v>
      </c>
      <c r="E500" s="6" t="s">
        <v>19</v>
      </c>
      <c r="F500" s="6" t="s">
        <v>54</v>
      </c>
      <c r="G500" s="5">
        <v>60</v>
      </c>
      <c r="H500" s="8">
        <v>43488</v>
      </c>
      <c r="I500" s="6" t="s">
        <v>34</v>
      </c>
      <c r="J500" s="6" t="s">
        <v>16</v>
      </c>
    </row>
    <row r="501" spans="1:10" x14ac:dyDescent="0.3">
      <c r="A501" s="6" t="s">
        <v>545</v>
      </c>
      <c r="B501" s="6" t="s">
        <v>11</v>
      </c>
      <c r="C501" s="7">
        <v>48</v>
      </c>
      <c r="D501" s="5" t="s">
        <v>46</v>
      </c>
      <c r="E501" s="6" t="s">
        <v>19</v>
      </c>
      <c r="F501" s="6" t="s">
        <v>25</v>
      </c>
      <c r="G501" s="5">
        <v>40</v>
      </c>
      <c r="H501" s="8">
        <v>44091</v>
      </c>
      <c r="I501" s="6" t="s">
        <v>21</v>
      </c>
      <c r="J501" s="6" t="s">
        <v>27</v>
      </c>
    </row>
    <row r="502" spans="1:10" x14ac:dyDescent="0.3">
      <c r="A502" s="6" t="s">
        <v>546</v>
      </c>
      <c r="B502" s="6" t="s">
        <v>24</v>
      </c>
      <c r="C502" s="7">
        <v>30</v>
      </c>
      <c r="D502" s="5" t="s">
        <v>18</v>
      </c>
      <c r="E502" s="6" t="s">
        <v>13</v>
      </c>
      <c r="F502" s="6" t="s">
        <v>33</v>
      </c>
      <c r="G502" s="5">
        <v>13</v>
      </c>
      <c r="H502" s="8">
        <v>44894</v>
      </c>
      <c r="I502" s="6" t="s">
        <v>47</v>
      </c>
      <c r="J502" s="6" t="s">
        <v>16</v>
      </c>
    </row>
    <row r="503" spans="1:10" x14ac:dyDescent="0.3">
      <c r="A503" s="6" t="s">
        <v>547</v>
      </c>
      <c r="B503" s="6" t="s">
        <v>31</v>
      </c>
      <c r="C503" s="7">
        <v>27</v>
      </c>
      <c r="D503" s="5" t="s">
        <v>18</v>
      </c>
      <c r="E503" s="6" t="s">
        <v>13</v>
      </c>
      <c r="F503" s="6" t="s">
        <v>64</v>
      </c>
      <c r="G503" s="5">
        <v>2</v>
      </c>
      <c r="H503" s="8">
        <v>45213</v>
      </c>
      <c r="I503" s="6" t="s">
        <v>62</v>
      </c>
      <c r="J503" s="6" t="s">
        <v>27</v>
      </c>
    </row>
    <row r="504" spans="1:10" x14ac:dyDescent="0.3">
      <c r="A504" s="6" t="s">
        <v>548</v>
      </c>
      <c r="B504" s="6" t="s">
        <v>11</v>
      </c>
      <c r="C504" s="7">
        <v>18</v>
      </c>
      <c r="D504" s="5" t="s">
        <v>32</v>
      </c>
      <c r="E504" s="6" t="s">
        <v>13</v>
      </c>
      <c r="F504" s="6" t="s">
        <v>56</v>
      </c>
      <c r="G504" s="5">
        <v>13</v>
      </c>
      <c r="H504" s="8">
        <v>44891</v>
      </c>
      <c r="I504" s="6" t="s">
        <v>47</v>
      </c>
      <c r="J504" s="6" t="s">
        <v>22</v>
      </c>
    </row>
    <row r="505" spans="1:10" x14ac:dyDescent="0.3">
      <c r="A505" s="6" t="s">
        <v>549</v>
      </c>
      <c r="B505" s="6" t="s">
        <v>31</v>
      </c>
      <c r="C505" s="7">
        <v>35</v>
      </c>
      <c r="D505" s="5" t="s">
        <v>12</v>
      </c>
      <c r="E505" s="6" t="s">
        <v>19</v>
      </c>
      <c r="F505" s="6" t="s">
        <v>33</v>
      </c>
      <c r="G505" s="5">
        <v>27</v>
      </c>
      <c r="H505" s="8">
        <v>44474</v>
      </c>
      <c r="I505" s="6" t="s">
        <v>29</v>
      </c>
      <c r="J505" s="6" t="s">
        <v>16</v>
      </c>
    </row>
    <row r="506" spans="1:10" x14ac:dyDescent="0.3">
      <c r="A506" s="6" t="s">
        <v>550</v>
      </c>
      <c r="B506" s="6" t="s">
        <v>31</v>
      </c>
      <c r="C506" s="7">
        <v>33</v>
      </c>
      <c r="D506" s="5" t="s">
        <v>18</v>
      </c>
      <c r="E506" s="6" t="s">
        <v>19</v>
      </c>
      <c r="F506" s="6" t="s">
        <v>54</v>
      </c>
      <c r="G506" s="5">
        <v>21</v>
      </c>
      <c r="H506" s="8">
        <v>44639</v>
      </c>
      <c r="I506" s="6" t="s">
        <v>49</v>
      </c>
      <c r="J506" s="6" t="s">
        <v>27</v>
      </c>
    </row>
    <row r="507" spans="1:10" x14ac:dyDescent="0.3">
      <c r="A507" s="6" t="s">
        <v>551</v>
      </c>
      <c r="B507" s="6" t="s">
        <v>61</v>
      </c>
      <c r="C507" s="7">
        <v>38</v>
      </c>
      <c r="D507" s="5" t="s">
        <v>12</v>
      </c>
      <c r="E507" s="6" t="s">
        <v>13</v>
      </c>
      <c r="F507" s="6" t="s">
        <v>25</v>
      </c>
      <c r="G507" s="5">
        <v>56</v>
      </c>
      <c r="H507" s="8">
        <v>43598</v>
      </c>
      <c r="I507" s="6" t="s">
        <v>26</v>
      </c>
      <c r="J507" s="6" t="s">
        <v>65</v>
      </c>
    </row>
    <row r="508" spans="1:10" x14ac:dyDescent="0.3">
      <c r="A508" s="6" t="s">
        <v>552</v>
      </c>
      <c r="B508" s="6" t="s">
        <v>24</v>
      </c>
      <c r="C508" s="7">
        <v>36</v>
      </c>
      <c r="D508" s="5" t="s">
        <v>12</v>
      </c>
      <c r="E508" s="6" t="s">
        <v>19</v>
      </c>
      <c r="F508" s="6" t="s">
        <v>88</v>
      </c>
      <c r="G508" s="5">
        <v>58</v>
      </c>
      <c r="H508" s="8">
        <v>43541</v>
      </c>
      <c r="I508" s="6" t="s">
        <v>62</v>
      </c>
      <c r="J508" s="6" t="s">
        <v>16</v>
      </c>
    </row>
    <row r="509" spans="1:10" x14ac:dyDescent="0.3">
      <c r="A509" s="6" t="s">
        <v>553</v>
      </c>
      <c r="B509" s="6" t="s">
        <v>31</v>
      </c>
      <c r="C509" s="7">
        <v>29</v>
      </c>
      <c r="D509" s="5" t="s">
        <v>18</v>
      </c>
      <c r="E509" s="6" t="s">
        <v>19</v>
      </c>
      <c r="F509" s="6" t="s">
        <v>56</v>
      </c>
      <c r="G509" s="5">
        <v>47</v>
      </c>
      <c r="H509" s="8">
        <v>43866</v>
      </c>
      <c r="I509" s="6" t="s">
        <v>34</v>
      </c>
      <c r="J509" s="6" t="s">
        <v>27</v>
      </c>
    </row>
    <row r="510" spans="1:10" x14ac:dyDescent="0.3">
      <c r="A510" s="6" t="s">
        <v>554</v>
      </c>
      <c r="B510" s="6" t="s">
        <v>11</v>
      </c>
      <c r="C510" s="7">
        <v>29</v>
      </c>
      <c r="D510" s="5" t="s">
        <v>18</v>
      </c>
      <c r="E510" s="6" t="s">
        <v>19</v>
      </c>
      <c r="F510" s="6" t="s">
        <v>25</v>
      </c>
      <c r="G510" s="5">
        <v>42</v>
      </c>
      <c r="H510" s="8">
        <v>44016</v>
      </c>
      <c r="I510" s="6" t="s">
        <v>26</v>
      </c>
      <c r="J510" s="6" t="s">
        <v>16</v>
      </c>
    </row>
    <row r="511" spans="1:10" x14ac:dyDescent="0.3">
      <c r="A511" s="6" t="s">
        <v>555</v>
      </c>
      <c r="B511" s="6" t="s">
        <v>31</v>
      </c>
      <c r="C511" s="7">
        <v>20</v>
      </c>
      <c r="D511" s="5" t="s">
        <v>32</v>
      </c>
      <c r="E511" s="6" t="s">
        <v>13</v>
      </c>
      <c r="F511" s="6" t="s">
        <v>36</v>
      </c>
      <c r="G511" s="5">
        <v>46</v>
      </c>
      <c r="H511" s="8">
        <v>43886</v>
      </c>
      <c r="I511" s="6" t="s">
        <v>29</v>
      </c>
      <c r="J511" s="6" t="s">
        <v>27</v>
      </c>
    </row>
    <row r="512" spans="1:10" x14ac:dyDescent="0.3">
      <c r="A512" s="6" t="s">
        <v>556</v>
      </c>
      <c r="B512" s="6" t="s">
        <v>31</v>
      </c>
      <c r="C512" s="7">
        <v>25</v>
      </c>
      <c r="D512" s="5" t="s">
        <v>18</v>
      </c>
      <c r="E512" s="6" t="s">
        <v>19</v>
      </c>
      <c r="F512" s="6" t="s">
        <v>14</v>
      </c>
      <c r="G512" s="5">
        <v>47</v>
      </c>
      <c r="H512" s="8">
        <v>43869</v>
      </c>
      <c r="I512" s="6" t="s">
        <v>34</v>
      </c>
      <c r="J512" s="6" t="s">
        <v>16</v>
      </c>
    </row>
    <row r="513" spans="1:10" x14ac:dyDescent="0.3">
      <c r="A513" s="6" t="s">
        <v>557</v>
      </c>
      <c r="B513" s="6" t="s">
        <v>11</v>
      </c>
      <c r="C513" s="7">
        <v>29</v>
      </c>
      <c r="D513" s="5" t="s">
        <v>18</v>
      </c>
      <c r="E513" s="6" t="s">
        <v>13</v>
      </c>
      <c r="F513" s="6" t="s">
        <v>64</v>
      </c>
      <c r="G513" s="5">
        <v>8</v>
      </c>
      <c r="H513" s="8">
        <v>45035</v>
      </c>
      <c r="I513" s="6" t="s">
        <v>21</v>
      </c>
      <c r="J513" s="6" t="s">
        <v>27</v>
      </c>
    </row>
    <row r="514" spans="1:10" x14ac:dyDescent="0.3">
      <c r="A514" s="6" t="s">
        <v>558</v>
      </c>
      <c r="B514" s="6" t="s">
        <v>31</v>
      </c>
      <c r="C514" s="7">
        <v>18</v>
      </c>
      <c r="D514" s="5" t="s">
        <v>32</v>
      </c>
      <c r="E514" s="6" t="s">
        <v>19</v>
      </c>
      <c r="F514" s="6" t="s">
        <v>20</v>
      </c>
      <c r="G514" s="5">
        <v>36</v>
      </c>
      <c r="H514" s="8">
        <v>44191</v>
      </c>
      <c r="I514" s="6" t="s">
        <v>21</v>
      </c>
      <c r="J514" s="6" t="s">
        <v>16</v>
      </c>
    </row>
    <row r="515" spans="1:10" x14ac:dyDescent="0.3">
      <c r="A515" s="6" t="s">
        <v>559</v>
      </c>
      <c r="B515" s="6" t="s">
        <v>11</v>
      </c>
      <c r="C515" s="7">
        <v>27</v>
      </c>
      <c r="D515" s="5" t="s">
        <v>18</v>
      </c>
      <c r="E515" s="6" t="s">
        <v>19</v>
      </c>
      <c r="F515" s="6" t="s">
        <v>56</v>
      </c>
      <c r="G515" s="5">
        <v>30</v>
      </c>
      <c r="H515" s="8">
        <v>44377</v>
      </c>
      <c r="I515" s="6" t="s">
        <v>49</v>
      </c>
      <c r="J515" s="6" t="s">
        <v>16</v>
      </c>
    </row>
    <row r="516" spans="1:10" x14ac:dyDescent="0.3">
      <c r="A516" s="6" t="s">
        <v>560</v>
      </c>
      <c r="B516" s="6" t="s">
        <v>24</v>
      </c>
      <c r="C516" s="7">
        <v>47</v>
      </c>
      <c r="D516" s="5" t="s">
        <v>46</v>
      </c>
      <c r="E516" s="6" t="s">
        <v>13</v>
      </c>
      <c r="F516" s="6" t="s">
        <v>56</v>
      </c>
      <c r="G516" s="5">
        <v>6</v>
      </c>
      <c r="H516" s="8">
        <v>45095</v>
      </c>
      <c r="I516" s="6" t="s">
        <v>47</v>
      </c>
      <c r="J516" s="6" t="s">
        <v>65</v>
      </c>
    </row>
    <row r="517" spans="1:10" x14ac:dyDescent="0.3">
      <c r="A517" s="6" t="s">
        <v>561</v>
      </c>
      <c r="B517" s="6" t="s">
        <v>24</v>
      </c>
      <c r="C517" s="7">
        <v>26</v>
      </c>
      <c r="D517" s="5" t="s">
        <v>18</v>
      </c>
      <c r="E517" s="6" t="s">
        <v>19</v>
      </c>
      <c r="F517" s="6" t="s">
        <v>88</v>
      </c>
      <c r="G517" s="5">
        <v>55</v>
      </c>
      <c r="H517" s="8">
        <v>43630</v>
      </c>
      <c r="I517" s="6" t="s">
        <v>34</v>
      </c>
      <c r="J517" s="6" t="s">
        <v>22</v>
      </c>
    </row>
    <row r="518" spans="1:10" x14ac:dyDescent="0.3">
      <c r="A518" s="6" t="s">
        <v>562</v>
      </c>
      <c r="B518" s="6" t="s">
        <v>11</v>
      </c>
      <c r="C518" s="7">
        <v>21</v>
      </c>
      <c r="D518" s="5" t="s">
        <v>32</v>
      </c>
      <c r="E518" s="6" t="s">
        <v>19</v>
      </c>
      <c r="F518" s="6" t="s">
        <v>36</v>
      </c>
      <c r="G518" s="5">
        <v>40</v>
      </c>
      <c r="H518" s="8">
        <v>44077</v>
      </c>
      <c r="I518" s="6" t="s">
        <v>29</v>
      </c>
      <c r="J518" s="6" t="s">
        <v>16</v>
      </c>
    </row>
    <row r="519" spans="1:10" x14ac:dyDescent="0.3">
      <c r="A519" s="6" t="s">
        <v>563</v>
      </c>
      <c r="B519" s="6" t="s">
        <v>24</v>
      </c>
      <c r="C519" s="7">
        <v>39</v>
      </c>
      <c r="D519" s="5" t="s">
        <v>12</v>
      </c>
      <c r="E519" s="6" t="s">
        <v>13</v>
      </c>
      <c r="F519" s="6" t="s">
        <v>25</v>
      </c>
      <c r="G519" s="5">
        <v>39</v>
      </c>
      <c r="H519" s="8">
        <v>44117</v>
      </c>
      <c r="I519" s="6" t="s">
        <v>47</v>
      </c>
      <c r="J519" s="6" t="s">
        <v>16</v>
      </c>
    </row>
    <row r="520" spans="1:10" x14ac:dyDescent="0.3">
      <c r="A520" s="6" t="s">
        <v>564</v>
      </c>
      <c r="B520" s="6" t="s">
        <v>42</v>
      </c>
      <c r="C520" s="7">
        <v>20</v>
      </c>
      <c r="D520" s="5" t="s">
        <v>32</v>
      </c>
      <c r="E520" s="6" t="s">
        <v>19</v>
      </c>
      <c r="F520" s="6" t="s">
        <v>56</v>
      </c>
      <c r="G520" s="5">
        <v>45</v>
      </c>
      <c r="H520" s="8">
        <v>43929</v>
      </c>
      <c r="I520" s="6" t="s">
        <v>47</v>
      </c>
      <c r="J520" s="6" t="s">
        <v>27</v>
      </c>
    </row>
    <row r="521" spans="1:10" x14ac:dyDescent="0.3">
      <c r="A521" s="6" t="s">
        <v>565</v>
      </c>
      <c r="B521" s="6" t="s">
        <v>24</v>
      </c>
      <c r="C521" s="7">
        <v>29</v>
      </c>
      <c r="D521" s="5" t="s">
        <v>18</v>
      </c>
      <c r="E521" s="6" t="s">
        <v>13</v>
      </c>
      <c r="F521" s="6" t="s">
        <v>88</v>
      </c>
      <c r="G521" s="5">
        <v>31</v>
      </c>
      <c r="H521" s="8">
        <v>44352</v>
      </c>
      <c r="I521" s="6" t="s">
        <v>39</v>
      </c>
      <c r="J521" s="6" t="s">
        <v>16</v>
      </c>
    </row>
    <row r="522" spans="1:10" x14ac:dyDescent="0.3">
      <c r="A522" s="6" t="s">
        <v>566</v>
      </c>
      <c r="B522" s="6" t="s">
        <v>31</v>
      </c>
      <c r="C522" s="7">
        <v>22</v>
      </c>
      <c r="D522" s="5" t="s">
        <v>32</v>
      </c>
      <c r="E522" s="6" t="s">
        <v>13</v>
      </c>
      <c r="F522" s="6" t="s">
        <v>56</v>
      </c>
      <c r="G522" s="5">
        <v>20</v>
      </c>
      <c r="H522" s="8">
        <v>44666</v>
      </c>
      <c r="I522" s="6" t="s">
        <v>34</v>
      </c>
      <c r="J522" s="6" t="s">
        <v>65</v>
      </c>
    </row>
    <row r="523" spans="1:10" x14ac:dyDescent="0.3">
      <c r="A523" s="6" t="s">
        <v>567</v>
      </c>
      <c r="B523" s="6" t="s">
        <v>61</v>
      </c>
      <c r="C523" s="7">
        <v>33</v>
      </c>
      <c r="D523" s="5" t="s">
        <v>18</v>
      </c>
      <c r="E523" s="6" t="s">
        <v>19</v>
      </c>
      <c r="F523" s="6" t="s">
        <v>56</v>
      </c>
      <c r="G523" s="5">
        <v>13</v>
      </c>
      <c r="H523" s="8">
        <v>44875</v>
      </c>
      <c r="I523" s="6" t="s">
        <v>26</v>
      </c>
      <c r="J523" s="6" t="s">
        <v>22</v>
      </c>
    </row>
    <row r="524" spans="1:10" x14ac:dyDescent="0.3">
      <c r="A524" s="6" t="s">
        <v>568</v>
      </c>
      <c r="B524" s="6" t="s">
        <v>61</v>
      </c>
      <c r="C524" s="7">
        <v>36</v>
      </c>
      <c r="D524" s="5" t="s">
        <v>12</v>
      </c>
      <c r="E524" s="6" t="s">
        <v>13</v>
      </c>
      <c r="F524" s="6" t="s">
        <v>25</v>
      </c>
      <c r="G524" s="5">
        <v>44</v>
      </c>
      <c r="H524" s="8">
        <v>43954</v>
      </c>
      <c r="I524" s="6" t="s">
        <v>15</v>
      </c>
      <c r="J524" s="6" t="s">
        <v>22</v>
      </c>
    </row>
    <row r="525" spans="1:10" x14ac:dyDescent="0.3">
      <c r="A525" s="6" t="s">
        <v>569</v>
      </c>
      <c r="B525" s="6" t="s">
        <v>24</v>
      </c>
      <c r="C525" s="7">
        <v>34</v>
      </c>
      <c r="D525" s="5" t="s">
        <v>18</v>
      </c>
      <c r="E525" s="6" t="s">
        <v>13</v>
      </c>
      <c r="F525" s="6" t="s">
        <v>25</v>
      </c>
      <c r="G525" s="5">
        <v>38</v>
      </c>
      <c r="H525" s="8">
        <v>44126</v>
      </c>
      <c r="I525" s="6" t="s">
        <v>29</v>
      </c>
      <c r="J525" s="6" t="s">
        <v>16</v>
      </c>
    </row>
    <row r="526" spans="1:10" x14ac:dyDescent="0.3">
      <c r="A526" s="6" t="s">
        <v>570</v>
      </c>
      <c r="B526" s="6" t="s">
        <v>11</v>
      </c>
      <c r="C526" s="7">
        <v>20</v>
      </c>
      <c r="D526" s="5" t="s">
        <v>32</v>
      </c>
      <c r="E526" s="6" t="s">
        <v>13</v>
      </c>
      <c r="F526" s="6" t="s">
        <v>33</v>
      </c>
      <c r="G526" s="5">
        <v>17</v>
      </c>
      <c r="H526" s="8">
        <v>44759</v>
      </c>
      <c r="I526" s="6" t="s">
        <v>39</v>
      </c>
      <c r="J526" s="6" t="s">
        <v>16</v>
      </c>
    </row>
    <row r="527" spans="1:10" x14ac:dyDescent="0.3">
      <c r="A527" s="6" t="s">
        <v>571</v>
      </c>
      <c r="B527" s="6" t="s">
        <v>24</v>
      </c>
      <c r="C527" s="7">
        <v>48</v>
      </c>
      <c r="D527" s="5" t="s">
        <v>46</v>
      </c>
      <c r="E527" s="6" t="s">
        <v>13</v>
      </c>
      <c r="F527" s="6" t="s">
        <v>54</v>
      </c>
      <c r="G527" s="5">
        <v>36</v>
      </c>
      <c r="H527" s="8">
        <v>44183</v>
      </c>
      <c r="I527" s="6" t="s">
        <v>49</v>
      </c>
      <c r="J527" s="6" t="s">
        <v>22</v>
      </c>
    </row>
    <row r="528" spans="1:10" x14ac:dyDescent="0.3">
      <c r="A528" s="6" t="s">
        <v>572</v>
      </c>
      <c r="B528" s="6" t="s">
        <v>11</v>
      </c>
      <c r="C528" s="7">
        <v>18</v>
      </c>
      <c r="D528" s="5" t="s">
        <v>32</v>
      </c>
      <c r="E528" s="6" t="s">
        <v>19</v>
      </c>
      <c r="F528" s="6" t="s">
        <v>88</v>
      </c>
      <c r="G528" s="5">
        <v>41</v>
      </c>
      <c r="H528" s="8">
        <v>44060</v>
      </c>
      <c r="I528" s="6" t="s">
        <v>15</v>
      </c>
      <c r="J528" s="6" t="s">
        <v>22</v>
      </c>
    </row>
    <row r="529" spans="1:10" x14ac:dyDescent="0.3">
      <c r="A529" s="6" t="s">
        <v>573</v>
      </c>
      <c r="B529" s="6" t="s">
        <v>31</v>
      </c>
      <c r="C529" s="7">
        <v>36</v>
      </c>
      <c r="D529" s="5" t="s">
        <v>12</v>
      </c>
      <c r="E529" s="6" t="s">
        <v>13</v>
      </c>
      <c r="F529" s="6" t="s">
        <v>36</v>
      </c>
      <c r="G529" s="5">
        <v>54</v>
      </c>
      <c r="H529" s="8">
        <v>43643</v>
      </c>
      <c r="I529" s="6" t="s">
        <v>29</v>
      </c>
      <c r="J529" s="6" t="s">
        <v>16</v>
      </c>
    </row>
    <row r="530" spans="1:10" x14ac:dyDescent="0.3">
      <c r="A530" s="6" t="s">
        <v>574</v>
      </c>
      <c r="B530" s="6" t="s">
        <v>11</v>
      </c>
      <c r="C530" s="7">
        <v>19</v>
      </c>
      <c r="D530" s="5" t="s">
        <v>32</v>
      </c>
      <c r="E530" s="6" t="s">
        <v>13</v>
      </c>
      <c r="F530" s="6" t="s">
        <v>14</v>
      </c>
      <c r="G530" s="5">
        <v>40</v>
      </c>
      <c r="H530" s="8">
        <v>44072</v>
      </c>
      <c r="I530" s="6" t="s">
        <v>49</v>
      </c>
      <c r="J530" s="6" t="s">
        <v>27</v>
      </c>
    </row>
    <row r="531" spans="1:10" x14ac:dyDescent="0.3">
      <c r="A531" s="6" t="s">
        <v>575</v>
      </c>
      <c r="B531" s="6" t="s">
        <v>11</v>
      </c>
      <c r="C531" s="7">
        <v>18</v>
      </c>
      <c r="D531" s="5" t="s">
        <v>32</v>
      </c>
      <c r="E531" s="6" t="s">
        <v>19</v>
      </c>
      <c r="F531" s="6" t="s">
        <v>56</v>
      </c>
      <c r="G531" s="5">
        <v>18</v>
      </c>
      <c r="H531" s="8">
        <v>44741</v>
      </c>
      <c r="I531" s="6" t="s">
        <v>62</v>
      </c>
      <c r="J531" s="6" t="s">
        <v>16</v>
      </c>
    </row>
    <row r="532" spans="1:10" x14ac:dyDescent="0.3">
      <c r="A532" s="6" t="s">
        <v>576</v>
      </c>
      <c r="B532" s="6" t="s">
        <v>24</v>
      </c>
      <c r="C532" s="7">
        <v>38</v>
      </c>
      <c r="D532" s="5" t="s">
        <v>12</v>
      </c>
      <c r="E532" s="6" t="s">
        <v>19</v>
      </c>
      <c r="F532" s="6" t="s">
        <v>56</v>
      </c>
      <c r="G532" s="5">
        <v>19</v>
      </c>
      <c r="H532" s="8">
        <v>44703</v>
      </c>
      <c r="I532" s="6" t="s">
        <v>49</v>
      </c>
      <c r="J532" s="6" t="s">
        <v>16</v>
      </c>
    </row>
    <row r="533" spans="1:10" x14ac:dyDescent="0.3">
      <c r="A533" s="6" t="s">
        <v>577</v>
      </c>
      <c r="B533" s="6" t="s">
        <v>61</v>
      </c>
      <c r="C533" s="7">
        <v>39</v>
      </c>
      <c r="D533" s="5" t="s">
        <v>12</v>
      </c>
      <c r="E533" s="6" t="s">
        <v>13</v>
      </c>
      <c r="F533" s="6" t="s">
        <v>38</v>
      </c>
      <c r="G533" s="5">
        <v>25</v>
      </c>
      <c r="H533" s="8">
        <v>44525</v>
      </c>
      <c r="I533" s="6" t="s">
        <v>47</v>
      </c>
      <c r="J533" s="6" t="s">
        <v>27</v>
      </c>
    </row>
    <row r="534" spans="1:10" x14ac:dyDescent="0.3">
      <c r="A534" s="6" t="s">
        <v>578</v>
      </c>
      <c r="B534" s="6" t="s">
        <v>11</v>
      </c>
      <c r="C534" s="7">
        <v>18</v>
      </c>
      <c r="D534" s="5" t="s">
        <v>32</v>
      </c>
      <c r="E534" s="6" t="s">
        <v>19</v>
      </c>
      <c r="F534" s="6" t="s">
        <v>14</v>
      </c>
      <c r="G534" s="5">
        <v>1</v>
      </c>
      <c r="H534" s="8">
        <v>45245</v>
      </c>
      <c r="I534" s="6" t="s">
        <v>21</v>
      </c>
      <c r="J534" s="6" t="s">
        <v>16</v>
      </c>
    </row>
    <row r="535" spans="1:10" x14ac:dyDescent="0.3">
      <c r="A535" s="6" t="s">
        <v>579</v>
      </c>
      <c r="B535" s="6" t="s">
        <v>31</v>
      </c>
      <c r="C535" s="7">
        <v>26</v>
      </c>
      <c r="D535" s="5" t="s">
        <v>18</v>
      </c>
      <c r="E535" s="6" t="s">
        <v>13</v>
      </c>
      <c r="F535" s="6" t="s">
        <v>20</v>
      </c>
      <c r="G535" s="5">
        <v>50</v>
      </c>
      <c r="H535" s="8">
        <v>43781</v>
      </c>
      <c r="I535" s="6" t="s">
        <v>15</v>
      </c>
      <c r="J535" s="6" t="s">
        <v>27</v>
      </c>
    </row>
    <row r="536" spans="1:10" x14ac:dyDescent="0.3">
      <c r="A536" s="6" t="s">
        <v>580</v>
      </c>
      <c r="B536" s="6" t="s">
        <v>11</v>
      </c>
      <c r="C536" s="7">
        <v>26</v>
      </c>
      <c r="D536" s="5" t="s">
        <v>18</v>
      </c>
      <c r="E536" s="6" t="s">
        <v>13</v>
      </c>
      <c r="F536" s="6" t="s">
        <v>36</v>
      </c>
      <c r="G536" s="5">
        <v>59</v>
      </c>
      <c r="H536" s="8">
        <v>43516</v>
      </c>
      <c r="I536" s="6" t="s">
        <v>62</v>
      </c>
      <c r="J536" s="6" t="s">
        <v>16</v>
      </c>
    </row>
    <row r="537" spans="1:10" x14ac:dyDescent="0.3">
      <c r="A537" s="6" t="s">
        <v>581</v>
      </c>
      <c r="B537" s="6" t="s">
        <v>24</v>
      </c>
      <c r="C537" s="7">
        <v>30</v>
      </c>
      <c r="D537" s="5" t="s">
        <v>18</v>
      </c>
      <c r="E537" s="6" t="s">
        <v>19</v>
      </c>
      <c r="F537" s="6" t="s">
        <v>33</v>
      </c>
      <c r="G537" s="5">
        <v>21</v>
      </c>
      <c r="H537" s="8">
        <v>44649</v>
      </c>
      <c r="I537" s="6" t="s">
        <v>34</v>
      </c>
      <c r="J537" s="6" t="s">
        <v>27</v>
      </c>
    </row>
    <row r="538" spans="1:10" x14ac:dyDescent="0.3">
      <c r="A538" s="6" t="s">
        <v>582</v>
      </c>
      <c r="B538" s="6" t="s">
        <v>42</v>
      </c>
      <c r="C538" s="7">
        <v>53</v>
      </c>
      <c r="D538" s="5" t="s">
        <v>46</v>
      </c>
      <c r="E538" s="6" t="s">
        <v>105</v>
      </c>
      <c r="F538" s="6" t="s">
        <v>20</v>
      </c>
      <c r="G538" s="5">
        <v>27</v>
      </c>
      <c r="H538" s="8">
        <v>44462</v>
      </c>
      <c r="I538" s="6" t="s">
        <v>29</v>
      </c>
      <c r="J538" s="6" t="s">
        <v>27</v>
      </c>
    </row>
    <row r="539" spans="1:10" x14ac:dyDescent="0.3">
      <c r="A539" s="6" t="s">
        <v>583</v>
      </c>
      <c r="B539" s="6" t="s">
        <v>11</v>
      </c>
      <c r="C539" s="7">
        <v>26</v>
      </c>
      <c r="D539" s="5" t="s">
        <v>18</v>
      </c>
      <c r="E539" s="6" t="s">
        <v>13</v>
      </c>
      <c r="F539" s="6" t="s">
        <v>20</v>
      </c>
      <c r="G539" s="5">
        <v>5</v>
      </c>
      <c r="H539" s="8">
        <v>45120</v>
      </c>
      <c r="I539" s="6" t="s">
        <v>49</v>
      </c>
      <c r="J539" s="6" t="s">
        <v>16</v>
      </c>
    </row>
    <row r="540" spans="1:10" x14ac:dyDescent="0.3">
      <c r="A540" s="6" t="s">
        <v>584</v>
      </c>
      <c r="B540" s="6" t="s">
        <v>61</v>
      </c>
      <c r="C540" s="7">
        <v>36</v>
      </c>
      <c r="D540" s="5" t="s">
        <v>12</v>
      </c>
      <c r="E540" s="6" t="s">
        <v>13</v>
      </c>
      <c r="F540" s="6" t="s">
        <v>64</v>
      </c>
      <c r="G540" s="5">
        <v>33</v>
      </c>
      <c r="H540" s="8">
        <v>44283</v>
      </c>
      <c r="I540" s="6" t="s">
        <v>29</v>
      </c>
      <c r="J540" s="6" t="s">
        <v>27</v>
      </c>
    </row>
    <row r="541" spans="1:10" x14ac:dyDescent="0.3">
      <c r="A541" s="6" t="s">
        <v>585</v>
      </c>
      <c r="B541" s="6" t="s">
        <v>31</v>
      </c>
      <c r="C541" s="7">
        <v>45</v>
      </c>
      <c r="D541" s="5" t="s">
        <v>46</v>
      </c>
      <c r="E541" s="6" t="s">
        <v>19</v>
      </c>
      <c r="F541" s="6" t="s">
        <v>36</v>
      </c>
      <c r="G541" s="5">
        <v>19</v>
      </c>
      <c r="H541" s="8">
        <v>44698</v>
      </c>
      <c r="I541" s="6" t="s">
        <v>15</v>
      </c>
      <c r="J541" s="6" t="s">
        <v>16</v>
      </c>
    </row>
    <row r="542" spans="1:10" x14ac:dyDescent="0.3">
      <c r="A542" s="6" t="s">
        <v>586</v>
      </c>
      <c r="B542" s="6" t="s">
        <v>11</v>
      </c>
      <c r="C542" s="7">
        <v>28</v>
      </c>
      <c r="D542" s="5" t="s">
        <v>18</v>
      </c>
      <c r="E542" s="6" t="s">
        <v>13</v>
      </c>
      <c r="F542" s="6" t="s">
        <v>36</v>
      </c>
      <c r="G542" s="5">
        <v>24</v>
      </c>
      <c r="H542" s="8">
        <v>44552</v>
      </c>
      <c r="I542" s="6" t="s">
        <v>21</v>
      </c>
      <c r="J542" s="6" t="s">
        <v>27</v>
      </c>
    </row>
    <row r="543" spans="1:10" x14ac:dyDescent="0.3">
      <c r="A543" s="6" t="s">
        <v>587</v>
      </c>
      <c r="B543" s="6" t="s">
        <v>24</v>
      </c>
      <c r="C543" s="7">
        <v>41</v>
      </c>
      <c r="D543" s="5" t="s">
        <v>12</v>
      </c>
      <c r="E543" s="6" t="s">
        <v>19</v>
      </c>
      <c r="F543" s="6" t="s">
        <v>20</v>
      </c>
      <c r="G543" s="5">
        <v>60</v>
      </c>
      <c r="H543" s="8">
        <v>43480</v>
      </c>
      <c r="I543" s="6" t="s">
        <v>39</v>
      </c>
      <c r="J543" s="6" t="s">
        <v>16</v>
      </c>
    </row>
    <row r="544" spans="1:10" x14ac:dyDescent="0.3">
      <c r="A544" s="6" t="s">
        <v>588</v>
      </c>
      <c r="B544" s="6" t="s">
        <v>31</v>
      </c>
      <c r="C544" s="7">
        <v>46</v>
      </c>
      <c r="D544" s="5" t="s">
        <v>46</v>
      </c>
      <c r="E544" s="6" t="s">
        <v>13</v>
      </c>
      <c r="F544" s="6" t="s">
        <v>38</v>
      </c>
      <c r="G544" s="5">
        <v>35</v>
      </c>
      <c r="H544" s="8">
        <v>44229</v>
      </c>
      <c r="I544" s="6" t="s">
        <v>34</v>
      </c>
      <c r="J544" s="6" t="s">
        <v>27</v>
      </c>
    </row>
    <row r="545" spans="1:10" x14ac:dyDescent="0.3">
      <c r="A545" s="6" t="s">
        <v>589</v>
      </c>
      <c r="B545" s="6" t="s">
        <v>24</v>
      </c>
      <c r="C545" s="7">
        <v>44</v>
      </c>
      <c r="D545" s="5" t="s">
        <v>12</v>
      </c>
      <c r="E545" s="6" t="s">
        <v>13</v>
      </c>
      <c r="F545" s="6" t="s">
        <v>38</v>
      </c>
      <c r="G545" s="5">
        <v>49</v>
      </c>
      <c r="H545" s="8">
        <v>43810</v>
      </c>
      <c r="I545" s="6" t="s">
        <v>39</v>
      </c>
      <c r="J545" s="6" t="s">
        <v>27</v>
      </c>
    </row>
    <row r="546" spans="1:10" x14ac:dyDescent="0.3">
      <c r="A546" s="6" t="s">
        <v>590</v>
      </c>
      <c r="B546" s="6" t="s">
        <v>31</v>
      </c>
      <c r="C546" s="7">
        <v>40</v>
      </c>
      <c r="D546" s="5" t="s">
        <v>12</v>
      </c>
      <c r="E546" s="6" t="s">
        <v>13</v>
      </c>
      <c r="F546" s="6" t="s">
        <v>38</v>
      </c>
      <c r="G546" s="5">
        <v>13</v>
      </c>
      <c r="H546" s="8">
        <v>44900</v>
      </c>
      <c r="I546" s="6" t="s">
        <v>21</v>
      </c>
      <c r="J546" s="6" t="s">
        <v>16</v>
      </c>
    </row>
    <row r="547" spans="1:10" x14ac:dyDescent="0.3">
      <c r="A547" s="6" t="s">
        <v>591</v>
      </c>
      <c r="B547" s="6" t="s">
        <v>11</v>
      </c>
      <c r="C547" s="7">
        <v>30</v>
      </c>
      <c r="D547" s="5" t="s">
        <v>18</v>
      </c>
      <c r="E547" s="6" t="s">
        <v>13</v>
      </c>
      <c r="F547" s="6" t="s">
        <v>25</v>
      </c>
      <c r="G547" s="5">
        <v>58</v>
      </c>
      <c r="H547" s="8">
        <v>43549</v>
      </c>
      <c r="I547" s="6" t="s">
        <v>62</v>
      </c>
      <c r="J547" s="6" t="s">
        <v>27</v>
      </c>
    </row>
    <row r="548" spans="1:10" x14ac:dyDescent="0.3">
      <c r="A548" s="6" t="s">
        <v>592</v>
      </c>
      <c r="B548" s="6" t="s">
        <v>61</v>
      </c>
      <c r="C548" s="7">
        <v>41</v>
      </c>
      <c r="D548" s="5" t="s">
        <v>12</v>
      </c>
      <c r="E548" s="6" t="s">
        <v>13</v>
      </c>
      <c r="F548" s="6" t="s">
        <v>25</v>
      </c>
      <c r="G548" s="5">
        <v>29</v>
      </c>
      <c r="H548" s="8">
        <v>44399</v>
      </c>
      <c r="I548" s="6" t="s">
        <v>47</v>
      </c>
      <c r="J548" s="6" t="s">
        <v>65</v>
      </c>
    </row>
    <row r="549" spans="1:10" x14ac:dyDescent="0.3">
      <c r="A549" s="6" t="s">
        <v>593</v>
      </c>
      <c r="B549" s="6" t="s">
        <v>42</v>
      </c>
      <c r="C549" s="7">
        <v>24</v>
      </c>
      <c r="D549" s="5" t="s">
        <v>32</v>
      </c>
      <c r="E549" s="6" t="s">
        <v>13</v>
      </c>
      <c r="F549" s="6" t="s">
        <v>20</v>
      </c>
      <c r="G549" s="5">
        <v>43</v>
      </c>
      <c r="H549" s="8">
        <v>43983</v>
      </c>
      <c r="I549" s="6" t="s">
        <v>15</v>
      </c>
      <c r="J549" s="6" t="s">
        <v>65</v>
      </c>
    </row>
    <row r="550" spans="1:10" x14ac:dyDescent="0.3">
      <c r="A550" s="6" t="s">
        <v>594</v>
      </c>
      <c r="B550" s="6" t="s">
        <v>24</v>
      </c>
      <c r="C550" s="7">
        <v>47</v>
      </c>
      <c r="D550" s="5" t="s">
        <v>46</v>
      </c>
      <c r="E550" s="6" t="s">
        <v>13</v>
      </c>
      <c r="F550" s="6" t="s">
        <v>14</v>
      </c>
      <c r="G550" s="5">
        <v>45</v>
      </c>
      <c r="H550" s="8">
        <v>43931</v>
      </c>
      <c r="I550" s="6" t="s">
        <v>34</v>
      </c>
      <c r="J550" s="6" t="s">
        <v>16</v>
      </c>
    </row>
    <row r="551" spans="1:10" x14ac:dyDescent="0.3">
      <c r="A551" s="6" t="s">
        <v>595</v>
      </c>
      <c r="B551" s="6" t="s">
        <v>31</v>
      </c>
      <c r="C551" s="7">
        <v>39</v>
      </c>
      <c r="D551" s="5" t="s">
        <v>12</v>
      </c>
      <c r="E551" s="6" t="s">
        <v>13</v>
      </c>
      <c r="F551" s="6" t="s">
        <v>56</v>
      </c>
      <c r="G551" s="5">
        <v>44</v>
      </c>
      <c r="H551" s="8">
        <v>43970</v>
      </c>
      <c r="I551" s="6" t="s">
        <v>49</v>
      </c>
      <c r="J551" s="6" t="s">
        <v>22</v>
      </c>
    </row>
    <row r="552" spans="1:10" x14ac:dyDescent="0.3">
      <c r="A552" s="6" t="s">
        <v>596</v>
      </c>
      <c r="B552" s="6" t="s">
        <v>61</v>
      </c>
      <c r="C552" s="7">
        <v>31</v>
      </c>
      <c r="D552" s="5" t="s">
        <v>18</v>
      </c>
      <c r="E552" s="6" t="s">
        <v>13</v>
      </c>
      <c r="F552" s="6" t="s">
        <v>33</v>
      </c>
      <c r="G552" s="5">
        <v>44</v>
      </c>
      <c r="H552" s="8">
        <v>43951</v>
      </c>
      <c r="I552" s="6" t="s">
        <v>15</v>
      </c>
      <c r="J552" s="6" t="s">
        <v>27</v>
      </c>
    </row>
    <row r="553" spans="1:10" x14ac:dyDescent="0.3">
      <c r="A553" s="6" t="s">
        <v>597</v>
      </c>
      <c r="B553" s="6" t="s">
        <v>31</v>
      </c>
      <c r="C553" s="7">
        <v>20</v>
      </c>
      <c r="D553" s="5" t="s">
        <v>32</v>
      </c>
      <c r="E553" s="6" t="s">
        <v>13</v>
      </c>
      <c r="F553" s="6" t="s">
        <v>14</v>
      </c>
      <c r="G553" s="5">
        <v>14</v>
      </c>
      <c r="H553" s="8">
        <v>44849</v>
      </c>
      <c r="I553" s="6" t="s">
        <v>39</v>
      </c>
      <c r="J553" s="6" t="s">
        <v>27</v>
      </c>
    </row>
    <row r="554" spans="1:10" x14ac:dyDescent="0.3">
      <c r="A554" s="6" t="s">
        <v>598</v>
      </c>
      <c r="B554" s="6" t="s">
        <v>31</v>
      </c>
      <c r="C554" s="7">
        <v>43</v>
      </c>
      <c r="D554" s="5" t="s">
        <v>12</v>
      </c>
      <c r="E554" s="6" t="s">
        <v>19</v>
      </c>
      <c r="F554" s="6" t="s">
        <v>64</v>
      </c>
      <c r="G554" s="5">
        <v>45</v>
      </c>
      <c r="H554" s="8">
        <v>43935</v>
      </c>
      <c r="I554" s="6" t="s">
        <v>21</v>
      </c>
      <c r="J554" s="6" t="s">
        <v>22</v>
      </c>
    </row>
    <row r="555" spans="1:10" x14ac:dyDescent="0.3">
      <c r="A555" s="6" t="s">
        <v>599</v>
      </c>
      <c r="B555" s="6" t="s">
        <v>42</v>
      </c>
      <c r="C555" s="7">
        <v>39</v>
      </c>
      <c r="D555" s="5" t="s">
        <v>12</v>
      </c>
      <c r="E555" s="6" t="s">
        <v>19</v>
      </c>
      <c r="F555" s="6" t="s">
        <v>54</v>
      </c>
      <c r="G555" s="5">
        <v>31</v>
      </c>
      <c r="H555" s="8">
        <v>44357</v>
      </c>
      <c r="I555" s="6" t="s">
        <v>47</v>
      </c>
      <c r="J555" s="6" t="s">
        <v>16</v>
      </c>
    </row>
    <row r="556" spans="1:10" x14ac:dyDescent="0.3">
      <c r="A556" s="6" t="s">
        <v>600</v>
      </c>
      <c r="B556" s="6" t="s">
        <v>61</v>
      </c>
      <c r="C556" s="7">
        <v>41</v>
      </c>
      <c r="D556" s="5" t="s">
        <v>12</v>
      </c>
      <c r="E556" s="6" t="s">
        <v>13</v>
      </c>
      <c r="F556" s="6" t="s">
        <v>38</v>
      </c>
      <c r="G556" s="5">
        <v>30</v>
      </c>
      <c r="H556" s="8">
        <v>44390</v>
      </c>
      <c r="I556" s="6" t="s">
        <v>26</v>
      </c>
      <c r="J556" s="6" t="s">
        <v>27</v>
      </c>
    </row>
    <row r="557" spans="1:10" x14ac:dyDescent="0.3">
      <c r="A557" s="6" t="s">
        <v>601</v>
      </c>
      <c r="B557" s="6" t="s">
        <v>24</v>
      </c>
      <c r="C557" s="7">
        <v>25</v>
      </c>
      <c r="D557" s="5" t="s">
        <v>18</v>
      </c>
      <c r="E557" s="6" t="s">
        <v>19</v>
      </c>
      <c r="F557" s="6" t="s">
        <v>56</v>
      </c>
      <c r="G557" s="5">
        <v>28</v>
      </c>
      <c r="H557" s="8">
        <v>44447</v>
      </c>
      <c r="I557" s="6" t="s">
        <v>49</v>
      </c>
      <c r="J557" s="6" t="s">
        <v>16</v>
      </c>
    </row>
    <row r="558" spans="1:10" x14ac:dyDescent="0.3">
      <c r="A558" s="6" t="s">
        <v>602</v>
      </c>
      <c r="B558" s="6" t="s">
        <v>42</v>
      </c>
      <c r="C558" s="7">
        <v>23</v>
      </c>
      <c r="D558" s="5" t="s">
        <v>32</v>
      </c>
      <c r="E558" s="6" t="s">
        <v>19</v>
      </c>
      <c r="F558" s="6" t="s">
        <v>88</v>
      </c>
      <c r="G558" s="5">
        <v>37</v>
      </c>
      <c r="H558" s="8">
        <v>44162</v>
      </c>
      <c r="I558" s="6" t="s">
        <v>39</v>
      </c>
      <c r="J558" s="6" t="s">
        <v>27</v>
      </c>
    </row>
    <row r="559" spans="1:10" x14ac:dyDescent="0.3">
      <c r="A559" s="6" t="s">
        <v>603</v>
      </c>
      <c r="B559" s="6" t="s">
        <v>31</v>
      </c>
      <c r="C559" s="7">
        <v>49</v>
      </c>
      <c r="D559" s="5" t="s">
        <v>46</v>
      </c>
      <c r="E559" s="6" t="s">
        <v>13</v>
      </c>
      <c r="F559" s="6" t="s">
        <v>25</v>
      </c>
      <c r="G559" s="5">
        <v>59</v>
      </c>
      <c r="H559" s="8">
        <v>43498</v>
      </c>
      <c r="I559" s="6" t="s">
        <v>62</v>
      </c>
      <c r="J559" s="6" t="s">
        <v>22</v>
      </c>
    </row>
    <row r="560" spans="1:10" x14ac:dyDescent="0.3">
      <c r="A560" s="6" t="s">
        <v>604</v>
      </c>
      <c r="B560" s="6" t="s">
        <v>24</v>
      </c>
      <c r="C560" s="7">
        <v>40</v>
      </c>
      <c r="D560" s="5" t="s">
        <v>12</v>
      </c>
      <c r="E560" s="6" t="s">
        <v>13</v>
      </c>
      <c r="F560" s="6" t="s">
        <v>38</v>
      </c>
      <c r="G560" s="5">
        <v>27</v>
      </c>
      <c r="H560" s="8">
        <v>44474</v>
      </c>
      <c r="I560" s="6" t="s">
        <v>39</v>
      </c>
      <c r="J560" s="6" t="s">
        <v>16</v>
      </c>
    </row>
    <row r="561" spans="1:10" x14ac:dyDescent="0.3">
      <c r="A561" s="6" t="s">
        <v>605</v>
      </c>
      <c r="B561" s="6" t="s">
        <v>24</v>
      </c>
      <c r="C561" s="7">
        <v>18</v>
      </c>
      <c r="D561" s="5" t="s">
        <v>32</v>
      </c>
      <c r="E561" s="6" t="s">
        <v>13</v>
      </c>
      <c r="F561" s="6" t="s">
        <v>36</v>
      </c>
      <c r="G561" s="5">
        <v>3</v>
      </c>
      <c r="H561" s="8">
        <v>45192</v>
      </c>
      <c r="I561" s="6" t="s">
        <v>34</v>
      </c>
      <c r="J561" s="6" t="s">
        <v>27</v>
      </c>
    </row>
    <row r="562" spans="1:10" x14ac:dyDescent="0.3">
      <c r="A562" s="6" t="s">
        <v>606</v>
      </c>
      <c r="B562" s="6" t="s">
        <v>42</v>
      </c>
      <c r="C562" s="7">
        <v>27</v>
      </c>
      <c r="D562" s="5" t="s">
        <v>18</v>
      </c>
      <c r="E562" s="6" t="s">
        <v>13</v>
      </c>
      <c r="F562" s="6" t="s">
        <v>38</v>
      </c>
      <c r="G562" s="5">
        <v>44</v>
      </c>
      <c r="H562" s="8">
        <v>43943</v>
      </c>
      <c r="I562" s="6" t="s">
        <v>49</v>
      </c>
      <c r="J562" s="6" t="s">
        <v>27</v>
      </c>
    </row>
    <row r="563" spans="1:10" x14ac:dyDescent="0.3">
      <c r="A563" s="6" t="s">
        <v>607</v>
      </c>
      <c r="B563" s="6" t="s">
        <v>11</v>
      </c>
      <c r="C563" s="7">
        <v>39</v>
      </c>
      <c r="D563" s="5" t="s">
        <v>12</v>
      </c>
      <c r="E563" s="6" t="s">
        <v>13</v>
      </c>
      <c r="F563" s="6" t="s">
        <v>14</v>
      </c>
      <c r="G563" s="5">
        <v>51</v>
      </c>
      <c r="H563" s="8">
        <v>43759</v>
      </c>
      <c r="I563" s="6" t="s">
        <v>49</v>
      </c>
      <c r="J563" s="6" t="s">
        <v>22</v>
      </c>
    </row>
    <row r="564" spans="1:10" x14ac:dyDescent="0.3">
      <c r="A564" s="6" t="s">
        <v>608</v>
      </c>
      <c r="B564" s="6" t="s">
        <v>11</v>
      </c>
      <c r="C564" s="7">
        <v>24</v>
      </c>
      <c r="D564" s="5" t="s">
        <v>32</v>
      </c>
      <c r="E564" s="6" t="s">
        <v>13</v>
      </c>
      <c r="F564" s="6" t="s">
        <v>54</v>
      </c>
      <c r="G564" s="5">
        <v>56</v>
      </c>
      <c r="H564" s="8">
        <v>43591</v>
      </c>
      <c r="I564" s="6" t="s">
        <v>26</v>
      </c>
      <c r="J564" s="6" t="s">
        <v>16</v>
      </c>
    </row>
    <row r="565" spans="1:10" x14ac:dyDescent="0.3">
      <c r="A565" s="6" t="s">
        <v>609</v>
      </c>
      <c r="B565" s="6" t="s">
        <v>24</v>
      </c>
      <c r="C565" s="7">
        <v>34</v>
      </c>
      <c r="D565" s="5" t="s">
        <v>18</v>
      </c>
      <c r="E565" s="6" t="s">
        <v>19</v>
      </c>
      <c r="F565" s="6" t="s">
        <v>38</v>
      </c>
      <c r="G565" s="5">
        <v>31</v>
      </c>
      <c r="H565" s="8">
        <v>44340</v>
      </c>
      <c r="I565" s="6" t="s">
        <v>15</v>
      </c>
      <c r="J565" s="6" t="s">
        <v>16</v>
      </c>
    </row>
    <row r="566" spans="1:10" x14ac:dyDescent="0.3">
      <c r="A566" s="6" t="s">
        <v>610</v>
      </c>
      <c r="B566" s="6" t="s">
        <v>11</v>
      </c>
      <c r="C566" s="7">
        <v>18</v>
      </c>
      <c r="D566" s="5" t="s">
        <v>32</v>
      </c>
      <c r="E566" s="6" t="s">
        <v>13</v>
      </c>
      <c r="F566" s="6" t="s">
        <v>38</v>
      </c>
      <c r="G566" s="5">
        <v>26</v>
      </c>
      <c r="H566" s="8">
        <v>44489</v>
      </c>
      <c r="I566" s="6" t="s">
        <v>29</v>
      </c>
      <c r="J566" s="6" t="s">
        <v>16</v>
      </c>
    </row>
    <row r="567" spans="1:10" x14ac:dyDescent="0.3">
      <c r="A567" s="6" t="s">
        <v>611</v>
      </c>
      <c r="B567" s="6" t="s">
        <v>42</v>
      </c>
      <c r="C567" s="7">
        <v>38</v>
      </c>
      <c r="D567" s="5" t="s">
        <v>12</v>
      </c>
      <c r="E567" s="6" t="s">
        <v>13</v>
      </c>
      <c r="F567" s="6" t="s">
        <v>20</v>
      </c>
      <c r="G567" s="5">
        <v>36</v>
      </c>
      <c r="H567" s="8">
        <v>44193</v>
      </c>
      <c r="I567" s="6" t="s">
        <v>47</v>
      </c>
      <c r="J567" s="6" t="s">
        <v>27</v>
      </c>
    </row>
    <row r="568" spans="1:10" x14ac:dyDescent="0.3">
      <c r="A568" s="6" t="s">
        <v>612</v>
      </c>
      <c r="B568" s="6" t="s">
        <v>61</v>
      </c>
      <c r="C568" s="7">
        <v>30</v>
      </c>
      <c r="D568" s="5" t="s">
        <v>18</v>
      </c>
      <c r="E568" s="6" t="s">
        <v>19</v>
      </c>
      <c r="F568" s="6" t="s">
        <v>56</v>
      </c>
      <c r="G568" s="5">
        <v>46</v>
      </c>
      <c r="H568" s="8">
        <v>43900</v>
      </c>
      <c r="I568" s="6" t="s">
        <v>49</v>
      </c>
      <c r="J568" s="6" t="s">
        <v>27</v>
      </c>
    </row>
    <row r="569" spans="1:10" x14ac:dyDescent="0.3">
      <c r="A569" s="6" t="s">
        <v>613</v>
      </c>
      <c r="B569" s="6" t="s">
        <v>11</v>
      </c>
      <c r="C569" s="7">
        <v>30</v>
      </c>
      <c r="D569" s="5" t="s">
        <v>18</v>
      </c>
      <c r="E569" s="6" t="s">
        <v>19</v>
      </c>
      <c r="F569" s="6" t="s">
        <v>14</v>
      </c>
      <c r="G569" s="5">
        <v>48</v>
      </c>
      <c r="H569" s="8">
        <v>43830</v>
      </c>
      <c r="I569" s="6" t="s">
        <v>15</v>
      </c>
      <c r="J569" s="6" t="s">
        <v>27</v>
      </c>
    </row>
    <row r="570" spans="1:10" x14ac:dyDescent="0.3">
      <c r="A570" s="6" t="s">
        <v>614</v>
      </c>
      <c r="B570" s="6" t="s">
        <v>24</v>
      </c>
      <c r="C570" s="7">
        <v>18</v>
      </c>
      <c r="D570" s="5" t="s">
        <v>32</v>
      </c>
      <c r="E570" s="6" t="s">
        <v>13</v>
      </c>
      <c r="F570" s="6" t="s">
        <v>88</v>
      </c>
      <c r="G570" s="5">
        <v>34</v>
      </c>
      <c r="H570" s="8">
        <v>44270</v>
      </c>
      <c r="I570" s="6" t="s">
        <v>49</v>
      </c>
      <c r="J570" s="6" t="s">
        <v>22</v>
      </c>
    </row>
    <row r="571" spans="1:10" x14ac:dyDescent="0.3">
      <c r="A571" s="6" t="s">
        <v>615</v>
      </c>
      <c r="B571" s="6" t="s">
        <v>31</v>
      </c>
      <c r="C571" s="7">
        <v>29</v>
      </c>
      <c r="D571" s="5" t="s">
        <v>18</v>
      </c>
      <c r="E571" s="6" t="s">
        <v>19</v>
      </c>
      <c r="F571" s="6" t="s">
        <v>88</v>
      </c>
      <c r="G571" s="5">
        <v>54</v>
      </c>
      <c r="H571" s="8">
        <v>43655</v>
      </c>
      <c r="I571" s="6" t="s">
        <v>62</v>
      </c>
      <c r="J571" s="6" t="s">
        <v>16</v>
      </c>
    </row>
    <row r="572" spans="1:10" x14ac:dyDescent="0.3">
      <c r="A572" s="6" t="s">
        <v>616</v>
      </c>
      <c r="B572" s="6" t="s">
        <v>31</v>
      </c>
      <c r="C572" s="7">
        <v>38</v>
      </c>
      <c r="D572" s="5" t="s">
        <v>12</v>
      </c>
      <c r="E572" s="6" t="s">
        <v>13</v>
      </c>
      <c r="F572" s="6" t="s">
        <v>38</v>
      </c>
      <c r="G572" s="5">
        <v>8</v>
      </c>
      <c r="H572" s="8">
        <v>45046</v>
      </c>
      <c r="I572" s="6" t="s">
        <v>49</v>
      </c>
      <c r="J572" s="6" t="s">
        <v>65</v>
      </c>
    </row>
    <row r="573" spans="1:10" x14ac:dyDescent="0.3">
      <c r="A573" s="6" t="s">
        <v>617</v>
      </c>
      <c r="B573" s="6" t="s">
        <v>11</v>
      </c>
      <c r="C573" s="7">
        <v>31</v>
      </c>
      <c r="D573" s="5" t="s">
        <v>18</v>
      </c>
      <c r="E573" s="6" t="s">
        <v>19</v>
      </c>
      <c r="F573" s="6" t="s">
        <v>36</v>
      </c>
      <c r="G573" s="5">
        <v>7</v>
      </c>
      <c r="H573" s="8">
        <v>45077</v>
      </c>
      <c r="I573" s="6" t="s">
        <v>34</v>
      </c>
      <c r="J573" s="6" t="s">
        <v>22</v>
      </c>
    </row>
    <row r="574" spans="1:10" x14ac:dyDescent="0.3">
      <c r="A574" s="6" t="s">
        <v>618</v>
      </c>
      <c r="B574" s="6" t="s">
        <v>24</v>
      </c>
      <c r="C574" s="7">
        <v>24</v>
      </c>
      <c r="D574" s="5" t="s">
        <v>32</v>
      </c>
      <c r="E574" s="6" t="s">
        <v>13</v>
      </c>
      <c r="F574" s="6" t="s">
        <v>14</v>
      </c>
      <c r="G574" s="5">
        <v>8</v>
      </c>
      <c r="H574" s="8">
        <v>45026</v>
      </c>
      <c r="I574" s="6" t="s">
        <v>21</v>
      </c>
      <c r="J574" s="6" t="s">
        <v>16</v>
      </c>
    </row>
    <row r="575" spans="1:10" x14ac:dyDescent="0.3">
      <c r="A575" s="6" t="s">
        <v>619</v>
      </c>
      <c r="B575" s="6" t="s">
        <v>11</v>
      </c>
      <c r="C575" s="7">
        <v>24</v>
      </c>
      <c r="D575" s="5" t="s">
        <v>32</v>
      </c>
      <c r="E575" s="6" t="s">
        <v>13</v>
      </c>
      <c r="F575" s="6" t="s">
        <v>88</v>
      </c>
      <c r="G575" s="5">
        <v>37</v>
      </c>
      <c r="H575" s="8">
        <v>44166</v>
      </c>
      <c r="I575" s="6" t="s">
        <v>15</v>
      </c>
      <c r="J575" s="6" t="s">
        <v>22</v>
      </c>
    </row>
    <row r="576" spans="1:10" x14ac:dyDescent="0.3">
      <c r="A576" s="6" t="s">
        <v>620</v>
      </c>
      <c r="B576" s="6" t="s">
        <v>31</v>
      </c>
      <c r="C576" s="7">
        <v>24</v>
      </c>
      <c r="D576" s="5" t="s">
        <v>32</v>
      </c>
      <c r="E576" s="6" t="s">
        <v>19</v>
      </c>
      <c r="F576" s="6" t="s">
        <v>56</v>
      </c>
      <c r="G576" s="5">
        <v>10</v>
      </c>
      <c r="H576" s="8">
        <v>44966</v>
      </c>
      <c r="I576" s="6" t="s">
        <v>21</v>
      </c>
      <c r="J576" s="6" t="s">
        <v>22</v>
      </c>
    </row>
    <row r="577" spans="1:10" x14ac:dyDescent="0.3">
      <c r="A577" s="6" t="s">
        <v>621</v>
      </c>
      <c r="B577" s="6" t="s">
        <v>31</v>
      </c>
      <c r="C577" s="7">
        <v>18</v>
      </c>
      <c r="D577" s="5" t="s">
        <v>32</v>
      </c>
      <c r="E577" s="6" t="s">
        <v>105</v>
      </c>
      <c r="F577" s="6" t="s">
        <v>88</v>
      </c>
      <c r="G577" s="5">
        <v>33</v>
      </c>
      <c r="H577" s="8">
        <v>44283</v>
      </c>
      <c r="I577" s="6" t="s">
        <v>15</v>
      </c>
      <c r="J577" s="6" t="s">
        <v>27</v>
      </c>
    </row>
    <row r="578" spans="1:10" x14ac:dyDescent="0.3">
      <c r="A578" s="6" t="s">
        <v>622</v>
      </c>
      <c r="B578" s="6" t="s">
        <v>61</v>
      </c>
      <c r="C578" s="7">
        <v>30</v>
      </c>
      <c r="D578" s="5" t="s">
        <v>18</v>
      </c>
      <c r="E578" s="6" t="s">
        <v>19</v>
      </c>
      <c r="F578" s="6" t="s">
        <v>36</v>
      </c>
      <c r="G578" s="5">
        <v>50</v>
      </c>
      <c r="H578" s="8">
        <v>43773</v>
      </c>
      <c r="I578" s="6" t="s">
        <v>49</v>
      </c>
      <c r="J578" s="6" t="s">
        <v>16</v>
      </c>
    </row>
    <row r="579" spans="1:10" x14ac:dyDescent="0.3">
      <c r="A579" s="6" t="s">
        <v>623</v>
      </c>
      <c r="B579" s="6" t="s">
        <v>24</v>
      </c>
      <c r="C579" s="7">
        <v>22</v>
      </c>
      <c r="D579" s="5" t="s">
        <v>32</v>
      </c>
      <c r="E579" s="6" t="s">
        <v>19</v>
      </c>
      <c r="F579" s="6" t="s">
        <v>14</v>
      </c>
      <c r="G579" s="5">
        <v>20</v>
      </c>
      <c r="H579" s="8">
        <v>44684</v>
      </c>
      <c r="I579" s="6" t="s">
        <v>15</v>
      </c>
      <c r="J579" s="6" t="s">
        <v>22</v>
      </c>
    </row>
    <row r="580" spans="1:10" x14ac:dyDescent="0.3">
      <c r="A580" s="6" t="s">
        <v>624</v>
      </c>
      <c r="B580" s="6" t="s">
        <v>31</v>
      </c>
      <c r="C580" s="7">
        <v>31</v>
      </c>
      <c r="D580" s="5" t="s">
        <v>18</v>
      </c>
      <c r="E580" s="6" t="s">
        <v>13</v>
      </c>
      <c r="F580" s="6" t="s">
        <v>36</v>
      </c>
      <c r="G580" s="5">
        <v>20</v>
      </c>
      <c r="H580" s="8">
        <v>44666</v>
      </c>
      <c r="I580" s="6" t="s">
        <v>39</v>
      </c>
      <c r="J580" s="6" t="s">
        <v>16</v>
      </c>
    </row>
    <row r="581" spans="1:10" x14ac:dyDescent="0.3">
      <c r="A581" s="6" t="s">
        <v>625</v>
      </c>
      <c r="B581" s="6" t="s">
        <v>61</v>
      </c>
      <c r="C581" s="7">
        <v>40</v>
      </c>
      <c r="D581" s="5" t="s">
        <v>12</v>
      </c>
      <c r="E581" s="6" t="s">
        <v>13</v>
      </c>
      <c r="F581" s="6" t="s">
        <v>54</v>
      </c>
      <c r="G581" s="5">
        <v>4</v>
      </c>
      <c r="H581" s="8">
        <v>45147</v>
      </c>
      <c r="I581" s="6" t="s">
        <v>29</v>
      </c>
      <c r="J581" s="6" t="s">
        <v>27</v>
      </c>
    </row>
    <row r="582" spans="1:10" x14ac:dyDescent="0.3">
      <c r="A582" s="6" t="s">
        <v>626</v>
      </c>
      <c r="B582" s="6" t="s">
        <v>31</v>
      </c>
      <c r="C582" s="7">
        <v>34</v>
      </c>
      <c r="D582" s="5" t="s">
        <v>18</v>
      </c>
      <c r="E582" s="6" t="s">
        <v>13</v>
      </c>
      <c r="F582" s="6" t="s">
        <v>36</v>
      </c>
      <c r="G582" s="5">
        <v>21</v>
      </c>
      <c r="H582" s="8">
        <v>44643</v>
      </c>
      <c r="I582" s="6" t="s">
        <v>39</v>
      </c>
      <c r="J582" s="6" t="s">
        <v>22</v>
      </c>
    </row>
    <row r="583" spans="1:10" x14ac:dyDescent="0.3">
      <c r="A583" s="6" t="s">
        <v>627</v>
      </c>
      <c r="B583" s="6" t="s">
        <v>31</v>
      </c>
      <c r="C583" s="7">
        <v>32</v>
      </c>
      <c r="D583" s="5" t="s">
        <v>18</v>
      </c>
      <c r="E583" s="6" t="s">
        <v>13</v>
      </c>
      <c r="F583" s="6" t="s">
        <v>36</v>
      </c>
      <c r="G583" s="5">
        <v>44</v>
      </c>
      <c r="H583" s="8">
        <v>43949</v>
      </c>
      <c r="I583" s="6" t="s">
        <v>62</v>
      </c>
      <c r="J583" s="6" t="s">
        <v>16</v>
      </c>
    </row>
    <row r="584" spans="1:10" x14ac:dyDescent="0.3">
      <c r="A584" s="6" t="s">
        <v>628</v>
      </c>
      <c r="B584" s="6" t="s">
        <v>24</v>
      </c>
      <c r="C584" s="7">
        <v>23</v>
      </c>
      <c r="D584" s="5" t="s">
        <v>32</v>
      </c>
      <c r="E584" s="6" t="s">
        <v>19</v>
      </c>
      <c r="F584" s="6" t="s">
        <v>38</v>
      </c>
      <c r="G584" s="5">
        <v>23</v>
      </c>
      <c r="H584" s="8">
        <v>44596</v>
      </c>
      <c r="I584" s="6" t="s">
        <v>29</v>
      </c>
      <c r="J584" s="6" t="s">
        <v>22</v>
      </c>
    </row>
    <row r="585" spans="1:10" x14ac:dyDescent="0.3">
      <c r="A585" s="6" t="s">
        <v>629</v>
      </c>
      <c r="B585" s="6" t="s">
        <v>42</v>
      </c>
      <c r="C585" s="7">
        <v>51</v>
      </c>
      <c r="D585" s="5" t="s">
        <v>46</v>
      </c>
      <c r="E585" s="6" t="s">
        <v>19</v>
      </c>
      <c r="F585" s="6" t="s">
        <v>38</v>
      </c>
      <c r="G585" s="5">
        <v>52</v>
      </c>
      <c r="H585" s="8">
        <v>43719</v>
      </c>
      <c r="I585" s="6" t="s">
        <v>15</v>
      </c>
      <c r="J585" s="6" t="s">
        <v>65</v>
      </c>
    </row>
    <row r="586" spans="1:10" x14ac:dyDescent="0.3">
      <c r="A586" s="6" t="s">
        <v>630</v>
      </c>
      <c r="B586" s="6" t="s">
        <v>11</v>
      </c>
      <c r="C586" s="7">
        <v>23</v>
      </c>
      <c r="D586" s="5" t="s">
        <v>32</v>
      </c>
      <c r="E586" s="6" t="s">
        <v>19</v>
      </c>
      <c r="F586" s="6" t="s">
        <v>25</v>
      </c>
      <c r="G586" s="5">
        <v>6</v>
      </c>
      <c r="H586" s="8">
        <v>45089</v>
      </c>
      <c r="I586" s="6" t="s">
        <v>29</v>
      </c>
      <c r="J586" s="6" t="s">
        <v>27</v>
      </c>
    </row>
    <row r="587" spans="1:10" x14ac:dyDescent="0.3">
      <c r="A587" s="6" t="s">
        <v>631</v>
      </c>
      <c r="B587" s="6" t="s">
        <v>24</v>
      </c>
      <c r="C587" s="7">
        <v>50</v>
      </c>
      <c r="D587" s="5" t="s">
        <v>46</v>
      </c>
      <c r="E587" s="6" t="s">
        <v>19</v>
      </c>
      <c r="F587" s="6" t="s">
        <v>54</v>
      </c>
      <c r="G587" s="5">
        <v>40</v>
      </c>
      <c r="H587" s="8">
        <v>44081</v>
      </c>
      <c r="I587" s="6" t="s">
        <v>26</v>
      </c>
      <c r="J587" s="6" t="s">
        <v>22</v>
      </c>
    </row>
    <row r="588" spans="1:10" x14ac:dyDescent="0.3">
      <c r="A588" s="6" t="s">
        <v>632</v>
      </c>
      <c r="B588" s="6" t="s">
        <v>42</v>
      </c>
      <c r="C588" s="7">
        <v>25</v>
      </c>
      <c r="D588" s="5" t="s">
        <v>18</v>
      </c>
      <c r="E588" s="6" t="s">
        <v>13</v>
      </c>
      <c r="F588" s="6" t="s">
        <v>54</v>
      </c>
      <c r="G588" s="5">
        <v>42</v>
      </c>
      <c r="H588" s="8">
        <v>44029</v>
      </c>
      <c r="I588" s="6" t="s">
        <v>62</v>
      </c>
      <c r="J588" s="6" t="s">
        <v>16</v>
      </c>
    </row>
    <row r="589" spans="1:10" x14ac:dyDescent="0.3">
      <c r="A589" s="6" t="s">
        <v>633</v>
      </c>
      <c r="B589" s="6" t="s">
        <v>61</v>
      </c>
      <c r="C589" s="7">
        <v>18</v>
      </c>
      <c r="D589" s="5" t="s">
        <v>32</v>
      </c>
      <c r="E589" s="6" t="s">
        <v>19</v>
      </c>
      <c r="F589" s="6" t="s">
        <v>54</v>
      </c>
      <c r="G589" s="5">
        <v>37</v>
      </c>
      <c r="H589" s="8">
        <v>44165</v>
      </c>
      <c r="I589" s="6" t="s">
        <v>15</v>
      </c>
      <c r="J589" s="6" t="s">
        <v>16</v>
      </c>
    </row>
    <row r="590" spans="1:10" x14ac:dyDescent="0.3">
      <c r="A590" s="6" t="s">
        <v>634</v>
      </c>
      <c r="B590" s="6" t="s">
        <v>24</v>
      </c>
      <c r="C590" s="7">
        <v>18</v>
      </c>
      <c r="D590" s="5" t="s">
        <v>32</v>
      </c>
      <c r="E590" s="6" t="s">
        <v>13</v>
      </c>
      <c r="F590" s="6" t="s">
        <v>88</v>
      </c>
      <c r="G590" s="5">
        <v>17</v>
      </c>
      <c r="H590" s="8">
        <v>44756</v>
      </c>
      <c r="I590" s="6" t="s">
        <v>29</v>
      </c>
      <c r="J590" s="6" t="s">
        <v>16</v>
      </c>
    </row>
    <row r="591" spans="1:10" x14ac:dyDescent="0.3">
      <c r="A591" s="6" t="s">
        <v>635</v>
      </c>
      <c r="B591" s="6" t="s">
        <v>31</v>
      </c>
      <c r="C591" s="7">
        <v>27</v>
      </c>
      <c r="D591" s="5" t="s">
        <v>18</v>
      </c>
      <c r="E591" s="6" t="s">
        <v>13</v>
      </c>
      <c r="F591" s="6" t="s">
        <v>20</v>
      </c>
      <c r="G591" s="5">
        <v>26</v>
      </c>
      <c r="H591" s="8">
        <v>44487</v>
      </c>
      <c r="I591" s="6" t="s">
        <v>29</v>
      </c>
      <c r="J591" s="6" t="s">
        <v>22</v>
      </c>
    </row>
    <row r="592" spans="1:10" x14ac:dyDescent="0.3">
      <c r="A592" s="6" t="s">
        <v>636</v>
      </c>
      <c r="B592" s="6" t="s">
        <v>11</v>
      </c>
      <c r="C592" s="7">
        <v>26</v>
      </c>
      <c r="D592" s="5" t="s">
        <v>18</v>
      </c>
      <c r="E592" s="6" t="s">
        <v>19</v>
      </c>
      <c r="F592" s="6" t="s">
        <v>25</v>
      </c>
      <c r="G592" s="5">
        <v>12</v>
      </c>
      <c r="H592" s="8">
        <v>44913</v>
      </c>
      <c r="I592" s="6" t="s">
        <v>34</v>
      </c>
      <c r="J592" s="6" t="s">
        <v>65</v>
      </c>
    </row>
    <row r="593" spans="1:10" x14ac:dyDescent="0.3">
      <c r="A593" s="6" t="s">
        <v>637</v>
      </c>
      <c r="B593" s="6" t="s">
        <v>31</v>
      </c>
      <c r="C593" s="7">
        <v>29</v>
      </c>
      <c r="D593" s="5" t="s">
        <v>18</v>
      </c>
      <c r="E593" s="6" t="s">
        <v>19</v>
      </c>
      <c r="F593" s="6" t="s">
        <v>54</v>
      </c>
      <c r="G593" s="5">
        <v>45</v>
      </c>
      <c r="H593" s="8">
        <v>43916</v>
      </c>
      <c r="I593" s="6" t="s">
        <v>39</v>
      </c>
      <c r="J593" s="6" t="s">
        <v>16</v>
      </c>
    </row>
    <row r="594" spans="1:10" x14ac:dyDescent="0.3">
      <c r="A594" s="6" t="s">
        <v>638</v>
      </c>
      <c r="B594" s="6" t="s">
        <v>24</v>
      </c>
      <c r="C594" s="7">
        <v>46</v>
      </c>
      <c r="D594" s="5" t="s">
        <v>46</v>
      </c>
      <c r="E594" s="6" t="s">
        <v>13</v>
      </c>
      <c r="F594" s="6" t="s">
        <v>36</v>
      </c>
      <c r="G594" s="5">
        <v>35</v>
      </c>
      <c r="H594" s="8">
        <v>44234</v>
      </c>
      <c r="I594" s="6" t="s">
        <v>21</v>
      </c>
      <c r="J594" s="6" t="s">
        <v>16</v>
      </c>
    </row>
    <row r="595" spans="1:10" x14ac:dyDescent="0.3">
      <c r="A595" s="6" t="s">
        <v>639</v>
      </c>
      <c r="B595" s="6" t="s">
        <v>31</v>
      </c>
      <c r="C595" s="7">
        <v>27</v>
      </c>
      <c r="D595" s="5" t="s">
        <v>18</v>
      </c>
      <c r="E595" s="6" t="s">
        <v>19</v>
      </c>
      <c r="F595" s="6" t="s">
        <v>38</v>
      </c>
      <c r="G595" s="5">
        <v>12</v>
      </c>
      <c r="H595" s="8">
        <v>44924</v>
      </c>
      <c r="I595" s="6" t="s">
        <v>47</v>
      </c>
      <c r="J595" s="6" t="s">
        <v>16</v>
      </c>
    </row>
    <row r="596" spans="1:10" x14ac:dyDescent="0.3">
      <c r="A596" s="6" t="s">
        <v>640</v>
      </c>
      <c r="B596" s="6" t="s">
        <v>11</v>
      </c>
      <c r="C596" s="7">
        <v>30</v>
      </c>
      <c r="D596" s="5" t="s">
        <v>18</v>
      </c>
      <c r="E596" s="6" t="s">
        <v>19</v>
      </c>
      <c r="F596" s="6" t="s">
        <v>33</v>
      </c>
      <c r="G596" s="5">
        <v>48</v>
      </c>
      <c r="H596" s="8">
        <v>43833</v>
      </c>
      <c r="I596" s="6" t="s">
        <v>29</v>
      </c>
      <c r="J596" s="6" t="s">
        <v>27</v>
      </c>
    </row>
    <row r="597" spans="1:10" x14ac:dyDescent="0.3">
      <c r="A597" s="6" t="s">
        <v>641</v>
      </c>
      <c r="B597" s="6" t="s">
        <v>42</v>
      </c>
      <c r="C597" s="7">
        <v>25</v>
      </c>
      <c r="D597" s="5" t="s">
        <v>18</v>
      </c>
      <c r="E597" s="6" t="s">
        <v>19</v>
      </c>
      <c r="F597" s="6" t="s">
        <v>33</v>
      </c>
      <c r="G597" s="5">
        <v>47</v>
      </c>
      <c r="H597" s="8">
        <v>43862</v>
      </c>
      <c r="I597" s="6" t="s">
        <v>47</v>
      </c>
      <c r="J597" s="6" t="s">
        <v>27</v>
      </c>
    </row>
    <row r="598" spans="1:10" x14ac:dyDescent="0.3">
      <c r="A598" s="6" t="s">
        <v>642</v>
      </c>
      <c r="B598" s="6" t="s">
        <v>31</v>
      </c>
      <c r="C598" s="7">
        <v>22</v>
      </c>
      <c r="D598" s="5" t="s">
        <v>32</v>
      </c>
      <c r="E598" s="6" t="s">
        <v>13</v>
      </c>
      <c r="F598" s="6" t="s">
        <v>54</v>
      </c>
      <c r="G598" s="5">
        <v>26</v>
      </c>
      <c r="H598" s="8">
        <v>44498</v>
      </c>
      <c r="I598" s="6" t="s">
        <v>29</v>
      </c>
      <c r="J598" s="6" t="s">
        <v>27</v>
      </c>
    </row>
    <row r="599" spans="1:10" x14ac:dyDescent="0.3">
      <c r="A599" s="6" t="s">
        <v>643</v>
      </c>
      <c r="B599" s="6" t="s">
        <v>11</v>
      </c>
      <c r="C599" s="7">
        <v>37</v>
      </c>
      <c r="D599" s="5" t="s">
        <v>12</v>
      </c>
      <c r="E599" s="6" t="s">
        <v>13</v>
      </c>
      <c r="F599" s="6" t="s">
        <v>14</v>
      </c>
      <c r="G599" s="5">
        <v>44</v>
      </c>
      <c r="H599" s="8">
        <v>43946</v>
      </c>
      <c r="I599" s="6" t="s">
        <v>62</v>
      </c>
      <c r="J599" s="6" t="s">
        <v>22</v>
      </c>
    </row>
    <row r="600" spans="1:10" x14ac:dyDescent="0.3">
      <c r="A600" s="6" t="s">
        <v>644</v>
      </c>
      <c r="B600" s="6" t="s">
        <v>24</v>
      </c>
      <c r="C600" s="7">
        <v>35</v>
      </c>
      <c r="D600" s="5" t="s">
        <v>12</v>
      </c>
      <c r="E600" s="6" t="s">
        <v>19</v>
      </c>
      <c r="F600" s="6" t="s">
        <v>64</v>
      </c>
      <c r="G600" s="5">
        <v>25</v>
      </c>
      <c r="H600" s="8">
        <v>44536</v>
      </c>
      <c r="I600" s="6" t="s">
        <v>47</v>
      </c>
      <c r="J600" s="6" t="s">
        <v>16</v>
      </c>
    </row>
    <row r="601" spans="1:10" x14ac:dyDescent="0.3">
      <c r="A601" s="6" t="s">
        <v>645</v>
      </c>
      <c r="B601" s="6" t="s">
        <v>24</v>
      </c>
      <c r="C601" s="7">
        <v>24</v>
      </c>
      <c r="D601" s="5" t="s">
        <v>32</v>
      </c>
      <c r="E601" s="6" t="s">
        <v>13</v>
      </c>
      <c r="F601" s="6" t="s">
        <v>56</v>
      </c>
      <c r="G601" s="5">
        <v>30</v>
      </c>
      <c r="H601" s="8">
        <v>44385</v>
      </c>
      <c r="I601" s="6" t="s">
        <v>39</v>
      </c>
      <c r="J601" s="6" t="s">
        <v>27</v>
      </c>
    </row>
    <row r="602" spans="1:10" x14ac:dyDescent="0.3">
      <c r="A602" s="6" t="s">
        <v>646</v>
      </c>
      <c r="B602" s="6" t="s">
        <v>31</v>
      </c>
      <c r="C602" s="7">
        <v>33</v>
      </c>
      <c r="D602" s="5" t="s">
        <v>18</v>
      </c>
      <c r="E602" s="6" t="s">
        <v>13</v>
      </c>
      <c r="F602" s="6" t="s">
        <v>54</v>
      </c>
      <c r="G602" s="5">
        <v>27</v>
      </c>
      <c r="H602" s="8">
        <v>44454</v>
      </c>
      <c r="I602" s="6" t="s">
        <v>49</v>
      </c>
      <c r="J602" s="6" t="s">
        <v>22</v>
      </c>
    </row>
    <row r="603" spans="1:10" x14ac:dyDescent="0.3">
      <c r="A603" s="6" t="s">
        <v>647</v>
      </c>
      <c r="B603" s="6" t="s">
        <v>11</v>
      </c>
      <c r="C603" s="7">
        <v>33</v>
      </c>
      <c r="D603" s="5" t="s">
        <v>18</v>
      </c>
      <c r="E603" s="6" t="s">
        <v>13</v>
      </c>
      <c r="F603" s="6" t="s">
        <v>64</v>
      </c>
      <c r="G603" s="5">
        <v>35</v>
      </c>
      <c r="H603" s="8">
        <v>44235</v>
      </c>
      <c r="I603" s="6" t="s">
        <v>49</v>
      </c>
      <c r="J603" s="6" t="s">
        <v>16</v>
      </c>
    </row>
    <row r="604" spans="1:10" x14ac:dyDescent="0.3">
      <c r="A604" s="6" t="s">
        <v>648</v>
      </c>
      <c r="B604" s="6" t="s">
        <v>11</v>
      </c>
      <c r="C604" s="7">
        <v>41</v>
      </c>
      <c r="D604" s="5" t="s">
        <v>12</v>
      </c>
      <c r="E604" s="6" t="s">
        <v>13</v>
      </c>
      <c r="F604" s="6" t="s">
        <v>36</v>
      </c>
      <c r="G604" s="5">
        <v>20</v>
      </c>
      <c r="H604" s="8">
        <v>44670</v>
      </c>
      <c r="I604" s="6" t="s">
        <v>21</v>
      </c>
      <c r="J604" s="6" t="s">
        <v>27</v>
      </c>
    </row>
    <row r="605" spans="1:10" x14ac:dyDescent="0.3">
      <c r="A605" s="6" t="s">
        <v>649</v>
      </c>
      <c r="B605" s="6" t="s">
        <v>31</v>
      </c>
      <c r="C605" s="7">
        <v>21</v>
      </c>
      <c r="D605" s="5" t="s">
        <v>32</v>
      </c>
      <c r="E605" s="6" t="s">
        <v>19</v>
      </c>
      <c r="F605" s="6" t="s">
        <v>38</v>
      </c>
      <c r="G605" s="5">
        <v>48</v>
      </c>
      <c r="H605" s="8">
        <v>43827</v>
      </c>
      <c r="I605" s="6" t="s">
        <v>62</v>
      </c>
      <c r="J605" s="6" t="s">
        <v>27</v>
      </c>
    </row>
    <row r="606" spans="1:10" x14ac:dyDescent="0.3">
      <c r="A606" s="6" t="s">
        <v>650</v>
      </c>
      <c r="B606" s="6" t="s">
        <v>24</v>
      </c>
      <c r="C606" s="7">
        <v>35</v>
      </c>
      <c r="D606" s="5" t="s">
        <v>12</v>
      </c>
      <c r="E606" s="6" t="s">
        <v>19</v>
      </c>
      <c r="F606" s="6" t="s">
        <v>38</v>
      </c>
      <c r="G606" s="5">
        <v>60</v>
      </c>
      <c r="H606" s="8">
        <v>43492</v>
      </c>
      <c r="I606" s="6" t="s">
        <v>47</v>
      </c>
      <c r="J606" s="6" t="s">
        <v>27</v>
      </c>
    </row>
    <row r="607" spans="1:10" x14ac:dyDescent="0.3">
      <c r="A607" s="6" t="s">
        <v>651</v>
      </c>
      <c r="B607" s="6" t="s">
        <v>31</v>
      </c>
      <c r="C607" s="7">
        <v>27</v>
      </c>
      <c r="D607" s="5" t="s">
        <v>18</v>
      </c>
      <c r="E607" s="6" t="s">
        <v>13</v>
      </c>
      <c r="F607" s="6" t="s">
        <v>56</v>
      </c>
      <c r="G607" s="5">
        <v>49</v>
      </c>
      <c r="H607" s="8">
        <v>43805</v>
      </c>
      <c r="I607" s="6" t="s">
        <v>49</v>
      </c>
      <c r="J607" s="6" t="s">
        <v>16</v>
      </c>
    </row>
    <row r="608" spans="1:10" x14ac:dyDescent="0.3">
      <c r="A608" s="6" t="s">
        <v>652</v>
      </c>
      <c r="B608" s="6" t="s">
        <v>61</v>
      </c>
      <c r="C608" s="7">
        <v>18</v>
      </c>
      <c r="D608" s="5" t="s">
        <v>32</v>
      </c>
      <c r="E608" s="6" t="s">
        <v>13</v>
      </c>
      <c r="F608" s="6" t="s">
        <v>14</v>
      </c>
      <c r="G608" s="5">
        <v>8</v>
      </c>
      <c r="H608" s="8">
        <v>45034</v>
      </c>
      <c r="I608" s="6" t="s">
        <v>29</v>
      </c>
      <c r="J608" s="6" t="s">
        <v>22</v>
      </c>
    </row>
    <row r="609" spans="1:10" x14ac:dyDescent="0.3">
      <c r="A609" s="6" t="s">
        <v>653</v>
      </c>
      <c r="B609" s="6" t="s">
        <v>31</v>
      </c>
      <c r="C609" s="7">
        <v>18</v>
      </c>
      <c r="D609" s="5" t="s">
        <v>32</v>
      </c>
      <c r="E609" s="6" t="s">
        <v>13</v>
      </c>
      <c r="F609" s="6" t="s">
        <v>38</v>
      </c>
      <c r="G609" s="5">
        <v>9</v>
      </c>
      <c r="H609" s="8">
        <v>44995</v>
      </c>
      <c r="I609" s="6" t="s">
        <v>29</v>
      </c>
      <c r="J609" s="6" t="s">
        <v>16</v>
      </c>
    </row>
    <row r="610" spans="1:10" x14ac:dyDescent="0.3">
      <c r="A610" s="6" t="s">
        <v>654</v>
      </c>
      <c r="B610" s="6" t="s">
        <v>11</v>
      </c>
      <c r="C610" s="7">
        <v>22</v>
      </c>
      <c r="D610" s="5" t="s">
        <v>32</v>
      </c>
      <c r="E610" s="6" t="s">
        <v>105</v>
      </c>
      <c r="F610" s="6" t="s">
        <v>20</v>
      </c>
      <c r="G610" s="5">
        <v>37</v>
      </c>
      <c r="H610" s="8">
        <v>44170</v>
      </c>
      <c r="I610" s="6" t="s">
        <v>39</v>
      </c>
      <c r="J610" s="6" t="s">
        <v>16</v>
      </c>
    </row>
    <row r="611" spans="1:10" x14ac:dyDescent="0.3">
      <c r="A611" s="6" t="s">
        <v>655</v>
      </c>
      <c r="B611" s="6" t="s">
        <v>11</v>
      </c>
      <c r="C611" s="7">
        <v>44</v>
      </c>
      <c r="D611" s="5" t="s">
        <v>12</v>
      </c>
      <c r="E611" s="6" t="s">
        <v>19</v>
      </c>
      <c r="F611" s="6" t="s">
        <v>38</v>
      </c>
      <c r="G611" s="5">
        <v>33</v>
      </c>
      <c r="H611" s="8">
        <v>44274</v>
      </c>
      <c r="I611" s="6" t="s">
        <v>49</v>
      </c>
      <c r="J611" s="6" t="s">
        <v>27</v>
      </c>
    </row>
    <row r="612" spans="1:10" x14ac:dyDescent="0.3">
      <c r="A612" s="6" t="s">
        <v>656</v>
      </c>
      <c r="B612" s="6" t="s">
        <v>11</v>
      </c>
      <c r="C612" s="7">
        <v>24</v>
      </c>
      <c r="D612" s="5" t="s">
        <v>32</v>
      </c>
      <c r="E612" s="6" t="s">
        <v>19</v>
      </c>
      <c r="F612" s="6" t="s">
        <v>64</v>
      </c>
      <c r="G612" s="5">
        <v>34</v>
      </c>
      <c r="H612" s="8">
        <v>44249</v>
      </c>
      <c r="I612" s="6" t="s">
        <v>62</v>
      </c>
      <c r="J612" s="6" t="s">
        <v>22</v>
      </c>
    </row>
    <row r="613" spans="1:10" x14ac:dyDescent="0.3">
      <c r="A613" s="6" t="s">
        <v>657</v>
      </c>
      <c r="B613" s="6" t="s">
        <v>11</v>
      </c>
      <c r="C613" s="7">
        <v>37</v>
      </c>
      <c r="D613" s="5" t="s">
        <v>12</v>
      </c>
      <c r="E613" s="6" t="s">
        <v>13</v>
      </c>
      <c r="F613" s="6" t="s">
        <v>33</v>
      </c>
      <c r="G613" s="5">
        <v>32</v>
      </c>
      <c r="H613" s="8">
        <v>44330</v>
      </c>
      <c r="I613" s="6" t="s">
        <v>62</v>
      </c>
      <c r="J613" s="6" t="s">
        <v>22</v>
      </c>
    </row>
    <row r="614" spans="1:10" x14ac:dyDescent="0.3">
      <c r="A614" s="6" t="s">
        <v>658</v>
      </c>
      <c r="B614" s="6" t="s">
        <v>11</v>
      </c>
      <c r="C614" s="7">
        <v>31</v>
      </c>
      <c r="D614" s="5" t="s">
        <v>18</v>
      </c>
      <c r="E614" s="6" t="s">
        <v>19</v>
      </c>
      <c r="F614" s="6" t="s">
        <v>14</v>
      </c>
      <c r="G614" s="5">
        <v>10</v>
      </c>
      <c r="H614" s="8">
        <v>44990</v>
      </c>
      <c r="I614" s="6" t="s">
        <v>21</v>
      </c>
      <c r="J614" s="6" t="s">
        <v>22</v>
      </c>
    </row>
    <row r="615" spans="1:10" x14ac:dyDescent="0.3">
      <c r="A615" s="6" t="s">
        <v>659</v>
      </c>
      <c r="B615" s="6" t="s">
        <v>61</v>
      </c>
      <c r="C615" s="7">
        <v>34</v>
      </c>
      <c r="D615" s="5" t="s">
        <v>18</v>
      </c>
      <c r="E615" s="6" t="s">
        <v>19</v>
      </c>
      <c r="F615" s="6" t="s">
        <v>14</v>
      </c>
      <c r="G615" s="5">
        <v>50</v>
      </c>
      <c r="H615" s="8">
        <v>43784</v>
      </c>
      <c r="I615" s="6" t="s">
        <v>39</v>
      </c>
      <c r="J615" s="6" t="s">
        <v>27</v>
      </c>
    </row>
    <row r="616" spans="1:10" x14ac:dyDescent="0.3">
      <c r="A616" s="6" t="s">
        <v>660</v>
      </c>
      <c r="B616" s="6" t="s">
        <v>31</v>
      </c>
      <c r="C616" s="7">
        <v>28</v>
      </c>
      <c r="D616" s="5" t="s">
        <v>18</v>
      </c>
      <c r="E616" s="6" t="s">
        <v>19</v>
      </c>
      <c r="F616" s="6" t="s">
        <v>88</v>
      </c>
      <c r="G616" s="5">
        <v>8</v>
      </c>
      <c r="H616" s="8">
        <v>45045</v>
      </c>
      <c r="I616" s="6" t="s">
        <v>49</v>
      </c>
      <c r="J616" s="6" t="s">
        <v>65</v>
      </c>
    </row>
    <row r="617" spans="1:10" x14ac:dyDescent="0.3">
      <c r="A617" s="6" t="s">
        <v>661</v>
      </c>
      <c r="B617" s="6" t="s">
        <v>42</v>
      </c>
      <c r="C617" s="7">
        <v>28</v>
      </c>
      <c r="D617" s="5" t="s">
        <v>18</v>
      </c>
      <c r="E617" s="6" t="s">
        <v>13</v>
      </c>
      <c r="F617" s="6" t="s">
        <v>20</v>
      </c>
      <c r="G617" s="5">
        <v>50</v>
      </c>
      <c r="H617" s="8">
        <v>43768</v>
      </c>
      <c r="I617" s="6" t="s">
        <v>49</v>
      </c>
      <c r="J617" s="6" t="s">
        <v>27</v>
      </c>
    </row>
    <row r="618" spans="1:10" x14ac:dyDescent="0.3">
      <c r="A618" s="6" t="s">
        <v>662</v>
      </c>
      <c r="B618" s="6" t="s">
        <v>24</v>
      </c>
      <c r="C618" s="7">
        <v>36</v>
      </c>
      <c r="D618" s="5" t="s">
        <v>12</v>
      </c>
      <c r="E618" s="6" t="s">
        <v>13</v>
      </c>
      <c r="F618" s="6" t="s">
        <v>54</v>
      </c>
      <c r="G618" s="5">
        <v>56</v>
      </c>
      <c r="H618" s="8">
        <v>43588</v>
      </c>
      <c r="I618" s="6" t="s">
        <v>49</v>
      </c>
      <c r="J618" s="6" t="s">
        <v>22</v>
      </c>
    </row>
    <row r="619" spans="1:10" x14ac:dyDescent="0.3">
      <c r="A619" s="6" t="s">
        <v>663</v>
      </c>
      <c r="B619" s="6" t="s">
        <v>42</v>
      </c>
      <c r="C619" s="7">
        <v>32</v>
      </c>
      <c r="D619" s="5" t="s">
        <v>18</v>
      </c>
      <c r="E619" s="6" t="s">
        <v>19</v>
      </c>
      <c r="F619" s="6" t="s">
        <v>64</v>
      </c>
      <c r="G619" s="5">
        <v>27</v>
      </c>
      <c r="H619" s="8">
        <v>44476</v>
      </c>
      <c r="I619" s="6" t="s">
        <v>47</v>
      </c>
      <c r="J619" s="6" t="s">
        <v>16</v>
      </c>
    </row>
    <row r="620" spans="1:10" x14ac:dyDescent="0.3">
      <c r="A620" s="6" t="s">
        <v>664</v>
      </c>
      <c r="B620" s="6" t="s">
        <v>61</v>
      </c>
      <c r="C620" s="7">
        <v>31</v>
      </c>
      <c r="D620" s="5" t="s">
        <v>18</v>
      </c>
      <c r="E620" s="6" t="s">
        <v>13</v>
      </c>
      <c r="F620" s="6" t="s">
        <v>56</v>
      </c>
      <c r="G620" s="5">
        <v>59</v>
      </c>
      <c r="H620" s="8">
        <v>43516</v>
      </c>
      <c r="I620" s="6" t="s">
        <v>29</v>
      </c>
      <c r="J620" s="6" t="s">
        <v>16</v>
      </c>
    </row>
    <row r="621" spans="1:10" x14ac:dyDescent="0.3">
      <c r="A621" s="6" t="s">
        <v>665</v>
      </c>
      <c r="B621" s="6" t="s">
        <v>11</v>
      </c>
      <c r="C621" s="7">
        <v>18</v>
      </c>
      <c r="D621" s="5" t="s">
        <v>32</v>
      </c>
      <c r="E621" s="6" t="s">
        <v>13</v>
      </c>
      <c r="F621" s="6" t="s">
        <v>25</v>
      </c>
      <c r="G621" s="5">
        <v>8</v>
      </c>
      <c r="H621" s="8">
        <v>45052</v>
      </c>
      <c r="I621" s="6" t="s">
        <v>62</v>
      </c>
      <c r="J621" s="6" t="s">
        <v>16</v>
      </c>
    </row>
    <row r="622" spans="1:10" x14ac:dyDescent="0.3">
      <c r="A622" s="6" t="s">
        <v>666</v>
      </c>
      <c r="B622" s="6" t="s">
        <v>61</v>
      </c>
      <c r="C622" s="7">
        <v>31</v>
      </c>
      <c r="D622" s="5" t="s">
        <v>18</v>
      </c>
      <c r="E622" s="6" t="s">
        <v>19</v>
      </c>
      <c r="F622" s="6" t="s">
        <v>38</v>
      </c>
      <c r="G622" s="5">
        <v>34</v>
      </c>
      <c r="H622" s="8">
        <v>44255</v>
      </c>
      <c r="I622" s="6" t="s">
        <v>39</v>
      </c>
      <c r="J622" s="6" t="s">
        <v>65</v>
      </c>
    </row>
    <row r="623" spans="1:10" x14ac:dyDescent="0.3">
      <c r="A623" s="6" t="s">
        <v>667</v>
      </c>
      <c r="B623" s="6" t="s">
        <v>11</v>
      </c>
      <c r="C623" s="7">
        <v>20</v>
      </c>
      <c r="D623" s="5" t="s">
        <v>32</v>
      </c>
      <c r="E623" s="6" t="s">
        <v>13</v>
      </c>
      <c r="F623" s="6" t="s">
        <v>33</v>
      </c>
      <c r="G623" s="5">
        <v>23</v>
      </c>
      <c r="H623" s="8">
        <v>44577</v>
      </c>
      <c r="I623" s="6" t="s">
        <v>39</v>
      </c>
      <c r="J623" s="6" t="s">
        <v>22</v>
      </c>
    </row>
    <row r="624" spans="1:10" x14ac:dyDescent="0.3">
      <c r="A624" s="6" t="s">
        <v>668</v>
      </c>
      <c r="B624" s="6" t="s">
        <v>31</v>
      </c>
      <c r="C624" s="7">
        <v>39</v>
      </c>
      <c r="D624" s="5" t="s">
        <v>12</v>
      </c>
      <c r="E624" s="6" t="s">
        <v>19</v>
      </c>
      <c r="F624" s="6" t="s">
        <v>38</v>
      </c>
      <c r="G624" s="5">
        <v>54</v>
      </c>
      <c r="H624" s="8">
        <v>43647</v>
      </c>
      <c r="I624" s="6" t="s">
        <v>47</v>
      </c>
      <c r="J624" s="6" t="s">
        <v>22</v>
      </c>
    </row>
    <row r="625" spans="1:10" x14ac:dyDescent="0.3">
      <c r="A625" s="6" t="s">
        <v>669</v>
      </c>
      <c r="B625" s="6" t="s">
        <v>11</v>
      </c>
      <c r="C625" s="7">
        <v>28</v>
      </c>
      <c r="D625" s="5" t="s">
        <v>18</v>
      </c>
      <c r="E625" s="6" t="s">
        <v>13</v>
      </c>
      <c r="F625" s="6" t="s">
        <v>56</v>
      </c>
      <c r="G625" s="5">
        <v>9</v>
      </c>
      <c r="H625" s="8">
        <v>45001</v>
      </c>
      <c r="I625" s="6" t="s">
        <v>39</v>
      </c>
      <c r="J625" s="6" t="s">
        <v>22</v>
      </c>
    </row>
    <row r="626" spans="1:10" x14ac:dyDescent="0.3">
      <c r="A626" s="6" t="s">
        <v>670</v>
      </c>
      <c r="B626" s="6" t="s">
        <v>24</v>
      </c>
      <c r="C626" s="7">
        <v>37</v>
      </c>
      <c r="D626" s="5" t="s">
        <v>12</v>
      </c>
      <c r="E626" s="6" t="s">
        <v>19</v>
      </c>
      <c r="F626" s="6" t="s">
        <v>33</v>
      </c>
      <c r="G626" s="5">
        <v>37</v>
      </c>
      <c r="H626" s="8">
        <v>44169</v>
      </c>
      <c r="I626" s="6" t="s">
        <v>26</v>
      </c>
      <c r="J626" s="6" t="s">
        <v>27</v>
      </c>
    </row>
    <row r="627" spans="1:10" x14ac:dyDescent="0.3">
      <c r="A627" s="6" t="s">
        <v>671</v>
      </c>
      <c r="B627" s="6" t="s">
        <v>31</v>
      </c>
      <c r="C627" s="7">
        <v>45</v>
      </c>
      <c r="D627" s="5" t="s">
        <v>46</v>
      </c>
      <c r="E627" s="6" t="s">
        <v>19</v>
      </c>
      <c r="F627" s="6" t="s">
        <v>54</v>
      </c>
      <c r="G627" s="5">
        <v>8</v>
      </c>
      <c r="H627" s="8">
        <v>45037</v>
      </c>
      <c r="I627" s="6" t="s">
        <v>47</v>
      </c>
      <c r="J627" s="6" t="s">
        <v>65</v>
      </c>
    </row>
    <row r="628" spans="1:10" x14ac:dyDescent="0.3">
      <c r="A628" s="6" t="s">
        <v>672</v>
      </c>
      <c r="B628" s="6" t="s">
        <v>31</v>
      </c>
      <c r="C628" s="7">
        <v>18</v>
      </c>
      <c r="D628" s="5" t="s">
        <v>32</v>
      </c>
      <c r="E628" s="6" t="s">
        <v>13</v>
      </c>
      <c r="F628" s="6" t="s">
        <v>54</v>
      </c>
      <c r="G628" s="5">
        <v>26</v>
      </c>
      <c r="H628" s="8">
        <v>44489</v>
      </c>
      <c r="I628" s="6" t="s">
        <v>47</v>
      </c>
      <c r="J628" s="6" t="s">
        <v>22</v>
      </c>
    </row>
    <row r="629" spans="1:10" x14ac:dyDescent="0.3">
      <c r="A629" s="6" t="s">
        <v>673</v>
      </c>
      <c r="B629" s="6" t="s">
        <v>31</v>
      </c>
      <c r="C629" s="7">
        <v>35</v>
      </c>
      <c r="D629" s="5" t="s">
        <v>12</v>
      </c>
      <c r="E629" s="6" t="s">
        <v>13</v>
      </c>
      <c r="F629" s="6" t="s">
        <v>88</v>
      </c>
      <c r="G629" s="5">
        <v>57</v>
      </c>
      <c r="H629" s="8">
        <v>43560</v>
      </c>
      <c r="I629" s="6" t="s">
        <v>49</v>
      </c>
      <c r="J629" s="6" t="s">
        <v>16</v>
      </c>
    </row>
    <row r="630" spans="1:10" x14ac:dyDescent="0.3">
      <c r="A630" s="6" t="s">
        <v>674</v>
      </c>
      <c r="B630" s="6" t="s">
        <v>31</v>
      </c>
      <c r="C630" s="7">
        <v>18</v>
      </c>
      <c r="D630" s="5" t="s">
        <v>32</v>
      </c>
      <c r="E630" s="6" t="s">
        <v>13</v>
      </c>
      <c r="F630" s="6" t="s">
        <v>25</v>
      </c>
      <c r="G630" s="5">
        <v>44</v>
      </c>
      <c r="H630" s="8">
        <v>43947</v>
      </c>
      <c r="I630" s="6" t="s">
        <v>47</v>
      </c>
      <c r="J630" s="6" t="s">
        <v>27</v>
      </c>
    </row>
    <row r="631" spans="1:10" x14ac:dyDescent="0.3">
      <c r="A631" s="6" t="s">
        <v>675</v>
      </c>
      <c r="B631" s="6" t="s">
        <v>24</v>
      </c>
      <c r="C631" s="7">
        <v>24</v>
      </c>
      <c r="D631" s="5" t="s">
        <v>32</v>
      </c>
      <c r="E631" s="6" t="s">
        <v>19</v>
      </c>
      <c r="F631" s="6" t="s">
        <v>64</v>
      </c>
      <c r="G631" s="5">
        <v>11</v>
      </c>
      <c r="H631" s="8">
        <v>44941</v>
      </c>
      <c r="I631" s="6" t="s">
        <v>21</v>
      </c>
      <c r="J631" s="6" t="s">
        <v>65</v>
      </c>
    </row>
    <row r="632" spans="1:10" x14ac:dyDescent="0.3">
      <c r="A632" s="6" t="s">
        <v>676</v>
      </c>
      <c r="B632" s="6" t="s">
        <v>11</v>
      </c>
      <c r="C632" s="7">
        <v>31</v>
      </c>
      <c r="D632" s="5" t="s">
        <v>18</v>
      </c>
      <c r="E632" s="6" t="s">
        <v>13</v>
      </c>
      <c r="F632" s="6" t="s">
        <v>36</v>
      </c>
      <c r="G632" s="5">
        <v>33</v>
      </c>
      <c r="H632" s="8">
        <v>44285</v>
      </c>
      <c r="I632" s="6" t="s">
        <v>34</v>
      </c>
      <c r="J632" s="6" t="s">
        <v>22</v>
      </c>
    </row>
    <row r="633" spans="1:10" x14ac:dyDescent="0.3">
      <c r="A633" s="6" t="s">
        <v>677</v>
      </c>
      <c r="B633" s="6" t="s">
        <v>42</v>
      </c>
      <c r="C633" s="7">
        <v>40</v>
      </c>
      <c r="D633" s="5" t="s">
        <v>12</v>
      </c>
      <c r="E633" s="6" t="s">
        <v>13</v>
      </c>
      <c r="F633" s="6" t="s">
        <v>14</v>
      </c>
      <c r="G633" s="5">
        <v>12</v>
      </c>
      <c r="H633" s="8">
        <v>44929</v>
      </c>
      <c r="I633" s="6" t="s">
        <v>62</v>
      </c>
      <c r="J633" s="6" t="s">
        <v>16</v>
      </c>
    </row>
    <row r="634" spans="1:10" x14ac:dyDescent="0.3">
      <c r="A634" s="6" t="s">
        <v>678</v>
      </c>
      <c r="B634" s="6" t="s">
        <v>31</v>
      </c>
      <c r="C634" s="7">
        <v>32</v>
      </c>
      <c r="D634" s="5" t="s">
        <v>18</v>
      </c>
      <c r="E634" s="6" t="s">
        <v>105</v>
      </c>
      <c r="F634" s="6" t="s">
        <v>36</v>
      </c>
      <c r="G634" s="5">
        <v>4</v>
      </c>
      <c r="H634" s="8">
        <v>45169</v>
      </c>
      <c r="I634" s="6" t="s">
        <v>47</v>
      </c>
      <c r="J634" s="6" t="s">
        <v>27</v>
      </c>
    </row>
    <row r="635" spans="1:10" x14ac:dyDescent="0.3">
      <c r="A635" s="6" t="s">
        <v>679</v>
      </c>
      <c r="B635" s="6" t="s">
        <v>31</v>
      </c>
      <c r="C635" s="7">
        <v>33</v>
      </c>
      <c r="D635" s="5" t="s">
        <v>18</v>
      </c>
      <c r="E635" s="6" t="s">
        <v>19</v>
      </c>
      <c r="F635" s="6" t="s">
        <v>56</v>
      </c>
      <c r="G635" s="5">
        <v>28</v>
      </c>
      <c r="H635" s="8">
        <v>44428</v>
      </c>
      <c r="I635" s="6" t="s">
        <v>62</v>
      </c>
      <c r="J635" s="6" t="s">
        <v>16</v>
      </c>
    </row>
    <row r="636" spans="1:10" x14ac:dyDescent="0.3">
      <c r="A636" s="6" t="s">
        <v>680</v>
      </c>
      <c r="B636" s="6" t="s">
        <v>61</v>
      </c>
      <c r="C636" s="7">
        <v>22</v>
      </c>
      <c r="D636" s="5" t="s">
        <v>32</v>
      </c>
      <c r="E636" s="6" t="s">
        <v>13</v>
      </c>
      <c r="F636" s="6" t="s">
        <v>20</v>
      </c>
      <c r="G636" s="5">
        <v>15</v>
      </c>
      <c r="H636" s="8">
        <v>44821</v>
      </c>
      <c r="I636" s="6" t="s">
        <v>39</v>
      </c>
      <c r="J636" s="6" t="s">
        <v>22</v>
      </c>
    </row>
    <row r="637" spans="1:10" x14ac:dyDescent="0.3">
      <c r="A637" s="6" t="s">
        <v>681</v>
      </c>
      <c r="B637" s="6" t="s">
        <v>11</v>
      </c>
      <c r="C637" s="7">
        <v>18</v>
      </c>
      <c r="D637" s="5" t="s">
        <v>32</v>
      </c>
      <c r="E637" s="6" t="s">
        <v>19</v>
      </c>
      <c r="F637" s="6" t="s">
        <v>25</v>
      </c>
      <c r="G637" s="5">
        <v>49</v>
      </c>
      <c r="H637" s="8">
        <v>43803</v>
      </c>
      <c r="I637" s="6" t="s">
        <v>49</v>
      </c>
      <c r="J637" s="6" t="s">
        <v>16</v>
      </c>
    </row>
    <row r="638" spans="1:10" x14ac:dyDescent="0.3">
      <c r="A638" s="6" t="s">
        <v>682</v>
      </c>
      <c r="B638" s="6" t="s">
        <v>11</v>
      </c>
      <c r="C638" s="7">
        <v>42</v>
      </c>
      <c r="D638" s="5" t="s">
        <v>12</v>
      </c>
      <c r="E638" s="6" t="s">
        <v>19</v>
      </c>
      <c r="F638" s="6" t="s">
        <v>38</v>
      </c>
      <c r="G638" s="5">
        <v>35</v>
      </c>
      <c r="H638" s="8">
        <v>44241</v>
      </c>
      <c r="I638" s="6" t="s">
        <v>29</v>
      </c>
      <c r="J638" s="6" t="s">
        <v>27</v>
      </c>
    </row>
    <row r="639" spans="1:10" x14ac:dyDescent="0.3">
      <c r="A639" s="6" t="s">
        <v>683</v>
      </c>
      <c r="B639" s="6" t="s">
        <v>24</v>
      </c>
      <c r="C639" s="7">
        <v>18</v>
      </c>
      <c r="D639" s="5" t="s">
        <v>32</v>
      </c>
      <c r="E639" s="6" t="s">
        <v>13</v>
      </c>
      <c r="F639" s="6" t="s">
        <v>36</v>
      </c>
      <c r="G639" s="5">
        <v>45</v>
      </c>
      <c r="H639" s="8">
        <v>43931</v>
      </c>
      <c r="I639" s="6" t="s">
        <v>39</v>
      </c>
      <c r="J639" s="6" t="s">
        <v>65</v>
      </c>
    </row>
    <row r="640" spans="1:10" x14ac:dyDescent="0.3">
      <c r="A640" s="6" t="s">
        <v>684</v>
      </c>
      <c r="B640" s="6" t="s">
        <v>42</v>
      </c>
      <c r="C640" s="7">
        <v>54</v>
      </c>
      <c r="D640" s="5" t="s">
        <v>46</v>
      </c>
      <c r="E640" s="6" t="s">
        <v>19</v>
      </c>
      <c r="F640" s="6" t="s">
        <v>56</v>
      </c>
      <c r="G640" s="5">
        <v>6</v>
      </c>
      <c r="H640" s="8">
        <v>45092</v>
      </c>
      <c r="I640" s="6" t="s">
        <v>49</v>
      </c>
      <c r="J640" s="6" t="s">
        <v>27</v>
      </c>
    </row>
    <row r="641" spans="1:10" x14ac:dyDescent="0.3">
      <c r="A641" s="6" t="s">
        <v>685</v>
      </c>
      <c r="B641" s="6" t="s">
        <v>31</v>
      </c>
      <c r="C641" s="7">
        <v>23</v>
      </c>
      <c r="D641" s="5" t="s">
        <v>32</v>
      </c>
      <c r="E641" s="6" t="s">
        <v>13</v>
      </c>
      <c r="F641" s="6" t="s">
        <v>88</v>
      </c>
      <c r="G641" s="5">
        <v>28</v>
      </c>
      <c r="H641" s="8">
        <v>44445</v>
      </c>
      <c r="I641" s="6" t="s">
        <v>29</v>
      </c>
      <c r="J641" s="6" t="s">
        <v>16</v>
      </c>
    </row>
    <row r="642" spans="1:10" x14ac:dyDescent="0.3">
      <c r="A642" s="6" t="s">
        <v>686</v>
      </c>
      <c r="B642" s="6" t="s">
        <v>61</v>
      </c>
      <c r="C642" s="7">
        <v>27</v>
      </c>
      <c r="D642" s="5" t="s">
        <v>18</v>
      </c>
      <c r="E642" s="6" t="s">
        <v>13</v>
      </c>
      <c r="F642" s="6" t="s">
        <v>64</v>
      </c>
      <c r="G642" s="5">
        <v>14</v>
      </c>
      <c r="H642" s="8">
        <v>44854</v>
      </c>
      <c r="I642" s="6" t="s">
        <v>49</v>
      </c>
      <c r="J642" s="6" t="s">
        <v>27</v>
      </c>
    </row>
    <row r="643" spans="1:10" x14ac:dyDescent="0.3">
      <c r="A643" s="6" t="s">
        <v>687</v>
      </c>
      <c r="B643" s="6" t="s">
        <v>31</v>
      </c>
      <c r="C643" s="7">
        <v>29</v>
      </c>
      <c r="D643" s="5" t="s">
        <v>18</v>
      </c>
      <c r="E643" s="6" t="s">
        <v>13</v>
      </c>
      <c r="F643" s="6" t="s">
        <v>88</v>
      </c>
      <c r="G643" s="5">
        <v>3</v>
      </c>
      <c r="H643" s="8">
        <v>45198</v>
      </c>
      <c r="I643" s="6" t="s">
        <v>49</v>
      </c>
      <c r="J643" s="6" t="s">
        <v>16</v>
      </c>
    </row>
    <row r="644" spans="1:10" x14ac:dyDescent="0.3">
      <c r="A644" s="6" t="s">
        <v>688</v>
      </c>
      <c r="B644" s="6" t="s">
        <v>11</v>
      </c>
      <c r="C644" s="7">
        <v>28</v>
      </c>
      <c r="D644" s="5" t="s">
        <v>18</v>
      </c>
      <c r="E644" s="6" t="s">
        <v>13</v>
      </c>
      <c r="F644" s="6" t="s">
        <v>38</v>
      </c>
      <c r="G644" s="5">
        <v>19</v>
      </c>
      <c r="H644" s="8">
        <v>44702</v>
      </c>
      <c r="I644" s="6" t="s">
        <v>49</v>
      </c>
      <c r="J644" s="6" t="s">
        <v>16</v>
      </c>
    </row>
    <row r="645" spans="1:10" x14ac:dyDescent="0.3">
      <c r="A645" s="6" t="s">
        <v>689</v>
      </c>
      <c r="B645" s="6" t="s">
        <v>24</v>
      </c>
      <c r="C645" s="7">
        <v>40</v>
      </c>
      <c r="D645" s="5" t="s">
        <v>12</v>
      </c>
      <c r="E645" s="6" t="s">
        <v>19</v>
      </c>
      <c r="F645" s="6" t="s">
        <v>54</v>
      </c>
      <c r="G645" s="5">
        <v>14</v>
      </c>
      <c r="H645" s="8">
        <v>44856</v>
      </c>
      <c r="I645" s="6" t="s">
        <v>34</v>
      </c>
      <c r="J645" s="6" t="s">
        <v>65</v>
      </c>
    </row>
    <row r="646" spans="1:10" x14ac:dyDescent="0.3">
      <c r="A646" s="6" t="s">
        <v>690</v>
      </c>
      <c r="B646" s="6" t="s">
        <v>11</v>
      </c>
      <c r="C646" s="7">
        <v>43</v>
      </c>
      <c r="D646" s="5" t="s">
        <v>12</v>
      </c>
      <c r="E646" s="6" t="s">
        <v>13</v>
      </c>
      <c r="F646" s="6" t="s">
        <v>88</v>
      </c>
      <c r="G646" s="5">
        <v>43</v>
      </c>
      <c r="H646" s="8">
        <v>44000</v>
      </c>
      <c r="I646" s="6" t="s">
        <v>39</v>
      </c>
      <c r="J646" s="6" t="s">
        <v>27</v>
      </c>
    </row>
    <row r="647" spans="1:10" x14ac:dyDescent="0.3">
      <c r="A647" s="6" t="s">
        <v>691</v>
      </c>
      <c r="B647" s="6" t="s">
        <v>24</v>
      </c>
      <c r="C647" s="7">
        <v>33</v>
      </c>
      <c r="D647" s="5" t="s">
        <v>18</v>
      </c>
      <c r="E647" s="6" t="s">
        <v>19</v>
      </c>
      <c r="F647" s="6" t="s">
        <v>64</v>
      </c>
      <c r="G647" s="5">
        <v>18</v>
      </c>
      <c r="H647" s="8">
        <v>44724</v>
      </c>
      <c r="I647" s="6" t="s">
        <v>62</v>
      </c>
      <c r="J647" s="6" t="s">
        <v>22</v>
      </c>
    </row>
    <row r="648" spans="1:10" x14ac:dyDescent="0.3">
      <c r="A648" s="6" t="s">
        <v>692</v>
      </c>
      <c r="B648" s="6" t="s">
        <v>24</v>
      </c>
      <c r="C648" s="7">
        <v>26</v>
      </c>
      <c r="D648" s="5" t="s">
        <v>18</v>
      </c>
      <c r="E648" s="6" t="s">
        <v>19</v>
      </c>
      <c r="F648" s="6" t="s">
        <v>54</v>
      </c>
      <c r="G648" s="5">
        <v>42</v>
      </c>
      <c r="H648" s="8">
        <v>44032</v>
      </c>
      <c r="I648" s="6" t="s">
        <v>49</v>
      </c>
      <c r="J648" s="6" t="s">
        <v>16</v>
      </c>
    </row>
    <row r="649" spans="1:10" x14ac:dyDescent="0.3">
      <c r="A649" s="6" t="s">
        <v>693</v>
      </c>
      <c r="B649" s="6" t="s">
        <v>42</v>
      </c>
      <c r="C649" s="7">
        <v>53</v>
      </c>
      <c r="D649" s="5" t="s">
        <v>46</v>
      </c>
      <c r="E649" s="6" t="s">
        <v>19</v>
      </c>
      <c r="F649" s="6" t="s">
        <v>36</v>
      </c>
      <c r="G649" s="5">
        <v>29</v>
      </c>
      <c r="H649" s="8">
        <v>44415</v>
      </c>
      <c r="I649" s="6" t="s">
        <v>49</v>
      </c>
      <c r="J649" s="6" t="s">
        <v>27</v>
      </c>
    </row>
    <row r="650" spans="1:10" x14ac:dyDescent="0.3">
      <c r="A650" s="6" t="s">
        <v>694</v>
      </c>
      <c r="B650" s="6" t="s">
        <v>11</v>
      </c>
      <c r="C650" s="7">
        <v>42</v>
      </c>
      <c r="D650" s="5" t="s">
        <v>12</v>
      </c>
      <c r="E650" s="6" t="s">
        <v>13</v>
      </c>
      <c r="F650" s="6" t="s">
        <v>64</v>
      </c>
      <c r="G650" s="5">
        <v>44</v>
      </c>
      <c r="H650" s="8">
        <v>43964</v>
      </c>
      <c r="I650" s="6" t="s">
        <v>21</v>
      </c>
      <c r="J650" s="6" t="s">
        <v>22</v>
      </c>
    </row>
    <row r="651" spans="1:10" x14ac:dyDescent="0.3">
      <c r="A651" s="6" t="s">
        <v>695</v>
      </c>
      <c r="B651" s="6" t="s">
        <v>24</v>
      </c>
      <c r="C651" s="7">
        <v>38</v>
      </c>
      <c r="D651" s="5" t="s">
        <v>12</v>
      </c>
      <c r="E651" s="6" t="s">
        <v>19</v>
      </c>
      <c r="F651" s="6" t="s">
        <v>33</v>
      </c>
      <c r="G651" s="5">
        <v>7</v>
      </c>
      <c r="H651" s="8">
        <v>45058</v>
      </c>
      <c r="I651" s="6" t="s">
        <v>26</v>
      </c>
      <c r="J651" s="6" t="s">
        <v>27</v>
      </c>
    </row>
    <row r="652" spans="1:10" x14ac:dyDescent="0.3">
      <c r="A652" s="6" t="s">
        <v>696</v>
      </c>
      <c r="B652" s="6" t="s">
        <v>31</v>
      </c>
      <c r="C652" s="7">
        <v>22</v>
      </c>
      <c r="D652" s="5" t="s">
        <v>32</v>
      </c>
      <c r="E652" s="6" t="s">
        <v>19</v>
      </c>
      <c r="F652" s="6" t="s">
        <v>36</v>
      </c>
      <c r="G652" s="5">
        <v>29</v>
      </c>
      <c r="H652" s="8">
        <v>44417</v>
      </c>
      <c r="I652" s="6" t="s">
        <v>49</v>
      </c>
      <c r="J652" s="6" t="s">
        <v>16</v>
      </c>
    </row>
    <row r="653" spans="1:10" x14ac:dyDescent="0.3">
      <c r="A653" s="6" t="s">
        <v>697</v>
      </c>
      <c r="B653" s="6" t="s">
        <v>31</v>
      </c>
      <c r="C653" s="7">
        <v>34</v>
      </c>
      <c r="D653" s="5" t="s">
        <v>18</v>
      </c>
      <c r="E653" s="6" t="s">
        <v>13</v>
      </c>
      <c r="F653" s="6" t="s">
        <v>56</v>
      </c>
      <c r="G653" s="5">
        <v>58</v>
      </c>
      <c r="H653" s="8">
        <v>43541</v>
      </c>
      <c r="I653" s="6" t="s">
        <v>62</v>
      </c>
      <c r="J653" s="6" t="s">
        <v>22</v>
      </c>
    </row>
    <row r="654" spans="1:10" x14ac:dyDescent="0.3">
      <c r="A654" s="6" t="s">
        <v>698</v>
      </c>
      <c r="B654" s="6" t="s">
        <v>42</v>
      </c>
      <c r="C654" s="7">
        <v>27</v>
      </c>
      <c r="D654" s="5" t="s">
        <v>18</v>
      </c>
      <c r="E654" s="6" t="s">
        <v>19</v>
      </c>
      <c r="F654" s="6" t="s">
        <v>54</v>
      </c>
      <c r="G654" s="5">
        <v>44</v>
      </c>
      <c r="H654" s="8">
        <v>43959</v>
      </c>
      <c r="I654" s="6" t="s">
        <v>49</v>
      </c>
      <c r="J654" s="6" t="s">
        <v>65</v>
      </c>
    </row>
    <row r="655" spans="1:10" x14ac:dyDescent="0.3">
      <c r="A655" s="6" t="s">
        <v>699</v>
      </c>
      <c r="B655" s="6" t="s">
        <v>42</v>
      </c>
      <c r="C655" s="7">
        <v>36</v>
      </c>
      <c r="D655" s="5" t="s">
        <v>12</v>
      </c>
      <c r="E655" s="6" t="s">
        <v>19</v>
      </c>
      <c r="F655" s="6" t="s">
        <v>14</v>
      </c>
      <c r="G655" s="5">
        <v>58</v>
      </c>
      <c r="H655" s="8">
        <v>43548</v>
      </c>
      <c r="I655" s="6" t="s">
        <v>62</v>
      </c>
      <c r="J655" s="6" t="s">
        <v>16</v>
      </c>
    </row>
    <row r="656" spans="1:10" x14ac:dyDescent="0.3">
      <c r="A656" s="6" t="s">
        <v>700</v>
      </c>
      <c r="B656" s="6" t="s">
        <v>31</v>
      </c>
      <c r="C656" s="7">
        <v>24</v>
      </c>
      <c r="D656" s="5" t="s">
        <v>32</v>
      </c>
      <c r="E656" s="6" t="s">
        <v>13</v>
      </c>
      <c r="F656" s="6" t="s">
        <v>54</v>
      </c>
      <c r="G656" s="5">
        <v>31</v>
      </c>
      <c r="H656" s="8">
        <v>44333</v>
      </c>
      <c r="I656" s="6" t="s">
        <v>34</v>
      </c>
      <c r="J656" s="6" t="s">
        <v>16</v>
      </c>
    </row>
    <row r="657" spans="1:10" x14ac:dyDescent="0.3">
      <c r="A657" s="6" t="s">
        <v>701</v>
      </c>
      <c r="B657" s="6" t="s">
        <v>61</v>
      </c>
      <c r="C657" s="7">
        <v>45</v>
      </c>
      <c r="D657" s="5" t="s">
        <v>46</v>
      </c>
      <c r="E657" s="6" t="s">
        <v>19</v>
      </c>
      <c r="F657" s="6" t="s">
        <v>88</v>
      </c>
      <c r="G657" s="5">
        <v>60</v>
      </c>
      <c r="H657" s="8">
        <v>43487</v>
      </c>
      <c r="I657" s="6" t="s">
        <v>29</v>
      </c>
      <c r="J657" s="6" t="s">
        <v>16</v>
      </c>
    </row>
    <row r="658" spans="1:10" x14ac:dyDescent="0.3">
      <c r="A658" s="6" t="s">
        <v>702</v>
      </c>
      <c r="B658" s="6" t="s">
        <v>24</v>
      </c>
      <c r="C658" s="7">
        <v>40</v>
      </c>
      <c r="D658" s="5" t="s">
        <v>12</v>
      </c>
      <c r="E658" s="6" t="s">
        <v>13</v>
      </c>
      <c r="F658" s="6" t="s">
        <v>25</v>
      </c>
      <c r="G658" s="5">
        <v>29</v>
      </c>
      <c r="H658" s="8">
        <v>44415</v>
      </c>
      <c r="I658" s="6" t="s">
        <v>29</v>
      </c>
      <c r="J658" s="6" t="s">
        <v>27</v>
      </c>
    </row>
    <row r="659" spans="1:10" x14ac:dyDescent="0.3">
      <c r="A659" s="6" t="s">
        <v>703</v>
      </c>
      <c r="B659" s="6" t="s">
        <v>11</v>
      </c>
      <c r="C659" s="7">
        <v>46</v>
      </c>
      <c r="D659" s="5" t="s">
        <v>46</v>
      </c>
      <c r="E659" s="6" t="s">
        <v>19</v>
      </c>
      <c r="F659" s="6" t="s">
        <v>25</v>
      </c>
      <c r="G659" s="5">
        <v>9</v>
      </c>
      <c r="H659" s="8">
        <v>45022</v>
      </c>
      <c r="I659" s="6" t="s">
        <v>34</v>
      </c>
      <c r="J659" s="6" t="s">
        <v>65</v>
      </c>
    </row>
    <row r="660" spans="1:10" x14ac:dyDescent="0.3">
      <c r="A660" s="6" t="s">
        <v>704</v>
      </c>
      <c r="B660" s="6" t="s">
        <v>31</v>
      </c>
      <c r="C660" s="7">
        <v>25</v>
      </c>
      <c r="D660" s="5" t="s">
        <v>18</v>
      </c>
      <c r="E660" s="6" t="s">
        <v>19</v>
      </c>
      <c r="F660" s="6" t="s">
        <v>38</v>
      </c>
      <c r="G660" s="5">
        <v>15</v>
      </c>
      <c r="H660" s="8">
        <v>44818</v>
      </c>
      <c r="I660" s="6" t="s">
        <v>47</v>
      </c>
      <c r="J660" s="6" t="s">
        <v>27</v>
      </c>
    </row>
    <row r="661" spans="1:10" x14ac:dyDescent="0.3">
      <c r="A661" s="6" t="s">
        <v>705</v>
      </c>
      <c r="B661" s="6" t="s">
        <v>11</v>
      </c>
      <c r="C661" s="7">
        <v>30</v>
      </c>
      <c r="D661" s="5" t="s">
        <v>18</v>
      </c>
      <c r="E661" s="6" t="s">
        <v>13</v>
      </c>
      <c r="F661" s="6" t="s">
        <v>33</v>
      </c>
      <c r="G661" s="5">
        <v>28</v>
      </c>
      <c r="H661" s="8">
        <v>44443</v>
      </c>
      <c r="I661" s="6" t="s">
        <v>15</v>
      </c>
      <c r="J661" s="6" t="s">
        <v>16</v>
      </c>
    </row>
    <row r="662" spans="1:10" x14ac:dyDescent="0.3">
      <c r="A662" s="6" t="s">
        <v>706</v>
      </c>
      <c r="B662" s="6" t="s">
        <v>24</v>
      </c>
      <c r="C662" s="7">
        <v>32</v>
      </c>
      <c r="D662" s="5" t="s">
        <v>18</v>
      </c>
      <c r="E662" s="6" t="s">
        <v>19</v>
      </c>
      <c r="F662" s="6" t="s">
        <v>64</v>
      </c>
      <c r="G662" s="5">
        <v>41</v>
      </c>
      <c r="H662" s="8">
        <v>44041</v>
      </c>
      <c r="I662" s="6" t="s">
        <v>21</v>
      </c>
      <c r="J662" s="6" t="s">
        <v>22</v>
      </c>
    </row>
    <row r="663" spans="1:10" x14ac:dyDescent="0.3">
      <c r="A663" s="6" t="s">
        <v>707</v>
      </c>
      <c r="B663" s="6" t="s">
        <v>31</v>
      </c>
      <c r="C663" s="7">
        <v>28</v>
      </c>
      <c r="D663" s="5" t="s">
        <v>18</v>
      </c>
      <c r="E663" s="6" t="s">
        <v>13</v>
      </c>
      <c r="F663" s="6" t="s">
        <v>88</v>
      </c>
      <c r="G663" s="5">
        <v>57</v>
      </c>
      <c r="H663" s="8">
        <v>43569</v>
      </c>
      <c r="I663" s="6" t="s">
        <v>62</v>
      </c>
      <c r="J663" s="6" t="s">
        <v>27</v>
      </c>
    </row>
    <row r="664" spans="1:10" x14ac:dyDescent="0.3">
      <c r="A664" s="6" t="s">
        <v>708</v>
      </c>
      <c r="B664" s="6" t="s">
        <v>24</v>
      </c>
      <c r="C664" s="7">
        <v>39</v>
      </c>
      <c r="D664" s="5" t="s">
        <v>12</v>
      </c>
      <c r="E664" s="6" t="s">
        <v>13</v>
      </c>
      <c r="F664" s="6" t="s">
        <v>25</v>
      </c>
      <c r="G664" s="5">
        <v>49</v>
      </c>
      <c r="H664" s="8">
        <v>43794</v>
      </c>
      <c r="I664" s="6" t="s">
        <v>34</v>
      </c>
      <c r="J664" s="6" t="s">
        <v>16</v>
      </c>
    </row>
    <row r="665" spans="1:10" x14ac:dyDescent="0.3">
      <c r="A665" s="6" t="s">
        <v>709</v>
      </c>
      <c r="B665" s="6" t="s">
        <v>11</v>
      </c>
      <c r="C665" s="7">
        <v>18</v>
      </c>
      <c r="D665" s="5" t="s">
        <v>32</v>
      </c>
      <c r="E665" s="6" t="s">
        <v>19</v>
      </c>
      <c r="F665" s="6" t="s">
        <v>38</v>
      </c>
      <c r="G665" s="5">
        <v>40</v>
      </c>
      <c r="H665" s="8">
        <v>44087</v>
      </c>
      <c r="I665" s="6" t="s">
        <v>49</v>
      </c>
      <c r="J665" s="6" t="s">
        <v>22</v>
      </c>
    </row>
    <row r="666" spans="1:10" x14ac:dyDescent="0.3">
      <c r="A666" s="6" t="s">
        <v>710</v>
      </c>
      <c r="B666" s="6" t="s">
        <v>24</v>
      </c>
      <c r="C666" s="7">
        <v>28</v>
      </c>
      <c r="D666" s="5" t="s">
        <v>18</v>
      </c>
      <c r="E666" s="6" t="s">
        <v>13</v>
      </c>
      <c r="F666" s="6" t="s">
        <v>88</v>
      </c>
      <c r="G666" s="5">
        <v>2</v>
      </c>
      <c r="H666" s="8">
        <v>45219</v>
      </c>
      <c r="I666" s="6" t="s">
        <v>21</v>
      </c>
      <c r="J666" s="6" t="s">
        <v>16</v>
      </c>
    </row>
    <row r="667" spans="1:10" x14ac:dyDescent="0.3">
      <c r="A667" s="6" t="s">
        <v>711</v>
      </c>
      <c r="B667" s="6" t="s">
        <v>24</v>
      </c>
      <c r="C667" s="7">
        <v>33</v>
      </c>
      <c r="D667" s="5" t="s">
        <v>18</v>
      </c>
      <c r="E667" s="6" t="s">
        <v>13</v>
      </c>
      <c r="F667" s="6" t="s">
        <v>36</v>
      </c>
      <c r="G667" s="5">
        <v>7</v>
      </c>
      <c r="H667" s="8">
        <v>45068</v>
      </c>
      <c r="I667" s="6" t="s">
        <v>49</v>
      </c>
      <c r="J667" s="6" t="s">
        <v>22</v>
      </c>
    </row>
    <row r="668" spans="1:10" x14ac:dyDescent="0.3">
      <c r="A668" s="6" t="s">
        <v>712</v>
      </c>
      <c r="B668" s="6" t="s">
        <v>24</v>
      </c>
      <c r="C668" s="7">
        <v>33</v>
      </c>
      <c r="D668" s="5" t="s">
        <v>18</v>
      </c>
      <c r="E668" s="6" t="s">
        <v>19</v>
      </c>
      <c r="F668" s="6" t="s">
        <v>38</v>
      </c>
      <c r="G668" s="5">
        <v>58</v>
      </c>
      <c r="H668" s="8">
        <v>43536</v>
      </c>
      <c r="I668" s="6" t="s">
        <v>34</v>
      </c>
      <c r="J668" s="6" t="s">
        <v>65</v>
      </c>
    </row>
    <row r="669" spans="1:10" x14ac:dyDescent="0.3">
      <c r="A669" s="6" t="s">
        <v>713</v>
      </c>
      <c r="B669" s="6" t="s">
        <v>42</v>
      </c>
      <c r="C669" s="7">
        <v>32</v>
      </c>
      <c r="D669" s="5" t="s">
        <v>18</v>
      </c>
      <c r="E669" s="6" t="s">
        <v>19</v>
      </c>
      <c r="F669" s="6" t="s">
        <v>33</v>
      </c>
      <c r="G669" s="5">
        <v>1</v>
      </c>
      <c r="H669" s="8">
        <v>45252</v>
      </c>
      <c r="I669" s="6" t="s">
        <v>47</v>
      </c>
      <c r="J669" s="6" t="s">
        <v>16</v>
      </c>
    </row>
    <row r="670" spans="1:10" x14ac:dyDescent="0.3">
      <c r="A670" s="6" t="s">
        <v>714</v>
      </c>
      <c r="B670" s="6" t="s">
        <v>61</v>
      </c>
      <c r="C670" s="7">
        <v>48</v>
      </c>
      <c r="D670" s="5" t="s">
        <v>46</v>
      </c>
      <c r="E670" s="6" t="s">
        <v>19</v>
      </c>
      <c r="F670" s="6" t="s">
        <v>38</v>
      </c>
      <c r="G670" s="5">
        <v>9</v>
      </c>
      <c r="H670" s="8">
        <v>45004</v>
      </c>
      <c r="I670" s="6" t="s">
        <v>34</v>
      </c>
      <c r="J670" s="6" t="s">
        <v>22</v>
      </c>
    </row>
    <row r="671" spans="1:10" x14ac:dyDescent="0.3">
      <c r="A671" s="6" t="s">
        <v>715</v>
      </c>
      <c r="B671" s="6" t="s">
        <v>24</v>
      </c>
      <c r="C671" s="7">
        <v>28</v>
      </c>
      <c r="D671" s="5" t="s">
        <v>18</v>
      </c>
      <c r="E671" s="6" t="s">
        <v>13</v>
      </c>
      <c r="F671" s="6" t="s">
        <v>36</v>
      </c>
      <c r="G671" s="5">
        <v>16</v>
      </c>
      <c r="H671" s="8">
        <v>44800</v>
      </c>
      <c r="I671" s="6" t="s">
        <v>29</v>
      </c>
      <c r="J671" s="6" t="s">
        <v>16</v>
      </c>
    </row>
    <row r="672" spans="1:10" x14ac:dyDescent="0.3">
      <c r="A672" s="6" t="s">
        <v>716</v>
      </c>
      <c r="B672" s="6" t="s">
        <v>31</v>
      </c>
      <c r="C672" s="7">
        <v>20</v>
      </c>
      <c r="D672" s="5" t="s">
        <v>32</v>
      </c>
      <c r="E672" s="6" t="s">
        <v>19</v>
      </c>
      <c r="F672" s="6" t="s">
        <v>36</v>
      </c>
      <c r="G672" s="5">
        <v>56</v>
      </c>
      <c r="H672" s="8">
        <v>43586</v>
      </c>
      <c r="I672" s="6" t="s">
        <v>49</v>
      </c>
      <c r="J672" s="6" t="s">
        <v>16</v>
      </c>
    </row>
    <row r="673" spans="1:10" x14ac:dyDescent="0.3">
      <c r="A673" s="6" t="s">
        <v>717</v>
      </c>
      <c r="B673" s="6" t="s">
        <v>31</v>
      </c>
      <c r="C673" s="7">
        <v>48</v>
      </c>
      <c r="D673" s="5" t="s">
        <v>46</v>
      </c>
      <c r="E673" s="6" t="s">
        <v>13</v>
      </c>
      <c r="F673" s="6" t="s">
        <v>56</v>
      </c>
      <c r="G673" s="5">
        <v>27</v>
      </c>
      <c r="H673" s="8">
        <v>44473</v>
      </c>
      <c r="I673" s="6" t="s">
        <v>26</v>
      </c>
      <c r="J673" s="6" t="s">
        <v>22</v>
      </c>
    </row>
    <row r="674" spans="1:10" x14ac:dyDescent="0.3">
      <c r="A674" s="6" t="s">
        <v>718</v>
      </c>
      <c r="B674" s="6" t="s">
        <v>24</v>
      </c>
      <c r="C674" s="7">
        <v>20</v>
      </c>
      <c r="D674" s="5" t="s">
        <v>32</v>
      </c>
      <c r="E674" s="6" t="s">
        <v>13</v>
      </c>
      <c r="F674" s="6" t="s">
        <v>38</v>
      </c>
      <c r="G674" s="5">
        <v>17</v>
      </c>
      <c r="H674" s="8">
        <v>44770</v>
      </c>
      <c r="I674" s="6" t="s">
        <v>47</v>
      </c>
      <c r="J674" s="6" t="s">
        <v>22</v>
      </c>
    </row>
    <row r="675" spans="1:10" x14ac:dyDescent="0.3">
      <c r="A675" s="6" t="s">
        <v>719</v>
      </c>
      <c r="B675" s="6" t="s">
        <v>24</v>
      </c>
      <c r="C675" s="7">
        <v>25</v>
      </c>
      <c r="D675" s="5" t="s">
        <v>18</v>
      </c>
      <c r="E675" s="6" t="s">
        <v>19</v>
      </c>
      <c r="F675" s="6" t="s">
        <v>25</v>
      </c>
      <c r="G675" s="5">
        <v>31</v>
      </c>
      <c r="H675" s="8">
        <v>44359</v>
      </c>
      <c r="I675" s="6" t="s">
        <v>21</v>
      </c>
      <c r="J675" s="6" t="s">
        <v>27</v>
      </c>
    </row>
    <row r="676" spans="1:10" x14ac:dyDescent="0.3">
      <c r="A676" s="6" t="s">
        <v>720</v>
      </c>
      <c r="B676" s="6" t="s">
        <v>24</v>
      </c>
      <c r="C676" s="7">
        <v>24</v>
      </c>
      <c r="D676" s="5" t="s">
        <v>32</v>
      </c>
      <c r="E676" s="6" t="s">
        <v>19</v>
      </c>
      <c r="F676" s="6" t="s">
        <v>20</v>
      </c>
      <c r="G676" s="5">
        <v>8</v>
      </c>
      <c r="H676" s="8">
        <v>45035</v>
      </c>
      <c r="I676" s="6" t="s">
        <v>15</v>
      </c>
      <c r="J676" s="6" t="s">
        <v>16</v>
      </c>
    </row>
    <row r="677" spans="1:10" x14ac:dyDescent="0.3">
      <c r="A677" s="6" t="s">
        <v>721</v>
      </c>
      <c r="B677" s="6" t="s">
        <v>31</v>
      </c>
      <c r="C677" s="7">
        <v>25</v>
      </c>
      <c r="D677" s="5" t="s">
        <v>18</v>
      </c>
      <c r="E677" s="6" t="s">
        <v>19</v>
      </c>
      <c r="F677" s="6" t="s">
        <v>14</v>
      </c>
      <c r="G677" s="5">
        <v>34</v>
      </c>
      <c r="H677" s="8">
        <v>44248</v>
      </c>
      <c r="I677" s="6" t="s">
        <v>15</v>
      </c>
      <c r="J677" s="6" t="s">
        <v>16</v>
      </c>
    </row>
    <row r="678" spans="1:10" x14ac:dyDescent="0.3">
      <c r="A678" s="6" t="s">
        <v>722</v>
      </c>
      <c r="B678" s="6" t="s">
        <v>24</v>
      </c>
      <c r="C678" s="7">
        <v>18</v>
      </c>
      <c r="D678" s="5" t="s">
        <v>32</v>
      </c>
      <c r="E678" s="6" t="s">
        <v>19</v>
      </c>
      <c r="F678" s="6" t="s">
        <v>20</v>
      </c>
      <c r="G678" s="5">
        <v>12</v>
      </c>
      <c r="H678" s="8">
        <v>44914</v>
      </c>
      <c r="I678" s="6" t="s">
        <v>34</v>
      </c>
      <c r="J678" s="6" t="s">
        <v>22</v>
      </c>
    </row>
    <row r="679" spans="1:10" x14ac:dyDescent="0.3">
      <c r="A679" s="6" t="s">
        <v>723</v>
      </c>
      <c r="B679" s="6" t="s">
        <v>31</v>
      </c>
      <c r="C679" s="7">
        <v>51</v>
      </c>
      <c r="D679" s="5" t="s">
        <v>46</v>
      </c>
      <c r="E679" s="6" t="s">
        <v>19</v>
      </c>
      <c r="F679" s="6" t="s">
        <v>25</v>
      </c>
      <c r="G679" s="5">
        <v>41</v>
      </c>
      <c r="H679" s="8">
        <v>44046</v>
      </c>
      <c r="I679" s="6" t="s">
        <v>34</v>
      </c>
      <c r="J679" s="6" t="s">
        <v>65</v>
      </c>
    </row>
    <row r="680" spans="1:10" x14ac:dyDescent="0.3">
      <c r="A680" s="6" t="s">
        <v>724</v>
      </c>
      <c r="B680" s="6" t="s">
        <v>42</v>
      </c>
      <c r="C680" s="7">
        <v>28</v>
      </c>
      <c r="D680" s="5" t="s">
        <v>18</v>
      </c>
      <c r="E680" s="6" t="s">
        <v>19</v>
      </c>
      <c r="F680" s="6" t="s">
        <v>38</v>
      </c>
      <c r="G680" s="5">
        <v>21</v>
      </c>
      <c r="H680" s="8">
        <v>44639</v>
      </c>
      <c r="I680" s="6" t="s">
        <v>34</v>
      </c>
      <c r="J680" s="6" t="s">
        <v>27</v>
      </c>
    </row>
    <row r="681" spans="1:10" x14ac:dyDescent="0.3">
      <c r="A681" s="6" t="s">
        <v>725</v>
      </c>
      <c r="B681" s="6" t="s">
        <v>24</v>
      </c>
      <c r="C681" s="7">
        <v>43</v>
      </c>
      <c r="D681" s="5" t="s">
        <v>12</v>
      </c>
      <c r="E681" s="6" t="s">
        <v>19</v>
      </c>
      <c r="F681" s="6" t="s">
        <v>88</v>
      </c>
      <c r="G681" s="5">
        <v>34</v>
      </c>
      <c r="H681" s="8">
        <v>44271</v>
      </c>
      <c r="I681" s="6" t="s">
        <v>29</v>
      </c>
      <c r="J681" s="6" t="s">
        <v>16</v>
      </c>
    </row>
    <row r="682" spans="1:10" x14ac:dyDescent="0.3">
      <c r="A682" s="6" t="s">
        <v>726</v>
      </c>
      <c r="B682" s="6" t="s">
        <v>11</v>
      </c>
      <c r="C682" s="7">
        <v>18</v>
      </c>
      <c r="D682" s="5" t="s">
        <v>32</v>
      </c>
      <c r="E682" s="6" t="s">
        <v>13</v>
      </c>
      <c r="F682" s="6" t="s">
        <v>20</v>
      </c>
      <c r="G682" s="5">
        <v>51</v>
      </c>
      <c r="H682" s="8">
        <v>43738</v>
      </c>
      <c r="I682" s="6" t="s">
        <v>29</v>
      </c>
      <c r="J682" s="6" t="s">
        <v>16</v>
      </c>
    </row>
    <row r="683" spans="1:10" x14ac:dyDescent="0.3">
      <c r="A683" s="6" t="s">
        <v>727</v>
      </c>
      <c r="B683" s="6" t="s">
        <v>24</v>
      </c>
      <c r="C683" s="7">
        <v>29</v>
      </c>
      <c r="D683" s="5" t="s">
        <v>18</v>
      </c>
      <c r="E683" s="6" t="s">
        <v>13</v>
      </c>
      <c r="F683" s="6" t="s">
        <v>88</v>
      </c>
      <c r="G683" s="5">
        <v>29</v>
      </c>
      <c r="H683" s="8">
        <v>44408</v>
      </c>
      <c r="I683" s="6" t="s">
        <v>21</v>
      </c>
      <c r="J683" s="6" t="s">
        <v>27</v>
      </c>
    </row>
    <row r="684" spans="1:10" x14ac:dyDescent="0.3">
      <c r="A684" s="6" t="s">
        <v>728</v>
      </c>
      <c r="B684" s="6" t="s">
        <v>31</v>
      </c>
      <c r="C684" s="7">
        <v>22</v>
      </c>
      <c r="D684" s="5" t="s">
        <v>32</v>
      </c>
      <c r="E684" s="6" t="s">
        <v>13</v>
      </c>
      <c r="F684" s="6" t="s">
        <v>54</v>
      </c>
      <c r="G684" s="5">
        <v>32</v>
      </c>
      <c r="H684" s="8">
        <v>44307</v>
      </c>
      <c r="I684" s="6" t="s">
        <v>39</v>
      </c>
      <c r="J684" s="6" t="s">
        <v>27</v>
      </c>
    </row>
    <row r="685" spans="1:10" x14ac:dyDescent="0.3">
      <c r="A685" s="6" t="s">
        <v>729</v>
      </c>
      <c r="B685" s="6" t="s">
        <v>11</v>
      </c>
      <c r="C685" s="7">
        <v>44</v>
      </c>
      <c r="D685" s="5" t="s">
        <v>12</v>
      </c>
      <c r="E685" s="6" t="s">
        <v>13</v>
      </c>
      <c r="F685" s="6" t="s">
        <v>14</v>
      </c>
      <c r="G685" s="5">
        <v>1</v>
      </c>
      <c r="H685" s="8">
        <v>45252</v>
      </c>
      <c r="I685" s="6" t="s">
        <v>49</v>
      </c>
      <c r="J685" s="6" t="s">
        <v>27</v>
      </c>
    </row>
    <row r="686" spans="1:10" x14ac:dyDescent="0.3">
      <c r="A686" s="6" t="s">
        <v>730</v>
      </c>
      <c r="B686" s="6" t="s">
        <v>31</v>
      </c>
      <c r="C686" s="7">
        <v>18</v>
      </c>
      <c r="D686" s="5" t="s">
        <v>32</v>
      </c>
      <c r="E686" s="6" t="s">
        <v>105</v>
      </c>
      <c r="F686" s="6" t="s">
        <v>20</v>
      </c>
      <c r="G686" s="5">
        <v>30</v>
      </c>
      <c r="H686" s="8">
        <v>44378</v>
      </c>
      <c r="I686" s="6" t="s">
        <v>29</v>
      </c>
      <c r="J686" s="6" t="s">
        <v>16</v>
      </c>
    </row>
    <row r="687" spans="1:10" x14ac:dyDescent="0.3">
      <c r="A687" s="6" t="s">
        <v>731</v>
      </c>
      <c r="B687" s="6" t="s">
        <v>24</v>
      </c>
      <c r="C687" s="7">
        <v>21</v>
      </c>
      <c r="D687" s="5" t="s">
        <v>32</v>
      </c>
      <c r="E687" s="6" t="s">
        <v>19</v>
      </c>
      <c r="F687" s="6" t="s">
        <v>56</v>
      </c>
      <c r="G687" s="5">
        <v>55</v>
      </c>
      <c r="H687" s="8">
        <v>43615</v>
      </c>
      <c r="I687" s="6" t="s">
        <v>39</v>
      </c>
      <c r="J687" s="6" t="s">
        <v>22</v>
      </c>
    </row>
    <row r="688" spans="1:10" x14ac:dyDescent="0.3">
      <c r="A688" s="6" t="s">
        <v>732</v>
      </c>
      <c r="B688" s="6" t="s">
        <v>42</v>
      </c>
      <c r="C688" s="7">
        <v>25</v>
      </c>
      <c r="D688" s="5" t="s">
        <v>18</v>
      </c>
      <c r="E688" s="6" t="s">
        <v>19</v>
      </c>
      <c r="F688" s="6" t="s">
        <v>38</v>
      </c>
      <c r="G688" s="5">
        <v>10</v>
      </c>
      <c r="H688" s="8">
        <v>44979</v>
      </c>
      <c r="I688" s="6" t="s">
        <v>62</v>
      </c>
      <c r="J688" s="6" t="s">
        <v>27</v>
      </c>
    </row>
    <row r="689" spans="1:10" x14ac:dyDescent="0.3">
      <c r="A689" s="6" t="s">
        <v>733</v>
      </c>
      <c r="B689" s="6" t="s">
        <v>31</v>
      </c>
      <c r="C689" s="7">
        <v>27</v>
      </c>
      <c r="D689" s="5" t="s">
        <v>18</v>
      </c>
      <c r="E689" s="6" t="s">
        <v>19</v>
      </c>
      <c r="F689" s="6" t="s">
        <v>38</v>
      </c>
      <c r="G689" s="5">
        <v>52</v>
      </c>
      <c r="H689" s="8">
        <v>43715</v>
      </c>
      <c r="I689" s="6" t="s">
        <v>39</v>
      </c>
      <c r="J689" s="6" t="s">
        <v>27</v>
      </c>
    </row>
    <row r="690" spans="1:10" x14ac:dyDescent="0.3">
      <c r="A690" s="6" t="s">
        <v>734</v>
      </c>
      <c r="B690" s="6" t="s">
        <v>31</v>
      </c>
      <c r="C690" s="7">
        <v>18</v>
      </c>
      <c r="D690" s="5" t="s">
        <v>32</v>
      </c>
      <c r="E690" s="6" t="s">
        <v>19</v>
      </c>
      <c r="F690" s="6" t="s">
        <v>36</v>
      </c>
      <c r="G690" s="5">
        <v>56</v>
      </c>
      <c r="H690" s="8">
        <v>43609</v>
      </c>
      <c r="I690" s="6" t="s">
        <v>62</v>
      </c>
      <c r="J690" s="6" t="s">
        <v>27</v>
      </c>
    </row>
    <row r="691" spans="1:10" x14ac:dyDescent="0.3">
      <c r="A691" s="6" t="s">
        <v>735</v>
      </c>
      <c r="B691" s="6" t="s">
        <v>42</v>
      </c>
      <c r="C691" s="7">
        <v>21</v>
      </c>
      <c r="D691" s="5" t="s">
        <v>32</v>
      </c>
      <c r="E691" s="6" t="s">
        <v>13</v>
      </c>
      <c r="F691" s="6" t="s">
        <v>88</v>
      </c>
      <c r="G691" s="5">
        <v>47</v>
      </c>
      <c r="H691" s="8">
        <v>43881</v>
      </c>
      <c r="I691" s="6" t="s">
        <v>62</v>
      </c>
      <c r="J691" s="6" t="s">
        <v>22</v>
      </c>
    </row>
    <row r="692" spans="1:10" x14ac:dyDescent="0.3">
      <c r="A692" s="6" t="s">
        <v>736</v>
      </c>
      <c r="B692" s="6" t="s">
        <v>11</v>
      </c>
      <c r="C692" s="7">
        <v>31</v>
      </c>
      <c r="D692" s="5" t="s">
        <v>18</v>
      </c>
      <c r="E692" s="6" t="s">
        <v>19</v>
      </c>
      <c r="F692" s="6" t="s">
        <v>25</v>
      </c>
      <c r="G692" s="5">
        <v>55</v>
      </c>
      <c r="H692" s="8">
        <v>43613</v>
      </c>
      <c r="I692" s="6" t="s">
        <v>26</v>
      </c>
      <c r="J692" s="6" t="s">
        <v>27</v>
      </c>
    </row>
    <row r="693" spans="1:10" x14ac:dyDescent="0.3">
      <c r="A693" s="6" t="s">
        <v>737</v>
      </c>
      <c r="B693" s="6" t="s">
        <v>24</v>
      </c>
      <c r="C693" s="7">
        <v>32</v>
      </c>
      <c r="D693" s="5" t="s">
        <v>18</v>
      </c>
      <c r="E693" s="6" t="s">
        <v>13</v>
      </c>
      <c r="F693" s="6" t="s">
        <v>38</v>
      </c>
      <c r="G693" s="5">
        <v>21</v>
      </c>
      <c r="H693" s="8">
        <v>44648</v>
      </c>
      <c r="I693" s="6" t="s">
        <v>49</v>
      </c>
      <c r="J693" s="6" t="s">
        <v>27</v>
      </c>
    </row>
    <row r="694" spans="1:10" x14ac:dyDescent="0.3">
      <c r="A694" s="6" t="s">
        <v>738</v>
      </c>
      <c r="B694" s="6" t="s">
        <v>11</v>
      </c>
      <c r="C694" s="7">
        <v>18</v>
      </c>
      <c r="D694" s="5" t="s">
        <v>32</v>
      </c>
      <c r="E694" s="6" t="s">
        <v>13</v>
      </c>
      <c r="F694" s="6" t="s">
        <v>20</v>
      </c>
      <c r="G694" s="5">
        <v>12</v>
      </c>
      <c r="H694" s="8">
        <v>44913</v>
      </c>
      <c r="I694" s="6" t="s">
        <v>62</v>
      </c>
      <c r="J694" s="6" t="s">
        <v>22</v>
      </c>
    </row>
    <row r="695" spans="1:10" x14ac:dyDescent="0.3">
      <c r="A695" s="6" t="s">
        <v>739</v>
      </c>
      <c r="B695" s="6" t="s">
        <v>42</v>
      </c>
      <c r="C695" s="7">
        <v>25</v>
      </c>
      <c r="D695" s="5" t="s">
        <v>18</v>
      </c>
      <c r="E695" s="6" t="s">
        <v>13</v>
      </c>
      <c r="F695" s="6" t="s">
        <v>64</v>
      </c>
      <c r="G695" s="5">
        <v>11</v>
      </c>
      <c r="H695" s="8">
        <v>44959</v>
      </c>
      <c r="I695" s="6" t="s">
        <v>47</v>
      </c>
      <c r="J695" s="6" t="s">
        <v>16</v>
      </c>
    </row>
    <row r="696" spans="1:10" x14ac:dyDescent="0.3">
      <c r="A696" s="6" t="s">
        <v>740</v>
      </c>
      <c r="B696" s="6" t="s">
        <v>31</v>
      </c>
      <c r="C696" s="7">
        <v>47</v>
      </c>
      <c r="D696" s="5" t="s">
        <v>46</v>
      </c>
      <c r="E696" s="6" t="s">
        <v>19</v>
      </c>
      <c r="F696" s="6" t="s">
        <v>36</v>
      </c>
      <c r="G696" s="5">
        <v>19</v>
      </c>
      <c r="H696" s="8">
        <v>44695</v>
      </c>
      <c r="I696" s="6" t="s">
        <v>47</v>
      </c>
      <c r="J696" s="6" t="s">
        <v>65</v>
      </c>
    </row>
    <row r="697" spans="1:10" x14ac:dyDescent="0.3">
      <c r="A697" s="6" t="s">
        <v>741</v>
      </c>
      <c r="B697" s="6" t="s">
        <v>11</v>
      </c>
      <c r="C697" s="7">
        <v>18</v>
      </c>
      <c r="D697" s="5" t="s">
        <v>32</v>
      </c>
      <c r="E697" s="6" t="s">
        <v>13</v>
      </c>
      <c r="F697" s="6" t="s">
        <v>54</v>
      </c>
      <c r="G697" s="5">
        <v>20</v>
      </c>
      <c r="H697" s="8">
        <v>44692</v>
      </c>
      <c r="I697" s="6" t="s">
        <v>21</v>
      </c>
      <c r="J697" s="6" t="s">
        <v>65</v>
      </c>
    </row>
    <row r="698" spans="1:10" x14ac:dyDescent="0.3">
      <c r="A698" s="6" t="s">
        <v>742</v>
      </c>
      <c r="B698" s="6" t="s">
        <v>24</v>
      </c>
      <c r="C698" s="7">
        <v>25</v>
      </c>
      <c r="D698" s="5" t="s">
        <v>18</v>
      </c>
      <c r="E698" s="6" t="s">
        <v>13</v>
      </c>
      <c r="F698" s="6" t="s">
        <v>56</v>
      </c>
      <c r="G698" s="5">
        <v>41</v>
      </c>
      <c r="H698" s="8">
        <v>44057</v>
      </c>
      <c r="I698" s="6" t="s">
        <v>34</v>
      </c>
      <c r="J698" s="6" t="s">
        <v>27</v>
      </c>
    </row>
    <row r="699" spans="1:10" x14ac:dyDescent="0.3">
      <c r="A699" s="6" t="s">
        <v>743</v>
      </c>
      <c r="B699" s="6" t="s">
        <v>31</v>
      </c>
      <c r="C699" s="7">
        <v>26</v>
      </c>
      <c r="D699" s="5" t="s">
        <v>18</v>
      </c>
      <c r="E699" s="6" t="s">
        <v>19</v>
      </c>
      <c r="F699" s="6" t="s">
        <v>20</v>
      </c>
      <c r="G699" s="5">
        <v>8</v>
      </c>
      <c r="H699" s="8">
        <v>45047</v>
      </c>
      <c r="I699" s="6" t="s">
        <v>39</v>
      </c>
      <c r="J699" s="6" t="s">
        <v>22</v>
      </c>
    </row>
    <row r="700" spans="1:10" x14ac:dyDescent="0.3">
      <c r="A700" s="6" t="s">
        <v>744</v>
      </c>
      <c r="B700" s="6" t="s">
        <v>11</v>
      </c>
      <c r="C700" s="7">
        <v>26</v>
      </c>
      <c r="D700" s="5" t="s">
        <v>18</v>
      </c>
      <c r="E700" s="6" t="s">
        <v>19</v>
      </c>
      <c r="F700" s="6" t="s">
        <v>54</v>
      </c>
      <c r="G700" s="5">
        <v>22</v>
      </c>
      <c r="H700" s="8">
        <v>44605</v>
      </c>
      <c r="I700" s="6" t="s">
        <v>29</v>
      </c>
      <c r="J700" s="6" t="s">
        <v>22</v>
      </c>
    </row>
    <row r="701" spans="1:10" x14ac:dyDescent="0.3">
      <c r="A701" s="6" t="s">
        <v>745</v>
      </c>
      <c r="B701" s="6" t="s">
        <v>24</v>
      </c>
      <c r="C701" s="7">
        <v>19</v>
      </c>
      <c r="D701" s="5" t="s">
        <v>32</v>
      </c>
      <c r="E701" s="6" t="s">
        <v>19</v>
      </c>
      <c r="F701" s="6" t="s">
        <v>20</v>
      </c>
      <c r="G701" s="5">
        <v>6</v>
      </c>
      <c r="H701" s="8">
        <v>45086</v>
      </c>
      <c r="I701" s="6" t="s">
        <v>47</v>
      </c>
      <c r="J701" s="6" t="s">
        <v>27</v>
      </c>
    </row>
    <row r="702" spans="1:10" x14ac:dyDescent="0.3">
      <c r="A702" s="6" t="s">
        <v>746</v>
      </c>
      <c r="B702" s="6" t="s">
        <v>11</v>
      </c>
      <c r="C702" s="7">
        <v>18</v>
      </c>
      <c r="D702" s="5" t="s">
        <v>32</v>
      </c>
      <c r="E702" s="6" t="s">
        <v>19</v>
      </c>
      <c r="F702" s="6" t="s">
        <v>33</v>
      </c>
      <c r="G702" s="5">
        <v>34</v>
      </c>
      <c r="H702" s="8">
        <v>44246</v>
      </c>
      <c r="I702" s="6" t="s">
        <v>15</v>
      </c>
      <c r="J702" s="6" t="s">
        <v>22</v>
      </c>
    </row>
    <row r="703" spans="1:10" x14ac:dyDescent="0.3">
      <c r="A703" s="6" t="s">
        <v>747</v>
      </c>
      <c r="B703" s="6" t="s">
        <v>42</v>
      </c>
      <c r="C703" s="7">
        <v>60</v>
      </c>
      <c r="D703" s="5" t="s">
        <v>201</v>
      </c>
      <c r="E703" s="6" t="s">
        <v>19</v>
      </c>
      <c r="F703" s="6" t="s">
        <v>54</v>
      </c>
      <c r="G703" s="5">
        <v>54</v>
      </c>
      <c r="H703" s="8">
        <v>43660</v>
      </c>
      <c r="I703" s="6" t="s">
        <v>62</v>
      </c>
      <c r="J703" s="6" t="s">
        <v>16</v>
      </c>
    </row>
    <row r="704" spans="1:10" x14ac:dyDescent="0.3">
      <c r="A704" s="6" t="s">
        <v>748</v>
      </c>
      <c r="B704" s="6" t="s">
        <v>31</v>
      </c>
      <c r="C704" s="7">
        <v>41</v>
      </c>
      <c r="D704" s="5" t="s">
        <v>12</v>
      </c>
      <c r="E704" s="6" t="s">
        <v>19</v>
      </c>
      <c r="F704" s="6" t="s">
        <v>14</v>
      </c>
      <c r="G704" s="5">
        <v>6</v>
      </c>
      <c r="H704" s="8">
        <v>45109</v>
      </c>
      <c r="I704" s="6" t="s">
        <v>62</v>
      </c>
      <c r="J704" s="6" t="s">
        <v>27</v>
      </c>
    </row>
    <row r="705" spans="1:10" x14ac:dyDescent="0.3">
      <c r="A705" s="6" t="s">
        <v>749</v>
      </c>
      <c r="B705" s="6" t="s">
        <v>11</v>
      </c>
      <c r="C705" s="7">
        <v>35</v>
      </c>
      <c r="D705" s="5" t="s">
        <v>12</v>
      </c>
      <c r="E705" s="6" t="s">
        <v>13</v>
      </c>
      <c r="F705" s="6" t="s">
        <v>64</v>
      </c>
      <c r="G705" s="5">
        <v>18</v>
      </c>
      <c r="H705" s="8">
        <v>44728</v>
      </c>
      <c r="I705" s="6" t="s">
        <v>15</v>
      </c>
      <c r="J705" s="6" t="s">
        <v>27</v>
      </c>
    </row>
    <row r="706" spans="1:10" x14ac:dyDescent="0.3">
      <c r="A706" s="6" t="s">
        <v>750</v>
      </c>
      <c r="B706" s="6" t="s">
        <v>61</v>
      </c>
      <c r="C706" s="7">
        <v>25</v>
      </c>
      <c r="D706" s="5" t="s">
        <v>18</v>
      </c>
      <c r="E706" s="6" t="s">
        <v>19</v>
      </c>
      <c r="F706" s="6" t="s">
        <v>25</v>
      </c>
      <c r="G706" s="5">
        <v>24</v>
      </c>
      <c r="H706" s="8">
        <v>44554</v>
      </c>
      <c r="I706" s="6" t="s">
        <v>29</v>
      </c>
      <c r="J706" s="6" t="s">
        <v>65</v>
      </c>
    </row>
    <row r="707" spans="1:10" x14ac:dyDescent="0.3">
      <c r="A707" s="6" t="s">
        <v>751</v>
      </c>
      <c r="B707" s="6" t="s">
        <v>31</v>
      </c>
      <c r="C707" s="7">
        <v>29</v>
      </c>
      <c r="D707" s="5" t="s">
        <v>18</v>
      </c>
      <c r="E707" s="6" t="s">
        <v>13</v>
      </c>
      <c r="F707" s="6" t="s">
        <v>36</v>
      </c>
      <c r="G707" s="5">
        <v>21</v>
      </c>
      <c r="H707" s="8">
        <v>44641</v>
      </c>
      <c r="I707" s="6" t="s">
        <v>15</v>
      </c>
      <c r="J707" s="6" t="s">
        <v>16</v>
      </c>
    </row>
    <row r="708" spans="1:10" x14ac:dyDescent="0.3">
      <c r="A708" s="6" t="s">
        <v>752</v>
      </c>
      <c r="B708" s="6" t="s">
        <v>11</v>
      </c>
      <c r="C708" s="7">
        <v>36</v>
      </c>
      <c r="D708" s="5" t="s">
        <v>12</v>
      </c>
      <c r="E708" s="6" t="s">
        <v>13</v>
      </c>
      <c r="F708" s="6" t="s">
        <v>64</v>
      </c>
      <c r="G708" s="5">
        <v>38</v>
      </c>
      <c r="H708" s="8">
        <v>44137</v>
      </c>
      <c r="I708" s="6" t="s">
        <v>39</v>
      </c>
      <c r="J708" s="6" t="s">
        <v>16</v>
      </c>
    </row>
    <row r="709" spans="1:10" x14ac:dyDescent="0.3">
      <c r="A709" s="6" t="s">
        <v>753</v>
      </c>
      <c r="B709" s="6" t="s">
        <v>42</v>
      </c>
      <c r="C709" s="7">
        <v>26</v>
      </c>
      <c r="D709" s="5" t="s">
        <v>18</v>
      </c>
      <c r="E709" s="6" t="s">
        <v>19</v>
      </c>
      <c r="F709" s="6" t="s">
        <v>33</v>
      </c>
      <c r="G709" s="5">
        <v>39</v>
      </c>
      <c r="H709" s="8">
        <v>44099</v>
      </c>
      <c r="I709" s="6" t="s">
        <v>47</v>
      </c>
      <c r="J709" s="6" t="s">
        <v>65</v>
      </c>
    </row>
    <row r="710" spans="1:10" x14ac:dyDescent="0.3">
      <c r="A710" s="6" t="s">
        <v>754</v>
      </c>
      <c r="B710" s="6" t="s">
        <v>61</v>
      </c>
      <c r="C710" s="7">
        <v>29</v>
      </c>
      <c r="D710" s="5" t="s">
        <v>18</v>
      </c>
      <c r="E710" s="6" t="s">
        <v>105</v>
      </c>
      <c r="F710" s="6" t="s">
        <v>54</v>
      </c>
      <c r="G710" s="5">
        <v>42</v>
      </c>
      <c r="H710" s="8">
        <v>44021</v>
      </c>
      <c r="I710" s="6" t="s">
        <v>49</v>
      </c>
      <c r="J710" s="6" t="s">
        <v>27</v>
      </c>
    </row>
    <row r="711" spans="1:10" x14ac:dyDescent="0.3">
      <c r="A711" s="6" t="s">
        <v>755</v>
      </c>
      <c r="B711" s="6" t="s">
        <v>24</v>
      </c>
      <c r="C711" s="7">
        <v>29</v>
      </c>
      <c r="D711" s="5" t="s">
        <v>18</v>
      </c>
      <c r="E711" s="6" t="s">
        <v>13</v>
      </c>
      <c r="F711" s="6" t="s">
        <v>33</v>
      </c>
      <c r="G711" s="5">
        <v>20</v>
      </c>
      <c r="H711" s="8">
        <v>44663</v>
      </c>
      <c r="I711" s="6" t="s">
        <v>15</v>
      </c>
      <c r="J711" s="6" t="s">
        <v>27</v>
      </c>
    </row>
    <row r="712" spans="1:10" x14ac:dyDescent="0.3">
      <c r="A712" s="6" t="s">
        <v>756</v>
      </c>
      <c r="B712" s="6" t="s">
        <v>42</v>
      </c>
      <c r="C712" s="7">
        <v>22</v>
      </c>
      <c r="D712" s="5" t="s">
        <v>32</v>
      </c>
      <c r="E712" s="6" t="s">
        <v>19</v>
      </c>
      <c r="F712" s="6" t="s">
        <v>14</v>
      </c>
      <c r="G712" s="5">
        <v>51</v>
      </c>
      <c r="H712" s="8">
        <v>43743</v>
      </c>
      <c r="I712" s="6" t="s">
        <v>62</v>
      </c>
      <c r="J712" s="6" t="s">
        <v>16</v>
      </c>
    </row>
    <row r="713" spans="1:10" x14ac:dyDescent="0.3">
      <c r="A713" s="6" t="s">
        <v>757</v>
      </c>
      <c r="B713" s="6" t="s">
        <v>31</v>
      </c>
      <c r="C713" s="7">
        <v>45</v>
      </c>
      <c r="D713" s="5" t="s">
        <v>46</v>
      </c>
      <c r="E713" s="6" t="s">
        <v>19</v>
      </c>
      <c r="F713" s="6" t="s">
        <v>14</v>
      </c>
      <c r="G713" s="5">
        <v>57</v>
      </c>
      <c r="H713" s="8">
        <v>43568</v>
      </c>
      <c r="I713" s="6" t="s">
        <v>29</v>
      </c>
      <c r="J713" s="6" t="s">
        <v>16</v>
      </c>
    </row>
    <row r="714" spans="1:10" x14ac:dyDescent="0.3">
      <c r="A714" s="6" t="s">
        <v>758</v>
      </c>
      <c r="B714" s="6" t="s">
        <v>31</v>
      </c>
      <c r="C714" s="7">
        <v>27</v>
      </c>
      <c r="D714" s="5" t="s">
        <v>18</v>
      </c>
      <c r="E714" s="6" t="s">
        <v>13</v>
      </c>
      <c r="F714" s="6" t="s">
        <v>33</v>
      </c>
      <c r="G714" s="5">
        <v>53</v>
      </c>
      <c r="H714" s="8">
        <v>43700</v>
      </c>
      <c r="I714" s="6" t="s">
        <v>34</v>
      </c>
      <c r="J714" s="6" t="s">
        <v>65</v>
      </c>
    </row>
    <row r="715" spans="1:10" x14ac:dyDescent="0.3">
      <c r="A715" s="6" t="s">
        <v>759</v>
      </c>
      <c r="B715" s="6" t="s">
        <v>11</v>
      </c>
      <c r="C715" s="7">
        <v>36</v>
      </c>
      <c r="D715" s="5" t="s">
        <v>12</v>
      </c>
      <c r="E715" s="6" t="s">
        <v>19</v>
      </c>
      <c r="F715" s="6" t="s">
        <v>25</v>
      </c>
      <c r="G715" s="5">
        <v>56</v>
      </c>
      <c r="H715" s="8">
        <v>43609</v>
      </c>
      <c r="I715" s="6" t="s">
        <v>29</v>
      </c>
      <c r="J715" s="6" t="s">
        <v>27</v>
      </c>
    </row>
    <row r="716" spans="1:10" x14ac:dyDescent="0.3">
      <c r="A716" s="6" t="s">
        <v>760</v>
      </c>
      <c r="B716" s="6" t="s">
        <v>31</v>
      </c>
      <c r="C716" s="7">
        <v>43</v>
      </c>
      <c r="D716" s="5" t="s">
        <v>12</v>
      </c>
      <c r="E716" s="6" t="s">
        <v>13</v>
      </c>
      <c r="F716" s="6" t="s">
        <v>20</v>
      </c>
      <c r="G716" s="5">
        <v>10</v>
      </c>
      <c r="H716" s="8">
        <v>44992</v>
      </c>
      <c r="I716" s="6" t="s">
        <v>47</v>
      </c>
      <c r="J716" s="6" t="s">
        <v>16</v>
      </c>
    </row>
    <row r="717" spans="1:10" x14ac:dyDescent="0.3">
      <c r="A717" s="6" t="s">
        <v>761</v>
      </c>
      <c r="B717" s="6" t="s">
        <v>11</v>
      </c>
      <c r="C717" s="7">
        <v>39</v>
      </c>
      <c r="D717" s="5" t="s">
        <v>12</v>
      </c>
      <c r="E717" s="6" t="s">
        <v>19</v>
      </c>
      <c r="F717" s="6" t="s">
        <v>88</v>
      </c>
      <c r="G717" s="5">
        <v>1</v>
      </c>
      <c r="H717" s="8">
        <v>45237</v>
      </c>
      <c r="I717" s="6" t="s">
        <v>29</v>
      </c>
      <c r="J717" s="6" t="s">
        <v>27</v>
      </c>
    </row>
    <row r="718" spans="1:10" x14ac:dyDescent="0.3">
      <c r="A718" s="6" t="s">
        <v>762</v>
      </c>
      <c r="B718" s="6" t="s">
        <v>42</v>
      </c>
      <c r="C718" s="7">
        <v>24</v>
      </c>
      <c r="D718" s="5" t="s">
        <v>32</v>
      </c>
      <c r="E718" s="6" t="s">
        <v>13</v>
      </c>
      <c r="F718" s="6" t="s">
        <v>25</v>
      </c>
      <c r="G718" s="5">
        <v>40</v>
      </c>
      <c r="H718" s="8">
        <v>44076</v>
      </c>
      <c r="I718" s="6" t="s">
        <v>29</v>
      </c>
      <c r="J718" s="6" t="s">
        <v>16</v>
      </c>
    </row>
    <row r="719" spans="1:10" x14ac:dyDescent="0.3">
      <c r="A719" s="6" t="s">
        <v>763</v>
      </c>
      <c r="B719" s="6" t="s">
        <v>31</v>
      </c>
      <c r="C719" s="7">
        <v>31</v>
      </c>
      <c r="D719" s="5" t="s">
        <v>18</v>
      </c>
      <c r="E719" s="6" t="s">
        <v>19</v>
      </c>
      <c r="F719" s="6" t="s">
        <v>25</v>
      </c>
      <c r="G719" s="5">
        <v>16</v>
      </c>
      <c r="H719" s="8">
        <v>44786</v>
      </c>
      <c r="I719" s="6" t="s">
        <v>29</v>
      </c>
      <c r="J719" s="6" t="s">
        <v>22</v>
      </c>
    </row>
    <row r="720" spans="1:10" x14ac:dyDescent="0.3">
      <c r="A720" s="6" t="s">
        <v>764</v>
      </c>
      <c r="B720" s="6" t="s">
        <v>31</v>
      </c>
      <c r="C720" s="7">
        <v>18</v>
      </c>
      <c r="D720" s="5" t="s">
        <v>32</v>
      </c>
      <c r="E720" s="6" t="s">
        <v>19</v>
      </c>
      <c r="F720" s="6" t="s">
        <v>56</v>
      </c>
      <c r="G720" s="5">
        <v>37</v>
      </c>
      <c r="H720" s="8">
        <v>44156</v>
      </c>
      <c r="I720" s="6" t="s">
        <v>47</v>
      </c>
      <c r="J720" s="6" t="s">
        <v>27</v>
      </c>
    </row>
    <row r="721" spans="1:10" x14ac:dyDescent="0.3">
      <c r="A721" s="6" t="s">
        <v>765</v>
      </c>
      <c r="B721" s="6" t="s">
        <v>31</v>
      </c>
      <c r="C721" s="7">
        <v>25</v>
      </c>
      <c r="D721" s="5" t="s">
        <v>18</v>
      </c>
      <c r="E721" s="6" t="s">
        <v>13</v>
      </c>
      <c r="F721" s="6" t="s">
        <v>14</v>
      </c>
      <c r="G721" s="5">
        <v>10</v>
      </c>
      <c r="H721" s="8">
        <v>44969</v>
      </c>
      <c r="I721" s="6" t="s">
        <v>47</v>
      </c>
      <c r="J721" s="6" t="s">
        <v>27</v>
      </c>
    </row>
    <row r="722" spans="1:10" x14ac:dyDescent="0.3">
      <c r="A722" s="6" t="s">
        <v>766</v>
      </c>
      <c r="B722" s="6" t="s">
        <v>61</v>
      </c>
      <c r="C722" s="7">
        <v>20</v>
      </c>
      <c r="D722" s="5" t="s">
        <v>32</v>
      </c>
      <c r="E722" s="6" t="s">
        <v>13</v>
      </c>
      <c r="F722" s="6" t="s">
        <v>88</v>
      </c>
      <c r="G722" s="5">
        <v>15</v>
      </c>
      <c r="H722" s="8">
        <v>44829</v>
      </c>
      <c r="I722" s="6" t="s">
        <v>34</v>
      </c>
      <c r="J722" s="6" t="s">
        <v>27</v>
      </c>
    </row>
    <row r="723" spans="1:10" x14ac:dyDescent="0.3">
      <c r="A723" s="6" t="s">
        <v>767</v>
      </c>
      <c r="B723" s="6" t="s">
        <v>61</v>
      </c>
      <c r="C723" s="7">
        <v>31</v>
      </c>
      <c r="D723" s="5" t="s">
        <v>18</v>
      </c>
      <c r="E723" s="6" t="s">
        <v>13</v>
      </c>
      <c r="F723" s="6" t="s">
        <v>38</v>
      </c>
      <c r="G723" s="5">
        <v>16</v>
      </c>
      <c r="H723" s="8">
        <v>44803</v>
      </c>
      <c r="I723" s="6" t="s">
        <v>62</v>
      </c>
      <c r="J723" s="6" t="s">
        <v>65</v>
      </c>
    </row>
    <row r="724" spans="1:10" x14ac:dyDescent="0.3">
      <c r="A724" s="6" t="s">
        <v>768</v>
      </c>
      <c r="B724" s="6" t="s">
        <v>24</v>
      </c>
      <c r="C724" s="7">
        <v>47</v>
      </c>
      <c r="D724" s="5" t="s">
        <v>46</v>
      </c>
      <c r="E724" s="6" t="s">
        <v>13</v>
      </c>
      <c r="F724" s="6" t="s">
        <v>88</v>
      </c>
      <c r="G724" s="5">
        <v>21</v>
      </c>
      <c r="H724" s="8">
        <v>44662</v>
      </c>
      <c r="I724" s="6" t="s">
        <v>15</v>
      </c>
      <c r="J724" s="6" t="s">
        <v>27</v>
      </c>
    </row>
    <row r="725" spans="1:10" x14ac:dyDescent="0.3">
      <c r="A725" s="6" t="s">
        <v>769</v>
      </c>
      <c r="B725" s="6" t="s">
        <v>31</v>
      </c>
      <c r="C725" s="7">
        <v>22</v>
      </c>
      <c r="D725" s="5" t="s">
        <v>32</v>
      </c>
      <c r="E725" s="6" t="s">
        <v>19</v>
      </c>
      <c r="F725" s="6" t="s">
        <v>38</v>
      </c>
      <c r="G725" s="5">
        <v>25</v>
      </c>
      <c r="H725" s="8">
        <v>44521</v>
      </c>
      <c r="I725" s="6" t="s">
        <v>26</v>
      </c>
      <c r="J725" s="6" t="s">
        <v>27</v>
      </c>
    </row>
    <row r="726" spans="1:10" x14ac:dyDescent="0.3">
      <c r="A726" s="6" t="s">
        <v>770</v>
      </c>
      <c r="B726" s="6" t="s">
        <v>11</v>
      </c>
      <c r="C726" s="7">
        <v>23</v>
      </c>
      <c r="D726" s="5" t="s">
        <v>32</v>
      </c>
      <c r="E726" s="6" t="s">
        <v>19</v>
      </c>
      <c r="F726" s="6" t="s">
        <v>14</v>
      </c>
      <c r="G726" s="5">
        <v>24</v>
      </c>
      <c r="H726" s="8">
        <v>44563</v>
      </c>
      <c r="I726" s="6" t="s">
        <v>34</v>
      </c>
      <c r="J726" s="6" t="s">
        <v>16</v>
      </c>
    </row>
    <row r="727" spans="1:10" x14ac:dyDescent="0.3">
      <c r="A727" s="6" t="s">
        <v>771</v>
      </c>
      <c r="B727" s="6" t="s">
        <v>31</v>
      </c>
      <c r="C727" s="7">
        <v>33</v>
      </c>
      <c r="D727" s="5" t="s">
        <v>18</v>
      </c>
      <c r="E727" s="6" t="s">
        <v>19</v>
      </c>
      <c r="F727" s="6" t="s">
        <v>36</v>
      </c>
      <c r="G727" s="5">
        <v>51</v>
      </c>
      <c r="H727" s="8">
        <v>43741</v>
      </c>
      <c r="I727" s="6" t="s">
        <v>29</v>
      </c>
      <c r="J727" s="6" t="s">
        <v>16</v>
      </c>
    </row>
    <row r="728" spans="1:10" x14ac:dyDescent="0.3">
      <c r="A728" s="6" t="s">
        <v>772</v>
      </c>
      <c r="B728" s="6" t="s">
        <v>24</v>
      </c>
      <c r="C728" s="7">
        <v>33</v>
      </c>
      <c r="D728" s="5" t="s">
        <v>18</v>
      </c>
      <c r="E728" s="6" t="s">
        <v>19</v>
      </c>
      <c r="F728" s="6" t="s">
        <v>14</v>
      </c>
      <c r="G728" s="5">
        <v>9</v>
      </c>
      <c r="H728" s="8">
        <v>45019</v>
      </c>
      <c r="I728" s="6" t="s">
        <v>34</v>
      </c>
      <c r="J728" s="6" t="s">
        <v>22</v>
      </c>
    </row>
    <row r="729" spans="1:10" x14ac:dyDescent="0.3">
      <c r="A729" s="6" t="s">
        <v>773</v>
      </c>
      <c r="B729" s="6" t="s">
        <v>11</v>
      </c>
      <c r="C729" s="7">
        <v>22</v>
      </c>
      <c r="D729" s="5" t="s">
        <v>32</v>
      </c>
      <c r="E729" s="6" t="s">
        <v>13</v>
      </c>
      <c r="F729" s="6" t="s">
        <v>36</v>
      </c>
      <c r="G729" s="5">
        <v>48</v>
      </c>
      <c r="H729" s="8">
        <v>43829</v>
      </c>
      <c r="I729" s="6" t="s">
        <v>39</v>
      </c>
      <c r="J729" s="6" t="s">
        <v>22</v>
      </c>
    </row>
    <row r="730" spans="1:10" x14ac:dyDescent="0.3">
      <c r="A730" s="6" t="s">
        <v>774</v>
      </c>
      <c r="B730" s="6" t="s">
        <v>24</v>
      </c>
      <c r="C730" s="7">
        <v>30</v>
      </c>
      <c r="D730" s="5" t="s">
        <v>18</v>
      </c>
      <c r="E730" s="6" t="s">
        <v>13</v>
      </c>
      <c r="F730" s="6" t="s">
        <v>33</v>
      </c>
      <c r="G730" s="5">
        <v>50</v>
      </c>
      <c r="H730" s="8">
        <v>43783</v>
      </c>
      <c r="I730" s="6" t="s">
        <v>21</v>
      </c>
      <c r="J730" s="6" t="s">
        <v>65</v>
      </c>
    </row>
    <row r="731" spans="1:10" x14ac:dyDescent="0.3">
      <c r="A731" s="6" t="s">
        <v>775</v>
      </c>
      <c r="B731" s="6" t="s">
        <v>24</v>
      </c>
      <c r="C731" s="7">
        <v>36</v>
      </c>
      <c r="D731" s="5" t="s">
        <v>12</v>
      </c>
      <c r="E731" s="6" t="s">
        <v>19</v>
      </c>
      <c r="F731" s="6" t="s">
        <v>54</v>
      </c>
      <c r="G731" s="5">
        <v>3</v>
      </c>
      <c r="H731" s="8">
        <v>45177</v>
      </c>
      <c r="I731" s="6" t="s">
        <v>15</v>
      </c>
      <c r="J731" s="6" t="s">
        <v>27</v>
      </c>
    </row>
    <row r="732" spans="1:10" x14ac:dyDescent="0.3">
      <c r="A732" s="6" t="s">
        <v>776</v>
      </c>
      <c r="B732" s="6" t="s">
        <v>24</v>
      </c>
      <c r="C732" s="7">
        <v>47</v>
      </c>
      <c r="D732" s="5" t="s">
        <v>46</v>
      </c>
      <c r="E732" s="6" t="s">
        <v>19</v>
      </c>
      <c r="F732" s="6" t="s">
        <v>88</v>
      </c>
      <c r="G732" s="5">
        <v>52</v>
      </c>
      <c r="H732" s="8">
        <v>43719</v>
      </c>
      <c r="I732" s="6" t="s">
        <v>29</v>
      </c>
      <c r="J732" s="6" t="s">
        <v>65</v>
      </c>
    </row>
    <row r="733" spans="1:10" x14ac:dyDescent="0.3">
      <c r="A733" s="6" t="s">
        <v>777</v>
      </c>
      <c r="B733" s="6" t="s">
        <v>11</v>
      </c>
      <c r="C733" s="7">
        <v>29</v>
      </c>
      <c r="D733" s="5" t="s">
        <v>18</v>
      </c>
      <c r="E733" s="6" t="s">
        <v>13</v>
      </c>
      <c r="F733" s="6" t="s">
        <v>36</v>
      </c>
      <c r="G733" s="5">
        <v>57</v>
      </c>
      <c r="H733" s="8">
        <v>43558</v>
      </c>
      <c r="I733" s="6" t="s">
        <v>47</v>
      </c>
      <c r="J733" s="6" t="s">
        <v>27</v>
      </c>
    </row>
    <row r="734" spans="1:10" x14ac:dyDescent="0.3">
      <c r="A734" s="6" t="s">
        <v>778</v>
      </c>
      <c r="B734" s="6" t="s">
        <v>42</v>
      </c>
      <c r="C734" s="7">
        <v>32</v>
      </c>
      <c r="D734" s="5" t="s">
        <v>18</v>
      </c>
      <c r="E734" s="6" t="s">
        <v>13</v>
      </c>
      <c r="F734" s="6" t="s">
        <v>64</v>
      </c>
      <c r="G734" s="5">
        <v>34</v>
      </c>
      <c r="H734" s="8">
        <v>44252</v>
      </c>
      <c r="I734" s="6" t="s">
        <v>21</v>
      </c>
      <c r="J734" s="6" t="s">
        <v>16</v>
      </c>
    </row>
    <row r="735" spans="1:10" x14ac:dyDescent="0.3">
      <c r="A735" s="6" t="s">
        <v>779</v>
      </c>
      <c r="B735" s="6" t="s">
        <v>31</v>
      </c>
      <c r="C735" s="7">
        <v>21</v>
      </c>
      <c r="D735" s="5" t="s">
        <v>32</v>
      </c>
      <c r="E735" s="6" t="s">
        <v>19</v>
      </c>
      <c r="F735" s="6" t="s">
        <v>33</v>
      </c>
      <c r="G735" s="5">
        <v>46</v>
      </c>
      <c r="H735" s="8">
        <v>43886</v>
      </c>
      <c r="I735" s="6" t="s">
        <v>29</v>
      </c>
      <c r="J735" s="6" t="s">
        <v>22</v>
      </c>
    </row>
    <row r="736" spans="1:10" x14ac:dyDescent="0.3">
      <c r="A736" s="6" t="s">
        <v>780</v>
      </c>
      <c r="B736" s="6" t="s">
        <v>11</v>
      </c>
      <c r="C736" s="7">
        <v>38</v>
      </c>
      <c r="D736" s="5" t="s">
        <v>12</v>
      </c>
      <c r="E736" s="6" t="s">
        <v>19</v>
      </c>
      <c r="F736" s="6" t="s">
        <v>25</v>
      </c>
      <c r="G736" s="5">
        <v>17</v>
      </c>
      <c r="H736" s="8">
        <v>44759</v>
      </c>
      <c r="I736" s="6" t="s">
        <v>39</v>
      </c>
      <c r="J736" s="6" t="s">
        <v>27</v>
      </c>
    </row>
    <row r="737" spans="1:10" x14ac:dyDescent="0.3">
      <c r="A737" s="6" t="s">
        <v>781</v>
      </c>
      <c r="B737" s="6" t="s">
        <v>42</v>
      </c>
      <c r="C737" s="7">
        <v>31</v>
      </c>
      <c r="D737" s="5" t="s">
        <v>18</v>
      </c>
      <c r="E737" s="6" t="s">
        <v>19</v>
      </c>
      <c r="F737" s="6" t="s">
        <v>20</v>
      </c>
      <c r="G737" s="5">
        <v>1</v>
      </c>
      <c r="H737" s="8">
        <v>45256</v>
      </c>
      <c r="I737" s="6" t="s">
        <v>49</v>
      </c>
      <c r="J737" s="6" t="s">
        <v>16</v>
      </c>
    </row>
    <row r="738" spans="1:10" x14ac:dyDescent="0.3">
      <c r="A738" s="6" t="s">
        <v>782</v>
      </c>
      <c r="B738" s="6" t="s">
        <v>11</v>
      </c>
      <c r="C738" s="7">
        <v>23</v>
      </c>
      <c r="D738" s="5" t="s">
        <v>32</v>
      </c>
      <c r="E738" s="6" t="s">
        <v>19</v>
      </c>
      <c r="F738" s="6" t="s">
        <v>14</v>
      </c>
      <c r="G738" s="5">
        <v>58</v>
      </c>
      <c r="H738" s="8">
        <v>43541</v>
      </c>
      <c r="I738" s="6" t="s">
        <v>15</v>
      </c>
      <c r="J738" s="6" t="s">
        <v>22</v>
      </c>
    </row>
    <row r="739" spans="1:10" x14ac:dyDescent="0.3">
      <c r="A739" s="6" t="s">
        <v>783</v>
      </c>
      <c r="B739" s="6" t="s">
        <v>42</v>
      </c>
      <c r="C739" s="7">
        <v>35</v>
      </c>
      <c r="D739" s="5" t="s">
        <v>12</v>
      </c>
      <c r="E739" s="6" t="s">
        <v>13</v>
      </c>
      <c r="F739" s="6" t="s">
        <v>36</v>
      </c>
      <c r="G739" s="5">
        <v>23</v>
      </c>
      <c r="H739" s="8">
        <v>44596</v>
      </c>
      <c r="I739" s="6" t="s">
        <v>15</v>
      </c>
      <c r="J739" s="6" t="s">
        <v>22</v>
      </c>
    </row>
    <row r="740" spans="1:10" x14ac:dyDescent="0.3">
      <c r="A740" s="6" t="s">
        <v>784</v>
      </c>
      <c r="B740" s="6" t="s">
        <v>24</v>
      </c>
      <c r="C740" s="7">
        <v>37</v>
      </c>
      <c r="D740" s="5" t="s">
        <v>12</v>
      </c>
      <c r="E740" s="6" t="s">
        <v>13</v>
      </c>
      <c r="F740" s="6" t="s">
        <v>20</v>
      </c>
      <c r="G740" s="5">
        <v>2</v>
      </c>
      <c r="H740" s="8">
        <v>45203</v>
      </c>
      <c r="I740" s="6" t="s">
        <v>21</v>
      </c>
      <c r="J740" s="6" t="s">
        <v>16</v>
      </c>
    </row>
    <row r="741" spans="1:10" x14ac:dyDescent="0.3">
      <c r="A741" s="6" t="s">
        <v>785</v>
      </c>
      <c r="B741" s="6" t="s">
        <v>31</v>
      </c>
      <c r="C741" s="7">
        <v>26</v>
      </c>
      <c r="D741" s="5" t="s">
        <v>18</v>
      </c>
      <c r="E741" s="6" t="s">
        <v>13</v>
      </c>
      <c r="F741" s="6" t="s">
        <v>36</v>
      </c>
      <c r="G741" s="5">
        <v>50</v>
      </c>
      <c r="H741" s="8">
        <v>43771</v>
      </c>
      <c r="I741" s="6" t="s">
        <v>15</v>
      </c>
      <c r="J741" s="6" t="s">
        <v>27</v>
      </c>
    </row>
    <row r="742" spans="1:10" x14ac:dyDescent="0.3">
      <c r="A742" s="6" t="s">
        <v>786</v>
      </c>
      <c r="B742" s="6" t="s">
        <v>11</v>
      </c>
      <c r="C742" s="7">
        <v>44</v>
      </c>
      <c r="D742" s="5" t="s">
        <v>12</v>
      </c>
      <c r="E742" s="6" t="s">
        <v>13</v>
      </c>
      <c r="F742" s="6" t="s">
        <v>33</v>
      </c>
      <c r="G742" s="5">
        <v>2</v>
      </c>
      <c r="H742" s="8">
        <v>45222</v>
      </c>
      <c r="I742" s="6" t="s">
        <v>47</v>
      </c>
      <c r="J742" s="6" t="s">
        <v>22</v>
      </c>
    </row>
    <row r="743" spans="1:10" x14ac:dyDescent="0.3">
      <c r="A743" s="6" t="s">
        <v>787</v>
      </c>
      <c r="B743" s="6" t="s">
        <v>31</v>
      </c>
      <c r="C743" s="7">
        <v>25</v>
      </c>
      <c r="D743" s="5" t="s">
        <v>18</v>
      </c>
      <c r="E743" s="6" t="s">
        <v>19</v>
      </c>
      <c r="F743" s="6" t="s">
        <v>20</v>
      </c>
      <c r="G743" s="5">
        <v>20</v>
      </c>
      <c r="H743" s="8">
        <v>44668</v>
      </c>
      <c r="I743" s="6" t="s">
        <v>39</v>
      </c>
      <c r="J743" s="6" t="s">
        <v>65</v>
      </c>
    </row>
    <row r="744" spans="1:10" x14ac:dyDescent="0.3">
      <c r="A744" s="6" t="s">
        <v>788</v>
      </c>
      <c r="B744" s="6" t="s">
        <v>42</v>
      </c>
      <c r="C744" s="7">
        <v>32</v>
      </c>
      <c r="D744" s="5" t="s">
        <v>18</v>
      </c>
      <c r="E744" s="6" t="s">
        <v>13</v>
      </c>
      <c r="F744" s="6" t="s">
        <v>14</v>
      </c>
      <c r="G744" s="5">
        <v>21</v>
      </c>
      <c r="H744" s="8">
        <v>44645</v>
      </c>
      <c r="I744" s="6" t="s">
        <v>47</v>
      </c>
      <c r="J744" s="6" t="s">
        <v>16</v>
      </c>
    </row>
    <row r="745" spans="1:10" x14ac:dyDescent="0.3">
      <c r="A745" s="6" t="s">
        <v>789</v>
      </c>
      <c r="B745" s="6" t="s">
        <v>31</v>
      </c>
      <c r="C745" s="7">
        <v>18</v>
      </c>
      <c r="D745" s="5" t="s">
        <v>32</v>
      </c>
      <c r="E745" s="6" t="s">
        <v>13</v>
      </c>
      <c r="F745" s="6" t="s">
        <v>64</v>
      </c>
      <c r="G745" s="5">
        <v>2</v>
      </c>
      <c r="H745" s="8">
        <v>45221</v>
      </c>
      <c r="I745" s="6" t="s">
        <v>47</v>
      </c>
      <c r="J745" s="6" t="s">
        <v>22</v>
      </c>
    </row>
    <row r="746" spans="1:10" x14ac:dyDescent="0.3">
      <c r="A746" s="6" t="s">
        <v>790</v>
      </c>
      <c r="B746" s="6" t="s">
        <v>11</v>
      </c>
      <c r="C746" s="7">
        <v>45</v>
      </c>
      <c r="D746" s="5" t="s">
        <v>46</v>
      </c>
      <c r="E746" s="6" t="s">
        <v>13</v>
      </c>
      <c r="F746" s="6" t="s">
        <v>36</v>
      </c>
      <c r="G746" s="5">
        <v>14</v>
      </c>
      <c r="H746" s="8">
        <v>44847</v>
      </c>
      <c r="I746" s="6" t="s">
        <v>29</v>
      </c>
      <c r="J746" s="6" t="s">
        <v>16</v>
      </c>
    </row>
    <row r="747" spans="1:10" x14ac:dyDescent="0.3">
      <c r="A747" s="6" t="s">
        <v>791</v>
      </c>
      <c r="B747" s="6" t="s">
        <v>24</v>
      </c>
      <c r="C747" s="7">
        <v>33</v>
      </c>
      <c r="D747" s="5" t="s">
        <v>18</v>
      </c>
      <c r="E747" s="6" t="s">
        <v>13</v>
      </c>
      <c r="F747" s="6" t="s">
        <v>36</v>
      </c>
      <c r="G747" s="5">
        <v>50</v>
      </c>
      <c r="H747" s="8">
        <v>43772</v>
      </c>
      <c r="I747" s="6" t="s">
        <v>49</v>
      </c>
      <c r="J747" s="6" t="s">
        <v>65</v>
      </c>
    </row>
    <row r="748" spans="1:10" x14ac:dyDescent="0.3">
      <c r="A748" s="6" t="s">
        <v>792</v>
      </c>
      <c r="B748" s="6" t="s">
        <v>24</v>
      </c>
      <c r="C748" s="7">
        <v>44</v>
      </c>
      <c r="D748" s="5" t="s">
        <v>12</v>
      </c>
      <c r="E748" s="6" t="s">
        <v>13</v>
      </c>
      <c r="F748" s="6" t="s">
        <v>38</v>
      </c>
      <c r="G748" s="5">
        <v>7</v>
      </c>
      <c r="H748" s="8">
        <v>45067</v>
      </c>
      <c r="I748" s="6" t="s">
        <v>62</v>
      </c>
      <c r="J748" s="6" t="s">
        <v>16</v>
      </c>
    </row>
    <row r="749" spans="1:10" x14ac:dyDescent="0.3">
      <c r="A749" s="6" t="s">
        <v>793</v>
      </c>
      <c r="B749" s="6" t="s">
        <v>31</v>
      </c>
      <c r="C749" s="7">
        <v>28</v>
      </c>
      <c r="D749" s="5" t="s">
        <v>18</v>
      </c>
      <c r="E749" s="6" t="s">
        <v>13</v>
      </c>
      <c r="F749" s="6" t="s">
        <v>64</v>
      </c>
      <c r="G749" s="5">
        <v>22</v>
      </c>
      <c r="H749" s="8">
        <v>44625</v>
      </c>
      <c r="I749" s="6" t="s">
        <v>34</v>
      </c>
      <c r="J749" s="6" t="s">
        <v>22</v>
      </c>
    </row>
    <row r="750" spans="1:10" x14ac:dyDescent="0.3">
      <c r="A750" s="6" t="s">
        <v>794</v>
      </c>
      <c r="B750" s="6" t="s">
        <v>24</v>
      </c>
      <c r="C750" s="7">
        <v>39</v>
      </c>
      <c r="D750" s="5" t="s">
        <v>12</v>
      </c>
      <c r="E750" s="6" t="s">
        <v>19</v>
      </c>
      <c r="F750" s="6" t="s">
        <v>56</v>
      </c>
      <c r="G750" s="5">
        <v>32</v>
      </c>
      <c r="H750" s="8">
        <v>44318</v>
      </c>
      <c r="I750" s="6" t="s">
        <v>26</v>
      </c>
      <c r="J750" s="6" t="s">
        <v>27</v>
      </c>
    </row>
    <row r="751" spans="1:10" x14ac:dyDescent="0.3">
      <c r="A751" s="6" t="s">
        <v>795</v>
      </c>
      <c r="B751" s="6" t="s">
        <v>31</v>
      </c>
      <c r="C751" s="7">
        <v>39</v>
      </c>
      <c r="D751" s="5" t="s">
        <v>12</v>
      </c>
      <c r="E751" s="6" t="s">
        <v>13</v>
      </c>
      <c r="F751" s="6" t="s">
        <v>38</v>
      </c>
      <c r="G751" s="5">
        <v>3</v>
      </c>
      <c r="H751" s="8">
        <v>45183</v>
      </c>
      <c r="I751" s="6" t="s">
        <v>49</v>
      </c>
      <c r="J751" s="6" t="s">
        <v>27</v>
      </c>
    </row>
    <row r="752" spans="1:10" x14ac:dyDescent="0.3">
      <c r="A752" s="6" t="s">
        <v>796</v>
      </c>
      <c r="B752" s="6" t="s">
        <v>61</v>
      </c>
      <c r="C752" s="7">
        <v>33</v>
      </c>
      <c r="D752" s="5" t="s">
        <v>18</v>
      </c>
      <c r="E752" s="6" t="s">
        <v>19</v>
      </c>
      <c r="F752" s="6" t="s">
        <v>33</v>
      </c>
      <c r="G752" s="5">
        <v>23</v>
      </c>
      <c r="H752" s="8">
        <v>44602</v>
      </c>
      <c r="I752" s="6" t="s">
        <v>34</v>
      </c>
      <c r="J752" s="6" t="s">
        <v>27</v>
      </c>
    </row>
    <row r="753" spans="1:10" x14ac:dyDescent="0.3">
      <c r="A753" s="6" t="s">
        <v>797</v>
      </c>
      <c r="B753" s="6" t="s">
        <v>61</v>
      </c>
      <c r="C753" s="7">
        <v>18</v>
      </c>
      <c r="D753" s="5" t="s">
        <v>32</v>
      </c>
      <c r="E753" s="6" t="s">
        <v>19</v>
      </c>
      <c r="F753" s="6" t="s">
        <v>54</v>
      </c>
      <c r="G753" s="5">
        <v>12</v>
      </c>
      <c r="H753" s="8">
        <v>44926</v>
      </c>
      <c r="I753" s="6" t="s">
        <v>62</v>
      </c>
      <c r="J753" s="6" t="s">
        <v>22</v>
      </c>
    </row>
    <row r="754" spans="1:10" x14ac:dyDescent="0.3">
      <c r="A754" s="6" t="s">
        <v>798</v>
      </c>
      <c r="B754" s="6" t="s">
        <v>11</v>
      </c>
      <c r="C754" s="7">
        <v>18</v>
      </c>
      <c r="D754" s="5" t="s">
        <v>32</v>
      </c>
      <c r="E754" s="6" t="s">
        <v>13</v>
      </c>
      <c r="F754" s="6" t="s">
        <v>25</v>
      </c>
      <c r="G754" s="5">
        <v>43</v>
      </c>
      <c r="H754" s="8">
        <v>43983</v>
      </c>
      <c r="I754" s="6" t="s">
        <v>26</v>
      </c>
      <c r="J754" s="6" t="s">
        <v>27</v>
      </c>
    </row>
    <row r="755" spans="1:10" x14ac:dyDescent="0.3">
      <c r="A755" s="6" t="s">
        <v>799</v>
      </c>
      <c r="B755" s="6" t="s">
        <v>11</v>
      </c>
      <c r="C755" s="7">
        <v>32</v>
      </c>
      <c r="D755" s="5" t="s">
        <v>18</v>
      </c>
      <c r="E755" s="6" t="s">
        <v>13</v>
      </c>
      <c r="F755" s="6" t="s">
        <v>88</v>
      </c>
      <c r="G755" s="5">
        <v>53</v>
      </c>
      <c r="H755" s="8">
        <v>43692</v>
      </c>
      <c r="I755" s="6" t="s">
        <v>49</v>
      </c>
      <c r="J755" s="6" t="s">
        <v>65</v>
      </c>
    </row>
    <row r="756" spans="1:10" x14ac:dyDescent="0.3">
      <c r="A756" s="6" t="s">
        <v>800</v>
      </c>
      <c r="B756" s="6" t="s">
        <v>11</v>
      </c>
      <c r="C756" s="7">
        <v>21</v>
      </c>
      <c r="D756" s="5" t="s">
        <v>32</v>
      </c>
      <c r="E756" s="6" t="s">
        <v>19</v>
      </c>
      <c r="F756" s="6" t="s">
        <v>56</v>
      </c>
      <c r="G756" s="5">
        <v>40</v>
      </c>
      <c r="H756" s="8">
        <v>44084</v>
      </c>
      <c r="I756" s="6" t="s">
        <v>21</v>
      </c>
      <c r="J756" s="6" t="s">
        <v>65</v>
      </c>
    </row>
    <row r="757" spans="1:10" x14ac:dyDescent="0.3">
      <c r="A757" s="6" t="s">
        <v>801</v>
      </c>
      <c r="B757" s="6" t="s">
        <v>31</v>
      </c>
      <c r="C757" s="7">
        <v>37</v>
      </c>
      <c r="D757" s="5" t="s">
        <v>12</v>
      </c>
      <c r="E757" s="6" t="s">
        <v>13</v>
      </c>
      <c r="F757" s="6" t="s">
        <v>25</v>
      </c>
      <c r="G757" s="5">
        <v>23</v>
      </c>
      <c r="H757" s="8">
        <v>44600</v>
      </c>
      <c r="I757" s="6" t="s">
        <v>29</v>
      </c>
      <c r="J757" s="6" t="s">
        <v>22</v>
      </c>
    </row>
    <row r="758" spans="1:10" x14ac:dyDescent="0.3">
      <c r="A758" s="6" t="s">
        <v>802</v>
      </c>
      <c r="B758" s="6" t="s">
        <v>42</v>
      </c>
      <c r="C758" s="7">
        <v>37</v>
      </c>
      <c r="D758" s="5" t="s">
        <v>12</v>
      </c>
      <c r="E758" s="6" t="s">
        <v>19</v>
      </c>
      <c r="F758" s="6" t="s">
        <v>56</v>
      </c>
      <c r="G758" s="5">
        <v>22</v>
      </c>
      <c r="H758" s="8">
        <v>44624</v>
      </c>
      <c r="I758" s="6" t="s">
        <v>62</v>
      </c>
      <c r="J758" s="6" t="s">
        <v>27</v>
      </c>
    </row>
    <row r="759" spans="1:10" x14ac:dyDescent="0.3">
      <c r="A759" s="6" t="s">
        <v>803</v>
      </c>
      <c r="B759" s="6" t="s">
        <v>24</v>
      </c>
      <c r="C759" s="7">
        <v>27</v>
      </c>
      <c r="D759" s="5" t="s">
        <v>18</v>
      </c>
      <c r="E759" s="6" t="s">
        <v>19</v>
      </c>
      <c r="F759" s="6" t="s">
        <v>38</v>
      </c>
      <c r="G759" s="5">
        <v>39</v>
      </c>
      <c r="H759" s="8">
        <v>44120</v>
      </c>
      <c r="I759" s="6" t="s">
        <v>49</v>
      </c>
      <c r="J759" s="6" t="s">
        <v>22</v>
      </c>
    </row>
    <row r="760" spans="1:10" x14ac:dyDescent="0.3">
      <c r="A760" s="6" t="s">
        <v>804</v>
      </c>
      <c r="B760" s="6" t="s">
        <v>61</v>
      </c>
      <c r="C760" s="7">
        <v>43</v>
      </c>
      <c r="D760" s="5" t="s">
        <v>12</v>
      </c>
      <c r="E760" s="6" t="s">
        <v>13</v>
      </c>
      <c r="F760" s="6" t="s">
        <v>54</v>
      </c>
      <c r="G760" s="5">
        <v>52</v>
      </c>
      <c r="H760" s="8">
        <v>43731</v>
      </c>
      <c r="I760" s="6" t="s">
        <v>47</v>
      </c>
      <c r="J760" s="6" t="s">
        <v>16</v>
      </c>
    </row>
    <row r="761" spans="1:10" x14ac:dyDescent="0.3">
      <c r="A761" s="6" t="s">
        <v>805</v>
      </c>
      <c r="B761" s="6" t="s">
        <v>11</v>
      </c>
      <c r="C761" s="7">
        <v>38</v>
      </c>
      <c r="D761" s="5" t="s">
        <v>12</v>
      </c>
      <c r="E761" s="6" t="s">
        <v>19</v>
      </c>
      <c r="F761" s="6" t="s">
        <v>64</v>
      </c>
      <c r="G761" s="5">
        <v>3</v>
      </c>
      <c r="H761" s="8">
        <v>45173</v>
      </c>
      <c r="I761" s="6" t="s">
        <v>21</v>
      </c>
      <c r="J761" s="6" t="s">
        <v>16</v>
      </c>
    </row>
    <row r="762" spans="1:10" x14ac:dyDescent="0.3">
      <c r="A762" s="6" t="s">
        <v>806</v>
      </c>
      <c r="B762" s="6" t="s">
        <v>42</v>
      </c>
      <c r="C762" s="7">
        <v>45</v>
      </c>
      <c r="D762" s="5" t="s">
        <v>46</v>
      </c>
      <c r="E762" s="6" t="s">
        <v>19</v>
      </c>
      <c r="F762" s="6" t="s">
        <v>38</v>
      </c>
      <c r="G762" s="5">
        <v>3</v>
      </c>
      <c r="H762" s="8">
        <v>45184</v>
      </c>
      <c r="I762" s="6" t="s">
        <v>34</v>
      </c>
      <c r="J762" s="6" t="s">
        <v>16</v>
      </c>
    </row>
    <row r="763" spans="1:10" x14ac:dyDescent="0.3">
      <c r="A763" s="6" t="s">
        <v>807</v>
      </c>
      <c r="B763" s="6" t="s">
        <v>11</v>
      </c>
      <c r="C763" s="7">
        <v>36</v>
      </c>
      <c r="D763" s="5" t="s">
        <v>12</v>
      </c>
      <c r="E763" s="6" t="s">
        <v>13</v>
      </c>
      <c r="F763" s="6" t="s">
        <v>33</v>
      </c>
      <c r="G763" s="5">
        <v>19</v>
      </c>
      <c r="H763" s="8">
        <v>44694</v>
      </c>
      <c r="I763" s="6" t="s">
        <v>15</v>
      </c>
      <c r="J763" s="6" t="s">
        <v>22</v>
      </c>
    </row>
    <row r="764" spans="1:10" x14ac:dyDescent="0.3">
      <c r="A764" s="6" t="s">
        <v>808</v>
      </c>
      <c r="B764" s="6" t="s">
        <v>24</v>
      </c>
      <c r="C764" s="7">
        <v>35</v>
      </c>
      <c r="D764" s="5" t="s">
        <v>12</v>
      </c>
      <c r="E764" s="6" t="s">
        <v>19</v>
      </c>
      <c r="F764" s="6" t="s">
        <v>64</v>
      </c>
      <c r="G764" s="5">
        <v>29</v>
      </c>
      <c r="H764" s="8">
        <v>44410</v>
      </c>
      <c r="I764" s="6" t="s">
        <v>47</v>
      </c>
      <c r="J764" s="6" t="s">
        <v>16</v>
      </c>
    </row>
    <row r="765" spans="1:10" x14ac:dyDescent="0.3">
      <c r="A765" s="6" t="s">
        <v>809</v>
      </c>
      <c r="B765" s="6" t="s">
        <v>11</v>
      </c>
      <c r="C765" s="7">
        <v>18</v>
      </c>
      <c r="D765" s="5" t="s">
        <v>32</v>
      </c>
      <c r="E765" s="6" t="s">
        <v>19</v>
      </c>
      <c r="F765" s="6" t="s">
        <v>25</v>
      </c>
      <c r="G765" s="5">
        <v>22</v>
      </c>
      <c r="H765" s="8">
        <v>44625</v>
      </c>
      <c r="I765" s="6" t="s">
        <v>21</v>
      </c>
      <c r="J765" s="6" t="s">
        <v>27</v>
      </c>
    </row>
    <row r="766" spans="1:10" x14ac:dyDescent="0.3">
      <c r="A766" s="6" t="s">
        <v>810</v>
      </c>
      <c r="B766" s="6" t="s">
        <v>31</v>
      </c>
      <c r="C766" s="7">
        <v>30</v>
      </c>
      <c r="D766" s="5" t="s">
        <v>18</v>
      </c>
      <c r="E766" s="6" t="s">
        <v>19</v>
      </c>
      <c r="F766" s="6" t="s">
        <v>25</v>
      </c>
      <c r="G766" s="5">
        <v>53</v>
      </c>
      <c r="H766" s="8">
        <v>43692</v>
      </c>
      <c r="I766" s="6" t="s">
        <v>39</v>
      </c>
      <c r="J766" s="6" t="s">
        <v>22</v>
      </c>
    </row>
    <row r="767" spans="1:10" x14ac:dyDescent="0.3">
      <c r="A767" s="6" t="s">
        <v>811</v>
      </c>
      <c r="B767" s="6" t="s">
        <v>24</v>
      </c>
      <c r="C767" s="7">
        <v>20</v>
      </c>
      <c r="D767" s="5" t="s">
        <v>32</v>
      </c>
      <c r="E767" s="6" t="s">
        <v>13</v>
      </c>
      <c r="F767" s="6" t="s">
        <v>14</v>
      </c>
      <c r="G767" s="5">
        <v>10</v>
      </c>
      <c r="H767" s="8">
        <v>44975</v>
      </c>
      <c r="I767" s="6" t="s">
        <v>34</v>
      </c>
      <c r="J767" s="6" t="s">
        <v>27</v>
      </c>
    </row>
    <row r="768" spans="1:10" x14ac:dyDescent="0.3">
      <c r="A768" s="6" t="s">
        <v>812</v>
      </c>
      <c r="B768" s="6" t="s">
        <v>24</v>
      </c>
      <c r="C768" s="7">
        <v>35</v>
      </c>
      <c r="D768" s="5" t="s">
        <v>12</v>
      </c>
      <c r="E768" s="6" t="s">
        <v>19</v>
      </c>
      <c r="F768" s="6" t="s">
        <v>36</v>
      </c>
      <c r="G768" s="5">
        <v>57</v>
      </c>
      <c r="H768" s="8">
        <v>43564</v>
      </c>
      <c r="I768" s="6" t="s">
        <v>39</v>
      </c>
      <c r="J768" s="6" t="s">
        <v>16</v>
      </c>
    </row>
    <row r="769" spans="1:10" x14ac:dyDescent="0.3">
      <c r="A769" s="6" t="s">
        <v>813</v>
      </c>
      <c r="B769" s="6" t="s">
        <v>24</v>
      </c>
      <c r="C769" s="7">
        <v>25</v>
      </c>
      <c r="D769" s="5" t="s">
        <v>18</v>
      </c>
      <c r="E769" s="6" t="s">
        <v>19</v>
      </c>
      <c r="F769" s="6" t="s">
        <v>33</v>
      </c>
      <c r="G769" s="5">
        <v>57</v>
      </c>
      <c r="H769" s="8">
        <v>43563</v>
      </c>
      <c r="I769" s="6" t="s">
        <v>21</v>
      </c>
      <c r="J769" s="6" t="s">
        <v>16</v>
      </c>
    </row>
    <row r="770" spans="1:10" x14ac:dyDescent="0.3">
      <c r="A770" s="6" t="s">
        <v>814</v>
      </c>
      <c r="B770" s="6" t="s">
        <v>11</v>
      </c>
      <c r="C770" s="7">
        <v>18</v>
      </c>
      <c r="D770" s="5" t="s">
        <v>32</v>
      </c>
      <c r="E770" s="6" t="s">
        <v>19</v>
      </c>
      <c r="F770" s="6" t="s">
        <v>25</v>
      </c>
      <c r="G770" s="5">
        <v>23</v>
      </c>
      <c r="H770" s="8">
        <v>44602</v>
      </c>
      <c r="I770" s="6" t="s">
        <v>29</v>
      </c>
      <c r="J770" s="6" t="s">
        <v>27</v>
      </c>
    </row>
    <row r="771" spans="1:10" x14ac:dyDescent="0.3">
      <c r="A771" s="6" t="s">
        <v>815</v>
      </c>
      <c r="B771" s="6" t="s">
        <v>42</v>
      </c>
      <c r="C771" s="7">
        <v>34</v>
      </c>
      <c r="D771" s="5" t="s">
        <v>18</v>
      </c>
      <c r="E771" s="6" t="s">
        <v>13</v>
      </c>
      <c r="F771" s="6" t="s">
        <v>88</v>
      </c>
      <c r="G771" s="5">
        <v>32</v>
      </c>
      <c r="H771" s="8">
        <v>44328</v>
      </c>
      <c r="I771" s="6" t="s">
        <v>49</v>
      </c>
      <c r="J771" s="6" t="s">
        <v>22</v>
      </c>
    </row>
    <row r="772" spans="1:10" x14ac:dyDescent="0.3">
      <c r="A772" s="6" t="s">
        <v>816</v>
      </c>
      <c r="B772" s="6" t="s">
        <v>42</v>
      </c>
      <c r="C772" s="7">
        <v>36</v>
      </c>
      <c r="D772" s="5" t="s">
        <v>12</v>
      </c>
      <c r="E772" s="6" t="s">
        <v>19</v>
      </c>
      <c r="F772" s="6" t="s">
        <v>33</v>
      </c>
      <c r="G772" s="5">
        <v>8</v>
      </c>
      <c r="H772" s="8">
        <v>45042</v>
      </c>
      <c r="I772" s="6" t="s">
        <v>49</v>
      </c>
      <c r="J772" s="6" t="s">
        <v>27</v>
      </c>
    </row>
    <row r="773" spans="1:10" x14ac:dyDescent="0.3">
      <c r="A773" s="6" t="s">
        <v>817</v>
      </c>
      <c r="B773" s="6" t="s">
        <v>31</v>
      </c>
      <c r="C773" s="7">
        <v>39</v>
      </c>
      <c r="D773" s="5" t="s">
        <v>12</v>
      </c>
      <c r="E773" s="6" t="s">
        <v>105</v>
      </c>
      <c r="F773" s="6" t="s">
        <v>54</v>
      </c>
      <c r="G773" s="5">
        <v>9</v>
      </c>
      <c r="H773" s="8">
        <v>44996</v>
      </c>
      <c r="I773" s="6" t="s">
        <v>34</v>
      </c>
      <c r="J773" s="6" t="s">
        <v>22</v>
      </c>
    </row>
    <row r="774" spans="1:10" x14ac:dyDescent="0.3">
      <c r="A774" s="6" t="s">
        <v>818</v>
      </c>
      <c r="B774" s="6" t="s">
        <v>24</v>
      </c>
      <c r="C774" s="7">
        <v>26</v>
      </c>
      <c r="D774" s="5" t="s">
        <v>18</v>
      </c>
      <c r="E774" s="6" t="s">
        <v>13</v>
      </c>
      <c r="F774" s="6" t="s">
        <v>20</v>
      </c>
      <c r="G774" s="5">
        <v>59</v>
      </c>
      <c r="H774" s="8">
        <v>43506</v>
      </c>
      <c r="I774" s="6" t="s">
        <v>15</v>
      </c>
      <c r="J774" s="6" t="s">
        <v>27</v>
      </c>
    </row>
    <row r="775" spans="1:10" x14ac:dyDescent="0.3">
      <c r="A775" s="6" t="s">
        <v>819</v>
      </c>
      <c r="B775" s="6" t="s">
        <v>11</v>
      </c>
      <c r="C775" s="7">
        <v>19</v>
      </c>
      <c r="D775" s="5" t="s">
        <v>32</v>
      </c>
      <c r="E775" s="6" t="s">
        <v>19</v>
      </c>
      <c r="F775" s="6" t="s">
        <v>64</v>
      </c>
      <c r="G775" s="5">
        <v>57</v>
      </c>
      <c r="H775" s="8">
        <v>43560</v>
      </c>
      <c r="I775" s="6" t="s">
        <v>26</v>
      </c>
      <c r="J775" s="6" t="s">
        <v>22</v>
      </c>
    </row>
    <row r="776" spans="1:10" x14ac:dyDescent="0.3">
      <c r="A776" s="6" t="s">
        <v>820</v>
      </c>
      <c r="B776" s="6" t="s">
        <v>24</v>
      </c>
      <c r="C776" s="7">
        <v>23</v>
      </c>
      <c r="D776" s="5" t="s">
        <v>32</v>
      </c>
      <c r="E776" s="6" t="s">
        <v>13</v>
      </c>
      <c r="F776" s="6" t="s">
        <v>38</v>
      </c>
      <c r="G776" s="5">
        <v>24</v>
      </c>
      <c r="H776" s="8">
        <v>44552</v>
      </c>
      <c r="I776" s="6" t="s">
        <v>26</v>
      </c>
      <c r="J776" s="6" t="s">
        <v>22</v>
      </c>
    </row>
    <row r="777" spans="1:10" x14ac:dyDescent="0.3">
      <c r="A777" s="6" t="s">
        <v>821</v>
      </c>
      <c r="B777" s="6" t="s">
        <v>42</v>
      </c>
      <c r="C777" s="7">
        <v>29</v>
      </c>
      <c r="D777" s="5" t="s">
        <v>18</v>
      </c>
      <c r="E777" s="6" t="s">
        <v>19</v>
      </c>
      <c r="F777" s="6" t="s">
        <v>20</v>
      </c>
      <c r="G777" s="5">
        <v>10</v>
      </c>
      <c r="H777" s="8">
        <v>44980</v>
      </c>
      <c r="I777" s="6" t="s">
        <v>26</v>
      </c>
      <c r="J777" s="6" t="s">
        <v>16</v>
      </c>
    </row>
    <row r="778" spans="1:10" x14ac:dyDescent="0.3">
      <c r="A778" s="6" t="s">
        <v>822</v>
      </c>
      <c r="B778" s="6" t="s">
        <v>31</v>
      </c>
      <c r="C778" s="7">
        <v>21</v>
      </c>
      <c r="D778" s="5" t="s">
        <v>32</v>
      </c>
      <c r="E778" s="6" t="s">
        <v>19</v>
      </c>
      <c r="F778" s="6" t="s">
        <v>54</v>
      </c>
      <c r="G778" s="5">
        <v>12</v>
      </c>
      <c r="H778" s="8">
        <v>44928</v>
      </c>
      <c r="I778" s="6" t="s">
        <v>49</v>
      </c>
      <c r="J778" s="6" t="s">
        <v>22</v>
      </c>
    </row>
    <row r="779" spans="1:10" x14ac:dyDescent="0.3">
      <c r="A779" s="6" t="s">
        <v>823</v>
      </c>
      <c r="B779" s="6" t="s">
        <v>11</v>
      </c>
      <c r="C779" s="7">
        <v>36</v>
      </c>
      <c r="D779" s="5" t="s">
        <v>12</v>
      </c>
      <c r="E779" s="6" t="s">
        <v>13</v>
      </c>
      <c r="F779" s="6" t="s">
        <v>36</v>
      </c>
      <c r="G779" s="5">
        <v>1</v>
      </c>
      <c r="H779" s="8">
        <v>45239</v>
      </c>
      <c r="I779" s="6" t="s">
        <v>26</v>
      </c>
      <c r="J779" s="6" t="s">
        <v>22</v>
      </c>
    </row>
    <row r="780" spans="1:10" x14ac:dyDescent="0.3">
      <c r="A780" s="6" t="s">
        <v>824</v>
      </c>
      <c r="B780" s="6" t="s">
        <v>24</v>
      </c>
      <c r="C780" s="7">
        <v>19</v>
      </c>
      <c r="D780" s="5" t="s">
        <v>32</v>
      </c>
      <c r="E780" s="6" t="s">
        <v>13</v>
      </c>
      <c r="F780" s="6" t="s">
        <v>56</v>
      </c>
      <c r="G780" s="5">
        <v>58</v>
      </c>
      <c r="H780" s="8">
        <v>43534</v>
      </c>
      <c r="I780" s="6" t="s">
        <v>62</v>
      </c>
      <c r="J780" s="6" t="s">
        <v>65</v>
      </c>
    </row>
    <row r="781" spans="1:10" x14ac:dyDescent="0.3">
      <c r="A781" s="6" t="s">
        <v>825</v>
      </c>
      <c r="B781" s="6" t="s">
        <v>11</v>
      </c>
      <c r="C781" s="7">
        <v>37</v>
      </c>
      <c r="D781" s="5" t="s">
        <v>12</v>
      </c>
      <c r="E781" s="6" t="s">
        <v>13</v>
      </c>
      <c r="F781" s="6" t="s">
        <v>88</v>
      </c>
      <c r="G781" s="5">
        <v>50</v>
      </c>
      <c r="H781" s="8">
        <v>43772</v>
      </c>
      <c r="I781" s="6" t="s">
        <v>26</v>
      </c>
      <c r="J781" s="6" t="s">
        <v>27</v>
      </c>
    </row>
    <row r="782" spans="1:10" x14ac:dyDescent="0.3">
      <c r="A782" s="6" t="s">
        <v>826</v>
      </c>
      <c r="B782" s="6" t="s">
        <v>42</v>
      </c>
      <c r="C782" s="7">
        <v>42</v>
      </c>
      <c r="D782" s="5" t="s">
        <v>12</v>
      </c>
      <c r="E782" s="6" t="s">
        <v>19</v>
      </c>
      <c r="F782" s="6" t="s">
        <v>54</v>
      </c>
      <c r="G782" s="5">
        <v>21</v>
      </c>
      <c r="H782" s="8">
        <v>44662</v>
      </c>
      <c r="I782" s="6" t="s">
        <v>34</v>
      </c>
      <c r="J782" s="6" t="s">
        <v>27</v>
      </c>
    </row>
    <row r="783" spans="1:10" x14ac:dyDescent="0.3">
      <c r="A783" s="6" t="s">
        <v>827</v>
      </c>
      <c r="B783" s="6" t="s">
        <v>11</v>
      </c>
      <c r="C783" s="7">
        <v>19</v>
      </c>
      <c r="D783" s="5" t="s">
        <v>32</v>
      </c>
      <c r="E783" s="6" t="s">
        <v>19</v>
      </c>
      <c r="F783" s="6" t="s">
        <v>64</v>
      </c>
      <c r="G783" s="5">
        <v>19</v>
      </c>
      <c r="H783" s="8">
        <v>44700</v>
      </c>
      <c r="I783" s="6" t="s">
        <v>34</v>
      </c>
      <c r="J783" s="6" t="s">
        <v>65</v>
      </c>
    </row>
    <row r="784" spans="1:10" x14ac:dyDescent="0.3">
      <c r="A784" s="6" t="s">
        <v>828</v>
      </c>
      <c r="B784" s="6" t="s">
        <v>11</v>
      </c>
      <c r="C784" s="7">
        <v>46</v>
      </c>
      <c r="D784" s="5" t="s">
        <v>46</v>
      </c>
      <c r="E784" s="6" t="s">
        <v>19</v>
      </c>
      <c r="F784" s="6" t="s">
        <v>38</v>
      </c>
      <c r="G784" s="5">
        <v>27</v>
      </c>
      <c r="H784" s="8">
        <v>44480</v>
      </c>
      <c r="I784" s="6" t="s">
        <v>62</v>
      </c>
      <c r="J784" s="6" t="s">
        <v>65</v>
      </c>
    </row>
    <row r="785" spans="1:10" x14ac:dyDescent="0.3">
      <c r="A785" s="6" t="s">
        <v>829</v>
      </c>
      <c r="B785" s="6" t="s">
        <v>61</v>
      </c>
      <c r="C785" s="7">
        <v>32</v>
      </c>
      <c r="D785" s="5" t="s">
        <v>18</v>
      </c>
      <c r="E785" s="6" t="s">
        <v>19</v>
      </c>
      <c r="F785" s="6" t="s">
        <v>88</v>
      </c>
      <c r="G785" s="5">
        <v>18</v>
      </c>
      <c r="H785" s="8">
        <v>44728</v>
      </c>
      <c r="I785" s="6" t="s">
        <v>21</v>
      </c>
      <c r="J785" s="6" t="s">
        <v>27</v>
      </c>
    </row>
    <row r="786" spans="1:10" x14ac:dyDescent="0.3">
      <c r="A786" s="6" t="s">
        <v>830</v>
      </c>
      <c r="B786" s="6" t="s">
        <v>42</v>
      </c>
      <c r="C786" s="7">
        <v>33</v>
      </c>
      <c r="D786" s="5" t="s">
        <v>18</v>
      </c>
      <c r="E786" s="6" t="s">
        <v>13</v>
      </c>
      <c r="F786" s="6" t="s">
        <v>25</v>
      </c>
      <c r="G786" s="5">
        <v>42</v>
      </c>
      <c r="H786" s="8">
        <v>44024</v>
      </c>
      <c r="I786" s="6" t="s">
        <v>49</v>
      </c>
      <c r="J786" s="6" t="s">
        <v>65</v>
      </c>
    </row>
    <row r="787" spans="1:10" x14ac:dyDescent="0.3">
      <c r="A787" s="6" t="s">
        <v>831</v>
      </c>
      <c r="B787" s="6" t="s">
        <v>11</v>
      </c>
      <c r="C787" s="7">
        <v>48</v>
      </c>
      <c r="D787" s="5" t="s">
        <v>46</v>
      </c>
      <c r="E787" s="6" t="s">
        <v>13</v>
      </c>
      <c r="F787" s="6" t="s">
        <v>20</v>
      </c>
      <c r="G787" s="5">
        <v>2</v>
      </c>
      <c r="H787" s="8">
        <v>45225</v>
      </c>
      <c r="I787" s="6" t="s">
        <v>34</v>
      </c>
      <c r="J787" s="6" t="s">
        <v>16</v>
      </c>
    </row>
    <row r="788" spans="1:10" x14ac:dyDescent="0.3">
      <c r="A788" s="6" t="s">
        <v>832</v>
      </c>
      <c r="B788" s="6" t="s">
        <v>31</v>
      </c>
      <c r="C788" s="7">
        <v>21</v>
      </c>
      <c r="D788" s="5" t="s">
        <v>32</v>
      </c>
      <c r="E788" s="6" t="s">
        <v>13</v>
      </c>
      <c r="F788" s="6" t="s">
        <v>56</v>
      </c>
      <c r="G788" s="5">
        <v>57</v>
      </c>
      <c r="H788" s="8">
        <v>43578</v>
      </c>
      <c r="I788" s="6" t="s">
        <v>26</v>
      </c>
      <c r="J788" s="6" t="s">
        <v>16</v>
      </c>
    </row>
    <row r="789" spans="1:10" x14ac:dyDescent="0.3">
      <c r="A789" s="6" t="s">
        <v>833</v>
      </c>
      <c r="B789" s="6" t="s">
        <v>11</v>
      </c>
      <c r="C789" s="7">
        <v>30</v>
      </c>
      <c r="D789" s="5" t="s">
        <v>18</v>
      </c>
      <c r="E789" s="6" t="s">
        <v>19</v>
      </c>
      <c r="F789" s="6" t="s">
        <v>56</v>
      </c>
      <c r="G789" s="5">
        <v>6</v>
      </c>
      <c r="H789" s="8">
        <v>45092</v>
      </c>
      <c r="I789" s="6" t="s">
        <v>15</v>
      </c>
      <c r="J789" s="6" t="s">
        <v>22</v>
      </c>
    </row>
    <row r="790" spans="1:10" x14ac:dyDescent="0.3">
      <c r="A790" s="6" t="s">
        <v>834</v>
      </c>
      <c r="B790" s="6" t="s">
        <v>24</v>
      </c>
      <c r="C790" s="7">
        <v>30</v>
      </c>
      <c r="D790" s="5" t="s">
        <v>18</v>
      </c>
      <c r="E790" s="6" t="s">
        <v>105</v>
      </c>
      <c r="F790" s="6" t="s">
        <v>25</v>
      </c>
      <c r="G790" s="5">
        <v>52</v>
      </c>
      <c r="H790" s="8">
        <v>43724</v>
      </c>
      <c r="I790" s="6" t="s">
        <v>21</v>
      </c>
      <c r="J790" s="6" t="s">
        <v>27</v>
      </c>
    </row>
    <row r="791" spans="1:10" x14ac:dyDescent="0.3">
      <c r="A791" s="6" t="s">
        <v>835</v>
      </c>
      <c r="B791" s="6" t="s">
        <v>11</v>
      </c>
      <c r="C791" s="7">
        <v>36</v>
      </c>
      <c r="D791" s="5" t="s">
        <v>12</v>
      </c>
      <c r="E791" s="6" t="s">
        <v>13</v>
      </c>
      <c r="F791" s="6" t="s">
        <v>54</v>
      </c>
      <c r="G791" s="5">
        <v>53</v>
      </c>
      <c r="H791" s="8">
        <v>43692</v>
      </c>
      <c r="I791" s="6" t="s">
        <v>49</v>
      </c>
      <c r="J791" s="6" t="s">
        <v>27</v>
      </c>
    </row>
    <row r="792" spans="1:10" x14ac:dyDescent="0.3">
      <c r="A792" s="6" t="s">
        <v>836</v>
      </c>
      <c r="B792" s="6" t="s">
        <v>11</v>
      </c>
      <c r="C792" s="7">
        <v>21</v>
      </c>
      <c r="D792" s="5" t="s">
        <v>32</v>
      </c>
      <c r="E792" s="6" t="s">
        <v>19</v>
      </c>
      <c r="F792" s="6" t="s">
        <v>33</v>
      </c>
      <c r="G792" s="5">
        <v>27</v>
      </c>
      <c r="H792" s="8">
        <v>44459</v>
      </c>
      <c r="I792" s="6" t="s">
        <v>15</v>
      </c>
      <c r="J792" s="6" t="s">
        <v>22</v>
      </c>
    </row>
    <row r="793" spans="1:10" x14ac:dyDescent="0.3">
      <c r="A793" s="6" t="s">
        <v>837</v>
      </c>
      <c r="B793" s="6" t="s">
        <v>42</v>
      </c>
      <c r="C793" s="7">
        <v>19</v>
      </c>
      <c r="D793" s="5" t="s">
        <v>32</v>
      </c>
      <c r="E793" s="6" t="s">
        <v>19</v>
      </c>
      <c r="F793" s="6" t="s">
        <v>38</v>
      </c>
      <c r="G793" s="5">
        <v>27</v>
      </c>
      <c r="H793" s="8">
        <v>44477</v>
      </c>
      <c r="I793" s="6" t="s">
        <v>49</v>
      </c>
      <c r="J793" s="6" t="s">
        <v>65</v>
      </c>
    </row>
    <row r="794" spans="1:10" x14ac:dyDescent="0.3">
      <c r="A794" s="6" t="s">
        <v>838</v>
      </c>
      <c r="B794" s="6" t="s">
        <v>24</v>
      </c>
      <c r="C794" s="7">
        <v>37</v>
      </c>
      <c r="D794" s="5" t="s">
        <v>12</v>
      </c>
      <c r="E794" s="6" t="s">
        <v>13</v>
      </c>
      <c r="F794" s="6" t="s">
        <v>88</v>
      </c>
      <c r="G794" s="5">
        <v>43</v>
      </c>
      <c r="H794" s="8">
        <v>43981</v>
      </c>
      <c r="I794" s="6" t="s">
        <v>26</v>
      </c>
      <c r="J794" s="6" t="s">
        <v>22</v>
      </c>
    </row>
    <row r="795" spans="1:10" x14ac:dyDescent="0.3">
      <c r="A795" s="6" t="s">
        <v>839</v>
      </c>
      <c r="B795" s="6" t="s">
        <v>24</v>
      </c>
      <c r="C795" s="7">
        <v>20</v>
      </c>
      <c r="D795" s="5" t="s">
        <v>32</v>
      </c>
      <c r="E795" s="6" t="s">
        <v>19</v>
      </c>
      <c r="F795" s="6" t="s">
        <v>54</v>
      </c>
      <c r="G795" s="5">
        <v>33</v>
      </c>
      <c r="H795" s="8">
        <v>44295</v>
      </c>
      <c r="I795" s="6" t="s">
        <v>15</v>
      </c>
      <c r="J795" s="6" t="s">
        <v>27</v>
      </c>
    </row>
    <row r="796" spans="1:10" x14ac:dyDescent="0.3">
      <c r="A796" s="6" t="s">
        <v>840</v>
      </c>
      <c r="B796" s="6" t="s">
        <v>24</v>
      </c>
      <c r="C796" s="7">
        <v>30</v>
      </c>
      <c r="D796" s="5" t="s">
        <v>18</v>
      </c>
      <c r="E796" s="6" t="s">
        <v>19</v>
      </c>
      <c r="F796" s="6" t="s">
        <v>88</v>
      </c>
      <c r="G796" s="5">
        <v>58</v>
      </c>
      <c r="H796" s="8">
        <v>43547</v>
      </c>
      <c r="I796" s="6" t="s">
        <v>34</v>
      </c>
      <c r="J796" s="6" t="s">
        <v>22</v>
      </c>
    </row>
    <row r="797" spans="1:10" x14ac:dyDescent="0.3">
      <c r="A797" s="6" t="s">
        <v>841</v>
      </c>
      <c r="B797" s="6" t="s">
        <v>31</v>
      </c>
      <c r="C797" s="7">
        <v>40</v>
      </c>
      <c r="D797" s="5" t="s">
        <v>12</v>
      </c>
      <c r="E797" s="6" t="s">
        <v>13</v>
      </c>
      <c r="F797" s="6" t="s">
        <v>14</v>
      </c>
      <c r="G797" s="5">
        <v>49</v>
      </c>
      <c r="H797" s="8">
        <v>43796</v>
      </c>
      <c r="I797" s="6" t="s">
        <v>62</v>
      </c>
      <c r="J797" s="6" t="s">
        <v>16</v>
      </c>
    </row>
    <row r="798" spans="1:10" x14ac:dyDescent="0.3">
      <c r="A798" s="6" t="s">
        <v>842</v>
      </c>
      <c r="B798" s="6" t="s">
        <v>42</v>
      </c>
      <c r="C798" s="7">
        <v>26</v>
      </c>
      <c r="D798" s="5" t="s">
        <v>18</v>
      </c>
      <c r="E798" s="6" t="s">
        <v>13</v>
      </c>
      <c r="F798" s="6" t="s">
        <v>33</v>
      </c>
      <c r="G798" s="5">
        <v>43</v>
      </c>
      <c r="H798" s="8">
        <v>43974</v>
      </c>
      <c r="I798" s="6" t="s">
        <v>26</v>
      </c>
      <c r="J798" s="6" t="s">
        <v>27</v>
      </c>
    </row>
    <row r="799" spans="1:10" x14ac:dyDescent="0.3">
      <c r="A799" s="6" t="s">
        <v>843</v>
      </c>
      <c r="B799" s="6" t="s">
        <v>31</v>
      </c>
      <c r="C799" s="7">
        <v>31</v>
      </c>
      <c r="D799" s="5" t="s">
        <v>18</v>
      </c>
      <c r="E799" s="6" t="s">
        <v>13</v>
      </c>
      <c r="F799" s="6" t="s">
        <v>36</v>
      </c>
      <c r="G799" s="5">
        <v>15</v>
      </c>
      <c r="H799" s="8">
        <v>44832</v>
      </c>
      <c r="I799" s="6" t="s">
        <v>21</v>
      </c>
      <c r="J799" s="6" t="s">
        <v>16</v>
      </c>
    </row>
    <row r="800" spans="1:10" x14ac:dyDescent="0.3">
      <c r="A800" s="6" t="s">
        <v>844</v>
      </c>
      <c r="B800" s="6" t="s">
        <v>31</v>
      </c>
      <c r="C800" s="7">
        <v>38</v>
      </c>
      <c r="D800" s="5" t="s">
        <v>12</v>
      </c>
      <c r="E800" s="6" t="s">
        <v>13</v>
      </c>
      <c r="F800" s="6" t="s">
        <v>25</v>
      </c>
      <c r="G800" s="5">
        <v>52</v>
      </c>
      <c r="H800" s="8">
        <v>43703</v>
      </c>
      <c r="I800" s="6" t="s">
        <v>39</v>
      </c>
      <c r="J800" s="6" t="s">
        <v>16</v>
      </c>
    </row>
    <row r="801" spans="1:10" x14ac:dyDescent="0.3">
      <c r="A801" s="6" t="s">
        <v>845</v>
      </c>
      <c r="B801" s="6" t="s">
        <v>11</v>
      </c>
      <c r="C801" s="7">
        <v>45</v>
      </c>
      <c r="D801" s="5" t="s">
        <v>46</v>
      </c>
      <c r="E801" s="6" t="s">
        <v>13</v>
      </c>
      <c r="F801" s="6" t="s">
        <v>54</v>
      </c>
      <c r="G801" s="5">
        <v>11</v>
      </c>
      <c r="H801" s="8">
        <v>44962</v>
      </c>
      <c r="I801" s="6" t="s">
        <v>21</v>
      </c>
      <c r="J801" s="6" t="s">
        <v>22</v>
      </c>
    </row>
    <row r="802" spans="1:10" x14ac:dyDescent="0.3">
      <c r="A802" s="6" t="s">
        <v>846</v>
      </c>
      <c r="B802" s="6" t="s">
        <v>61</v>
      </c>
      <c r="C802" s="7">
        <v>25</v>
      </c>
      <c r="D802" s="5" t="s">
        <v>18</v>
      </c>
      <c r="E802" s="6" t="s">
        <v>13</v>
      </c>
      <c r="F802" s="6" t="s">
        <v>88</v>
      </c>
      <c r="G802" s="5">
        <v>12</v>
      </c>
      <c r="H802" s="8">
        <v>44914</v>
      </c>
      <c r="I802" s="6" t="s">
        <v>34</v>
      </c>
      <c r="J802" s="6" t="s">
        <v>27</v>
      </c>
    </row>
    <row r="803" spans="1:10" x14ac:dyDescent="0.3">
      <c r="A803" s="6" t="s">
        <v>847</v>
      </c>
      <c r="B803" s="6" t="s">
        <v>24</v>
      </c>
      <c r="C803" s="7">
        <v>39</v>
      </c>
      <c r="D803" s="5" t="s">
        <v>12</v>
      </c>
      <c r="E803" s="6" t="s">
        <v>19</v>
      </c>
      <c r="F803" s="6" t="s">
        <v>38</v>
      </c>
      <c r="G803" s="5">
        <v>24</v>
      </c>
      <c r="H803" s="8">
        <v>44561</v>
      </c>
      <c r="I803" s="6" t="s">
        <v>15</v>
      </c>
      <c r="J803" s="6" t="s">
        <v>27</v>
      </c>
    </row>
    <row r="804" spans="1:10" x14ac:dyDescent="0.3">
      <c r="A804" s="6" t="s">
        <v>848</v>
      </c>
      <c r="B804" s="6" t="s">
        <v>31</v>
      </c>
      <c r="C804" s="7">
        <v>37</v>
      </c>
      <c r="D804" s="5" t="s">
        <v>12</v>
      </c>
      <c r="E804" s="6" t="s">
        <v>19</v>
      </c>
      <c r="F804" s="6" t="s">
        <v>33</v>
      </c>
      <c r="G804" s="5">
        <v>16</v>
      </c>
      <c r="H804" s="8">
        <v>44795</v>
      </c>
      <c r="I804" s="6" t="s">
        <v>15</v>
      </c>
      <c r="J804" s="6" t="s">
        <v>27</v>
      </c>
    </row>
    <row r="805" spans="1:10" x14ac:dyDescent="0.3">
      <c r="A805" s="6" t="s">
        <v>849</v>
      </c>
      <c r="B805" s="6" t="s">
        <v>24</v>
      </c>
      <c r="C805" s="7">
        <v>25</v>
      </c>
      <c r="D805" s="5" t="s">
        <v>18</v>
      </c>
      <c r="E805" s="6" t="s">
        <v>19</v>
      </c>
      <c r="F805" s="6" t="s">
        <v>20</v>
      </c>
      <c r="G805" s="5">
        <v>18</v>
      </c>
      <c r="H805" s="8">
        <v>44738</v>
      </c>
      <c r="I805" s="6" t="s">
        <v>39</v>
      </c>
      <c r="J805" s="6" t="s">
        <v>22</v>
      </c>
    </row>
    <row r="806" spans="1:10" x14ac:dyDescent="0.3">
      <c r="A806" s="6" t="s">
        <v>850</v>
      </c>
      <c r="B806" s="6" t="s">
        <v>11</v>
      </c>
      <c r="C806" s="7">
        <v>29</v>
      </c>
      <c r="D806" s="5" t="s">
        <v>18</v>
      </c>
      <c r="E806" s="6" t="s">
        <v>19</v>
      </c>
      <c r="F806" s="6" t="s">
        <v>54</v>
      </c>
      <c r="G806" s="5">
        <v>36</v>
      </c>
      <c r="H806" s="8">
        <v>44192</v>
      </c>
      <c r="I806" s="6" t="s">
        <v>21</v>
      </c>
      <c r="J806" s="6" t="s">
        <v>16</v>
      </c>
    </row>
    <row r="807" spans="1:10" x14ac:dyDescent="0.3">
      <c r="A807" s="6" t="s">
        <v>851</v>
      </c>
      <c r="B807" s="6" t="s">
        <v>31</v>
      </c>
      <c r="C807" s="7">
        <v>36</v>
      </c>
      <c r="D807" s="5" t="s">
        <v>12</v>
      </c>
      <c r="E807" s="6" t="s">
        <v>13</v>
      </c>
      <c r="F807" s="6" t="s">
        <v>33</v>
      </c>
      <c r="G807" s="5">
        <v>41</v>
      </c>
      <c r="H807" s="8">
        <v>44055</v>
      </c>
      <c r="I807" s="6" t="s">
        <v>15</v>
      </c>
      <c r="J807" s="6" t="s">
        <v>27</v>
      </c>
    </row>
    <row r="808" spans="1:10" x14ac:dyDescent="0.3">
      <c r="A808" s="6" t="s">
        <v>852</v>
      </c>
      <c r="B808" s="6" t="s">
        <v>11</v>
      </c>
      <c r="C808" s="7">
        <v>26</v>
      </c>
      <c r="D808" s="5" t="s">
        <v>18</v>
      </c>
      <c r="E808" s="6" t="s">
        <v>13</v>
      </c>
      <c r="F808" s="6" t="s">
        <v>25</v>
      </c>
      <c r="G808" s="5">
        <v>18</v>
      </c>
      <c r="H808" s="8">
        <v>44747</v>
      </c>
      <c r="I808" s="6" t="s">
        <v>49</v>
      </c>
      <c r="J808" s="6" t="s">
        <v>27</v>
      </c>
    </row>
    <row r="809" spans="1:10" x14ac:dyDescent="0.3">
      <c r="A809" s="6" t="s">
        <v>853</v>
      </c>
      <c r="B809" s="6" t="s">
        <v>11</v>
      </c>
      <c r="C809" s="7">
        <v>35</v>
      </c>
      <c r="D809" s="5" t="s">
        <v>12</v>
      </c>
      <c r="E809" s="6" t="s">
        <v>19</v>
      </c>
      <c r="F809" s="6" t="s">
        <v>36</v>
      </c>
      <c r="G809" s="5">
        <v>8</v>
      </c>
      <c r="H809" s="8">
        <v>45034</v>
      </c>
      <c r="I809" s="6" t="s">
        <v>39</v>
      </c>
      <c r="J809" s="6" t="s">
        <v>27</v>
      </c>
    </row>
    <row r="810" spans="1:10" x14ac:dyDescent="0.3">
      <c r="A810" s="6" t="s">
        <v>854</v>
      </c>
      <c r="B810" s="6" t="s">
        <v>24</v>
      </c>
      <c r="C810" s="7">
        <v>26</v>
      </c>
      <c r="D810" s="5" t="s">
        <v>18</v>
      </c>
      <c r="E810" s="6" t="s">
        <v>19</v>
      </c>
      <c r="F810" s="6" t="s">
        <v>54</v>
      </c>
      <c r="G810" s="5">
        <v>14</v>
      </c>
      <c r="H810" s="8">
        <v>44866</v>
      </c>
      <c r="I810" s="6" t="s">
        <v>29</v>
      </c>
      <c r="J810" s="6" t="s">
        <v>22</v>
      </c>
    </row>
    <row r="811" spans="1:10" x14ac:dyDescent="0.3">
      <c r="A811" s="6" t="s">
        <v>855</v>
      </c>
      <c r="B811" s="6" t="s">
        <v>24</v>
      </c>
      <c r="C811" s="7">
        <v>36</v>
      </c>
      <c r="D811" s="5" t="s">
        <v>12</v>
      </c>
      <c r="E811" s="6" t="s">
        <v>13</v>
      </c>
      <c r="F811" s="6" t="s">
        <v>64</v>
      </c>
      <c r="G811" s="5">
        <v>54</v>
      </c>
      <c r="H811" s="8">
        <v>43653</v>
      </c>
      <c r="I811" s="6" t="s">
        <v>39</v>
      </c>
      <c r="J811" s="6" t="s">
        <v>22</v>
      </c>
    </row>
    <row r="812" spans="1:10" x14ac:dyDescent="0.3">
      <c r="A812" s="6" t="s">
        <v>856</v>
      </c>
      <c r="B812" s="6" t="s">
        <v>24</v>
      </c>
      <c r="C812" s="7">
        <v>20</v>
      </c>
      <c r="D812" s="5" t="s">
        <v>32</v>
      </c>
      <c r="E812" s="6" t="s">
        <v>19</v>
      </c>
      <c r="F812" s="6" t="s">
        <v>14</v>
      </c>
      <c r="G812" s="5">
        <v>26</v>
      </c>
      <c r="H812" s="8">
        <v>44503</v>
      </c>
      <c r="I812" s="6" t="s">
        <v>39</v>
      </c>
      <c r="J812" s="6" t="s">
        <v>27</v>
      </c>
    </row>
    <row r="813" spans="1:10" x14ac:dyDescent="0.3">
      <c r="A813" s="6" t="s">
        <v>857</v>
      </c>
      <c r="B813" s="6" t="s">
        <v>24</v>
      </c>
      <c r="C813" s="7">
        <v>41</v>
      </c>
      <c r="D813" s="5" t="s">
        <v>12</v>
      </c>
      <c r="E813" s="6" t="s">
        <v>19</v>
      </c>
      <c r="F813" s="6" t="s">
        <v>54</v>
      </c>
      <c r="G813" s="5">
        <v>32</v>
      </c>
      <c r="H813" s="8">
        <v>44327</v>
      </c>
      <c r="I813" s="6" t="s">
        <v>21</v>
      </c>
      <c r="J813" s="6" t="s">
        <v>16</v>
      </c>
    </row>
    <row r="814" spans="1:10" x14ac:dyDescent="0.3">
      <c r="A814" s="6" t="s">
        <v>858</v>
      </c>
      <c r="B814" s="6" t="s">
        <v>11</v>
      </c>
      <c r="C814" s="7">
        <v>44</v>
      </c>
      <c r="D814" s="5" t="s">
        <v>12</v>
      </c>
      <c r="E814" s="6" t="s">
        <v>19</v>
      </c>
      <c r="F814" s="6" t="s">
        <v>88</v>
      </c>
      <c r="G814" s="5">
        <v>35</v>
      </c>
      <c r="H814" s="8">
        <v>44232</v>
      </c>
      <c r="I814" s="6" t="s">
        <v>26</v>
      </c>
      <c r="J814" s="6" t="s">
        <v>22</v>
      </c>
    </row>
    <row r="815" spans="1:10" x14ac:dyDescent="0.3">
      <c r="A815" s="6" t="s">
        <v>859</v>
      </c>
      <c r="B815" s="6" t="s">
        <v>24</v>
      </c>
      <c r="C815" s="7">
        <v>30</v>
      </c>
      <c r="D815" s="5" t="s">
        <v>18</v>
      </c>
      <c r="E815" s="6" t="s">
        <v>19</v>
      </c>
      <c r="F815" s="6" t="s">
        <v>36</v>
      </c>
      <c r="G815" s="5">
        <v>18</v>
      </c>
      <c r="H815" s="8">
        <v>44751</v>
      </c>
      <c r="I815" s="6" t="s">
        <v>21</v>
      </c>
      <c r="J815" s="6" t="s">
        <v>65</v>
      </c>
    </row>
    <row r="816" spans="1:10" x14ac:dyDescent="0.3">
      <c r="A816" s="6" t="s">
        <v>860</v>
      </c>
      <c r="B816" s="6" t="s">
        <v>11</v>
      </c>
      <c r="C816" s="7">
        <v>18</v>
      </c>
      <c r="D816" s="5" t="s">
        <v>32</v>
      </c>
      <c r="E816" s="6" t="s">
        <v>13</v>
      </c>
      <c r="F816" s="6" t="s">
        <v>64</v>
      </c>
      <c r="G816" s="5">
        <v>57</v>
      </c>
      <c r="H816" s="8">
        <v>43574</v>
      </c>
      <c r="I816" s="6" t="s">
        <v>39</v>
      </c>
      <c r="J816" s="6" t="s">
        <v>22</v>
      </c>
    </row>
    <row r="817" spans="1:10" x14ac:dyDescent="0.3">
      <c r="A817" s="6" t="s">
        <v>861</v>
      </c>
      <c r="B817" s="6" t="s">
        <v>24</v>
      </c>
      <c r="C817" s="7">
        <v>36</v>
      </c>
      <c r="D817" s="5" t="s">
        <v>12</v>
      </c>
      <c r="E817" s="6" t="s">
        <v>13</v>
      </c>
      <c r="F817" s="6" t="s">
        <v>38</v>
      </c>
      <c r="G817" s="5">
        <v>60</v>
      </c>
      <c r="H817" s="8">
        <v>43479</v>
      </c>
      <c r="I817" s="6" t="s">
        <v>34</v>
      </c>
      <c r="J817" s="6" t="s">
        <v>65</v>
      </c>
    </row>
    <row r="818" spans="1:10" x14ac:dyDescent="0.3">
      <c r="A818" s="6" t="s">
        <v>862</v>
      </c>
      <c r="B818" s="6" t="s">
        <v>11</v>
      </c>
      <c r="C818" s="7">
        <v>41</v>
      </c>
      <c r="D818" s="5" t="s">
        <v>12</v>
      </c>
      <c r="E818" s="6" t="s">
        <v>13</v>
      </c>
      <c r="F818" s="6" t="s">
        <v>25</v>
      </c>
      <c r="G818" s="5">
        <v>10</v>
      </c>
      <c r="H818" s="8">
        <v>44975</v>
      </c>
      <c r="I818" s="6" t="s">
        <v>29</v>
      </c>
      <c r="J818" s="6" t="s">
        <v>27</v>
      </c>
    </row>
    <row r="819" spans="1:10" x14ac:dyDescent="0.3">
      <c r="A819" s="6" t="s">
        <v>863</v>
      </c>
      <c r="B819" s="6" t="s">
        <v>61</v>
      </c>
      <c r="C819" s="7">
        <v>27</v>
      </c>
      <c r="D819" s="5" t="s">
        <v>18</v>
      </c>
      <c r="E819" s="6" t="s">
        <v>19</v>
      </c>
      <c r="F819" s="6" t="s">
        <v>56</v>
      </c>
      <c r="G819" s="5">
        <v>54</v>
      </c>
      <c r="H819" s="8">
        <v>43644</v>
      </c>
      <c r="I819" s="6" t="s">
        <v>62</v>
      </c>
      <c r="J819" s="6" t="s">
        <v>27</v>
      </c>
    </row>
    <row r="820" spans="1:10" x14ac:dyDescent="0.3">
      <c r="A820" s="6" t="s">
        <v>864</v>
      </c>
      <c r="B820" s="6" t="s">
        <v>31</v>
      </c>
      <c r="C820" s="7">
        <v>22</v>
      </c>
      <c r="D820" s="5" t="s">
        <v>32</v>
      </c>
      <c r="E820" s="6" t="s">
        <v>19</v>
      </c>
      <c r="F820" s="6" t="s">
        <v>88</v>
      </c>
      <c r="G820" s="5">
        <v>45</v>
      </c>
      <c r="H820" s="8">
        <v>43931</v>
      </c>
      <c r="I820" s="6" t="s">
        <v>15</v>
      </c>
      <c r="J820" s="6" t="s">
        <v>22</v>
      </c>
    </row>
    <row r="821" spans="1:10" x14ac:dyDescent="0.3">
      <c r="A821" s="6" t="s">
        <v>865</v>
      </c>
      <c r="B821" s="6" t="s">
        <v>24</v>
      </c>
      <c r="C821" s="7">
        <v>28</v>
      </c>
      <c r="D821" s="5" t="s">
        <v>18</v>
      </c>
      <c r="E821" s="6" t="s">
        <v>19</v>
      </c>
      <c r="F821" s="6" t="s">
        <v>64</v>
      </c>
      <c r="G821" s="5">
        <v>2</v>
      </c>
      <c r="H821" s="8">
        <v>45219</v>
      </c>
      <c r="I821" s="6" t="s">
        <v>49</v>
      </c>
      <c r="J821" s="6" t="s">
        <v>27</v>
      </c>
    </row>
    <row r="822" spans="1:10" x14ac:dyDescent="0.3">
      <c r="A822" s="6" t="s">
        <v>866</v>
      </c>
      <c r="B822" s="6" t="s">
        <v>11</v>
      </c>
      <c r="C822" s="7">
        <v>18</v>
      </c>
      <c r="D822" s="5" t="s">
        <v>32</v>
      </c>
      <c r="E822" s="6" t="s">
        <v>19</v>
      </c>
      <c r="F822" s="6" t="s">
        <v>20</v>
      </c>
      <c r="G822" s="5">
        <v>53</v>
      </c>
      <c r="H822" s="8">
        <v>43686</v>
      </c>
      <c r="I822" s="6" t="s">
        <v>34</v>
      </c>
      <c r="J822" s="6" t="s">
        <v>22</v>
      </c>
    </row>
    <row r="823" spans="1:10" x14ac:dyDescent="0.3">
      <c r="A823" s="6" t="s">
        <v>867</v>
      </c>
      <c r="B823" s="6" t="s">
        <v>42</v>
      </c>
      <c r="C823" s="7">
        <v>41</v>
      </c>
      <c r="D823" s="5" t="s">
        <v>12</v>
      </c>
      <c r="E823" s="6" t="s">
        <v>19</v>
      </c>
      <c r="F823" s="6" t="s">
        <v>38</v>
      </c>
      <c r="G823" s="5">
        <v>23</v>
      </c>
      <c r="H823" s="8">
        <v>44592</v>
      </c>
      <c r="I823" s="6" t="s">
        <v>34</v>
      </c>
      <c r="J823" s="6" t="s">
        <v>65</v>
      </c>
    </row>
    <row r="824" spans="1:10" x14ac:dyDescent="0.3">
      <c r="A824" s="6" t="s">
        <v>868</v>
      </c>
      <c r="B824" s="6" t="s">
        <v>61</v>
      </c>
      <c r="C824" s="7">
        <v>26</v>
      </c>
      <c r="D824" s="5" t="s">
        <v>18</v>
      </c>
      <c r="E824" s="6" t="s">
        <v>13</v>
      </c>
      <c r="F824" s="6" t="s">
        <v>64</v>
      </c>
      <c r="G824" s="5">
        <v>2</v>
      </c>
      <c r="H824" s="8">
        <v>45210</v>
      </c>
      <c r="I824" s="6" t="s">
        <v>26</v>
      </c>
      <c r="J824" s="6" t="s">
        <v>22</v>
      </c>
    </row>
    <row r="825" spans="1:10" x14ac:dyDescent="0.3">
      <c r="A825" s="6" t="s">
        <v>869</v>
      </c>
      <c r="B825" s="6" t="s">
        <v>24</v>
      </c>
      <c r="C825" s="7">
        <v>43</v>
      </c>
      <c r="D825" s="5" t="s">
        <v>12</v>
      </c>
      <c r="E825" s="6" t="s">
        <v>19</v>
      </c>
      <c r="F825" s="6" t="s">
        <v>33</v>
      </c>
      <c r="G825" s="5">
        <v>9</v>
      </c>
      <c r="H825" s="8">
        <v>45013</v>
      </c>
      <c r="I825" s="6" t="s">
        <v>39</v>
      </c>
      <c r="J825" s="6" t="s">
        <v>22</v>
      </c>
    </row>
    <row r="826" spans="1:10" x14ac:dyDescent="0.3">
      <c r="A826" s="6" t="s">
        <v>870</v>
      </c>
      <c r="B826" s="6" t="s">
        <v>24</v>
      </c>
      <c r="C826" s="7">
        <v>32</v>
      </c>
      <c r="D826" s="5" t="s">
        <v>18</v>
      </c>
      <c r="E826" s="6" t="s">
        <v>19</v>
      </c>
      <c r="F826" s="6" t="s">
        <v>36</v>
      </c>
      <c r="G826" s="5">
        <v>2</v>
      </c>
      <c r="H826" s="8">
        <v>45229</v>
      </c>
      <c r="I826" s="6" t="s">
        <v>47</v>
      </c>
      <c r="J826" s="6" t="s">
        <v>27</v>
      </c>
    </row>
    <row r="827" spans="1:10" x14ac:dyDescent="0.3">
      <c r="A827" s="6" t="s">
        <v>871</v>
      </c>
      <c r="B827" s="6" t="s">
        <v>61</v>
      </c>
      <c r="C827" s="7">
        <v>38</v>
      </c>
      <c r="D827" s="5" t="s">
        <v>12</v>
      </c>
      <c r="E827" s="6" t="s">
        <v>13</v>
      </c>
      <c r="F827" s="6" t="s">
        <v>64</v>
      </c>
      <c r="G827" s="5">
        <v>60</v>
      </c>
      <c r="H827" s="8">
        <v>43469</v>
      </c>
      <c r="I827" s="6" t="s">
        <v>26</v>
      </c>
      <c r="J827" s="6" t="s">
        <v>16</v>
      </c>
    </row>
    <row r="828" spans="1:10" x14ac:dyDescent="0.3">
      <c r="A828" s="6" t="s">
        <v>872</v>
      </c>
      <c r="B828" s="6" t="s">
        <v>42</v>
      </c>
      <c r="C828" s="7">
        <v>45</v>
      </c>
      <c r="D828" s="5" t="s">
        <v>46</v>
      </c>
      <c r="E828" s="6" t="s">
        <v>13</v>
      </c>
      <c r="F828" s="6" t="s">
        <v>20</v>
      </c>
      <c r="G828" s="5">
        <v>60</v>
      </c>
      <c r="H828" s="8">
        <v>43488</v>
      </c>
      <c r="I828" s="6" t="s">
        <v>21</v>
      </c>
      <c r="J828" s="6" t="s">
        <v>27</v>
      </c>
    </row>
    <row r="829" spans="1:10" x14ac:dyDescent="0.3">
      <c r="A829" s="6" t="s">
        <v>873</v>
      </c>
      <c r="B829" s="6" t="s">
        <v>31</v>
      </c>
      <c r="C829" s="7">
        <v>27</v>
      </c>
      <c r="D829" s="5" t="s">
        <v>18</v>
      </c>
      <c r="E829" s="6" t="s">
        <v>13</v>
      </c>
      <c r="F829" s="6" t="s">
        <v>64</v>
      </c>
      <c r="G829" s="5">
        <v>43</v>
      </c>
      <c r="H829" s="8">
        <v>43982</v>
      </c>
      <c r="I829" s="6" t="s">
        <v>34</v>
      </c>
      <c r="J829" s="6" t="s">
        <v>65</v>
      </c>
    </row>
    <row r="830" spans="1:10" x14ac:dyDescent="0.3">
      <c r="A830" s="6" t="s">
        <v>874</v>
      </c>
      <c r="B830" s="6" t="s">
        <v>11</v>
      </c>
      <c r="C830" s="7">
        <v>25</v>
      </c>
      <c r="D830" s="5" t="s">
        <v>18</v>
      </c>
      <c r="E830" s="6" t="s">
        <v>19</v>
      </c>
      <c r="F830" s="6" t="s">
        <v>33</v>
      </c>
      <c r="G830" s="5">
        <v>12</v>
      </c>
      <c r="H830" s="8">
        <v>44915</v>
      </c>
      <c r="I830" s="6" t="s">
        <v>39</v>
      </c>
      <c r="J830" s="6" t="s">
        <v>16</v>
      </c>
    </row>
    <row r="831" spans="1:10" x14ac:dyDescent="0.3">
      <c r="A831" s="6" t="s">
        <v>875</v>
      </c>
      <c r="B831" s="6" t="s">
        <v>31</v>
      </c>
      <c r="C831" s="7">
        <v>35</v>
      </c>
      <c r="D831" s="5" t="s">
        <v>12</v>
      </c>
      <c r="E831" s="6" t="s">
        <v>19</v>
      </c>
      <c r="F831" s="6" t="s">
        <v>25</v>
      </c>
      <c r="G831" s="5">
        <v>22</v>
      </c>
      <c r="H831" s="8">
        <v>44625</v>
      </c>
      <c r="I831" s="6" t="s">
        <v>26</v>
      </c>
      <c r="J831" s="6" t="s">
        <v>27</v>
      </c>
    </row>
    <row r="832" spans="1:10" x14ac:dyDescent="0.3">
      <c r="A832" s="6" t="s">
        <v>876</v>
      </c>
      <c r="B832" s="6" t="s">
        <v>31</v>
      </c>
      <c r="C832" s="7">
        <v>18</v>
      </c>
      <c r="D832" s="5" t="s">
        <v>32</v>
      </c>
      <c r="E832" s="6" t="s">
        <v>13</v>
      </c>
      <c r="F832" s="6" t="s">
        <v>54</v>
      </c>
      <c r="G832" s="5">
        <v>55</v>
      </c>
      <c r="H832" s="8">
        <v>43613</v>
      </c>
      <c r="I832" s="6" t="s">
        <v>39</v>
      </c>
      <c r="J832" s="6" t="s">
        <v>16</v>
      </c>
    </row>
    <row r="833" spans="1:10" x14ac:dyDescent="0.3">
      <c r="A833" s="6" t="s">
        <v>877</v>
      </c>
      <c r="B833" s="6" t="s">
        <v>11</v>
      </c>
      <c r="C833" s="7">
        <v>45</v>
      </c>
      <c r="D833" s="5" t="s">
        <v>46</v>
      </c>
      <c r="E833" s="6" t="s">
        <v>13</v>
      </c>
      <c r="F833" s="6" t="s">
        <v>88</v>
      </c>
      <c r="G833" s="5">
        <v>36</v>
      </c>
      <c r="H833" s="8">
        <v>44198</v>
      </c>
      <c r="I833" s="6" t="s">
        <v>62</v>
      </c>
      <c r="J833" s="6" t="s">
        <v>27</v>
      </c>
    </row>
    <row r="834" spans="1:10" x14ac:dyDescent="0.3">
      <c r="A834" s="6" t="s">
        <v>878</v>
      </c>
      <c r="B834" s="6" t="s">
        <v>42</v>
      </c>
      <c r="C834" s="7">
        <v>33</v>
      </c>
      <c r="D834" s="5" t="s">
        <v>18</v>
      </c>
      <c r="E834" s="6" t="s">
        <v>19</v>
      </c>
      <c r="F834" s="6" t="s">
        <v>20</v>
      </c>
      <c r="G834" s="5">
        <v>13</v>
      </c>
      <c r="H834" s="8">
        <v>44889</v>
      </c>
      <c r="I834" s="6" t="s">
        <v>47</v>
      </c>
      <c r="J834" s="6" t="s">
        <v>16</v>
      </c>
    </row>
    <row r="835" spans="1:10" x14ac:dyDescent="0.3">
      <c r="A835" s="6" t="s">
        <v>879</v>
      </c>
      <c r="B835" s="6" t="s">
        <v>61</v>
      </c>
      <c r="C835" s="7">
        <v>20</v>
      </c>
      <c r="D835" s="5" t="s">
        <v>32</v>
      </c>
      <c r="E835" s="6" t="s">
        <v>13</v>
      </c>
      <c r="F835" s="6" t="s">
        <v>20</v>
      </c>
      <c r="G835" s="5">
        <v>31</v>
      </c>
      <c r="H835" s="8">
        <v>44334</v>
      </c>
      <c r="I835" s="6" t="s">
        <v>21</v>
      </c>
      <c r="J835" s="6" t="s">
        <v>27</v>
      </c>
    </row>
    <row r="836" spans="1:10" x14ac:dyDescent="0.3">
      <c r="A836" s="6" t="s">
        <v>880</v>
      </c>
      <c r="B836" s="6" t="s">
        <v>11</v>
      </c>
      <c r="C836" s="7">
        <v>27</v>
      </c>
      <c r="D836" s="5" t="s">
        <v>18</v>
      </c>
      <c r="E836" s="6" t="s">
        <v>19</v>
      </c>
      <c r="F836" s="6" t="s">
        <v>56</v>
      </c>
      <c r="G836" s="5">
        <v>53</v>
      </c>
      <c r="H836" s="8">
        <v>43699</v>
      </c>
      <c r="I836" s="6" t="s">
        <v>62</v>
      </c>
      <c r="J836" s="6" t="s">
        <v>16</v>
      </c>
    </row>
    <row r="837" spans="1:10" x14ac:dyDescent="0.3">
      <c r="A837" s="6" t="s">
        <v>881</v>
      </c>
      <c r="B837" s="6" t="s">
        <v>31</v>
      </c>
      <c r="C837" s="7">
        <v>29</v>
      </c>
      <c r="D837" s="5" t="s">
        <v>18</v>
      </c>
      <c r="E837" s="6" t="s">
        <v>13</v>
      </c>
      <c r="F837" s="6" t="s">
        <v>36</v>
      </c>
      <c r="G837" s="5">
        <v>30</v>
      </c>
      <c r="H837" s="8">
        <v>44369</v>
      </c>
      <c r="I837" s="6" t="s">
        <v>62</v>
      </c>
      <c r="J837" s="6" t="s">
        <v>65</v>
      </c>
    </row>
    <row r="838" spans="1:10" x14ac:dyDescent="0.3">
      <c r="A838" s="6" t="s">
        <v>882</v>
      </c>
      <c r="B838" s="6" t="s">
        <v>31</v>
      </c>
      <c r="C838" s="7">
        <v>25</v>
      </c>
      <c r="D838" s="5" t="s">
        <v>18</v>
      </c>
      <c r="E838" s="6" t="s">
        <v>19</v>
      </c>
      <c r="F838" s="6" t="s">
        <v>56</v>
      </c>
      <c r="G838" s="5">
        <v>36</v>
      </c>
      <c r="H838" s="8">
        <v>44186</v>
      </c>
      <c r="I838" s="6" t="s">
        <v>39</v>
      </c>
      <c r="J838" s="6" t="s">
        <v>27</v>
      </c>
    </row>
    <row r="839" spans="1:10" x14ac:dyDescent="0.3">
      <c r="A839" s="6" t="s">
        <v>883</v>
      </c>
      <c r="B839" s="6" t="s">
        <v>11</v>
      </c>
      <c r="C839" s="7">
        <v>27</v>
      </c>
      <c r="D839" s="5" t="s">
        <v>18</v>
      </c>
      <c r="E839" s="6" t="s">
        <v>19</v>
      </c>
      <c r="F839" s="6" t="s">
        <v>20</v>
      </c>
      <c r="G839" s="5">
        <v>58</v>
      </c>
      <c r="H839" s="8">
        <v>43536</v>
      </c>
      <c r="I839" s="6" t="s">
        <v>39</v>
      </c>
      <c r="J839" s="6" t="s">
        <v>27</v>
      </c>
    </row>
    <row r="840" spans="1:10" x14ac:dyDescent="0.3">
      <c r="A840" s="6" t="s">
        <v>884</v>
      </c>
      <c r="B840" s="6" t="s">
        <v>61</v>
      </c>
      <c r="C840" s="7">
        <v>41</v>
      </c>
      <c r="D840" s="5" t="s">
        <v>12</v>
      </c>
      <c r="E840" s="6" t="s">
        <v>13</v>
      </c>
      <c r="F840" s="6" t="s">
        <v>54</v>
      </c>
      <c r="G840" s="5">
        <v>50</v>
      </c>
      <c r="H840" s="8">
        <v>43785</v>
      </c>
      <c r="I840" s="6" t="s">
        <v>21</v>
      </c>
      <c r="J840" s="6" t="s">
        <v>16</v>
      </c>
    </row>
    <row r="841" spans="1:10" x14ac:dyDescent="0.3">
      <c r="A841" s="6" t="s">
        <v>885</v>
      </c>
      <c r="B841" s="6" t="s">
        <v>42</v>
      </c>
      <c r="C841" s="7">
        <v>25</v>
      </c>
      <c r="D841" s="5" t="s">
        <v>18</v>
      </c>
      <c r="E841" s="6" t="s">
        <v>19</v>
      </c>
      <c r="F841" s="6" t="s">
        <v>20</v>
      </c>
      <c r="G841" s="5">
        <v>27</v>
      </c>
      <c r="H841" s="8">
        <v>44461</v>
      </c>
      <c r="I841" s="6" t="s">
        <v>39</v>
      </c>
      <c r="J841" s="6" t="s">
        <v>27</v>
      </c>
    </row>
    <row r="842" spans="1:10" x14ac:dyDescent="0.3">
      <c r="A842" s="6" t="s">
        <v>886</v>
      </c>
      <c r="B842" s="6" t="s">
        <v>11</v>
      </c>
      <c r="C842" s="7">
        <v>20</v>
      </c>
      <c r="D842" s="5" t="s">
        <v>32</v>
      </c>
      <c r="E842" s="6" t="s">
        <v>19</v>
      </c>
      <c r="F842" s="6" t="s">
        <v>20</v>
      </c>
      <c r="G842" s="5">
        <v>31</v>
      </c>
      <c r="H842" s="8">
        <v>44354</v>
      </c>
      <c r="I842" s="6" t="s">
        <v>39</v>
      </c>
      <c r="J842" s="6" t="s">
        <v>22</v>
      </c>
    </row>
    <row r="843" spans="1:10" x14ac:dyDescent="0.3">
      <c r="A843" s="6" t="s">
        <v>887</v>
      </c>
      <c r="B843" s="6" t="s">
        <v>11</v>
      </c>
      <c r="C843" s="7">
        <v>28</v>
      </c>
      <c r="D843" s="5" t="s">
        <v>18</v>
      </c>
      <c r="E843" s="6" t="s">
        <v>13</v>
      </c>
      <c r="F843" s="6" t="s">
        <v>38</v>
      </c>
      <c r="G843" s="5">
        <v>52</v>
      </c>
      <c r="H843" s="8">
        <v>43718</v>
      </c>
      <c r="I843" s="6" t="s">
        <v>34</v>
      </c>
      <c r="J843" s="6" t="s">
        <v>22</v>
      </c>
    </row>
    <row r="844" spans="1:10" x14ac:dyDescent="0.3">
      <c r="A844" s="6" t="s">
        <v>888</v>
      </c>
      <c r="B844" s="6" t="s">
        <v>42</v>
      </c>
      <c r="C844" s="7">
        <v>21</v>
      </c>
      <c r="D844" s="5" t="s">
        <v>32</v>
      </c>
      <c r="E844" s="6" t="s">
        <v>19</v>
      </c>
      <c r="F844" s="6" t="s">
        <v>20</v>
      </c>
      <c r="G844" s="5">
        <v>36</v>
      </c>
      <c r="H844" s="8">
        <v>44192</v>
      </c>
      <c r="I844" s="6" t="s">
        <v>29</v>
      </c>
      <c r="J844" s="6" t="s">
        <v>16</v>
      </c>
    </row>
    <row r="845" spans="1:10" x14ac:dyDescent="0.3">
      <c r="A845" s="6" t="s">
        <v>889</v>
      </c>
      <c r="B845" s="6" t="s">
        <v>11</v>
      </c>
      <c r="C845" s="7">
        <v>28</v>
      </c>
      <c r="D845" s="5" t="s">
        <v>18</v>
      </c>
      <c r="E845" s="6" t="s">
        <v>19</v>
      </c>
      <c r="F845" s="6" t="s">
        <v>14</v>
      </c>
      <c r="G845" s="5">
        <v>58</v>
      </c>
      <c r="H845" s="8">
        <v>43537</v>
      </c>
      <c r="I845" s="6" t="s">
        <v>21</v>
      </c>
      <c r="J845" s="6" t="s">
        <v>65</v>
      </c>
    </row>
    <row r="846" spans="1:10" x14ac:dyDescent="0.3">
      <c r="A846" s="6" t="s">
        <v>890</v>
      </c>
      <c r="B846" s="6" t="s">
        <v>11</v>
      </c>
      <c r="C846" s="7">
        <v>31</v>
      </c>
      <c r="D846" s="5" t="s">
        <v>18</v>
      </c>
      <c r="E846" s="6" t="s">
        <v>19</v>
      </c>
      <c r="F846" s="6" t="s">
        <v>38</v>
      </c>
      <c r="G846" s="5">
        <v>54</v>
      </c>
      <c r="H846" s="8">
        <v>43663</v>
      </c>
      <c r="I846" s="6" t="s">
        <v>26</v>
      </c>
      <c r="J846" s="6" t="s">
        <v>27</v>
      </c>
    </row>
    <row r="847" spans="1:10" x14ac:dyDescent="0.3">
      <c r="A847" s="6" t="s">
        <v>891</v>
      </c>
      <c r="B847" s="6" t="s">
        <v>31</v>
      </c>
      <c r="C847" s="7">
        <v>20</v>
      </c>
      <c r="D847" s="5" t="s">
        <v>32</v>
      </c>
      <c r="E847" s="6" t="s">
        <v>13</v>
      </c>
      <c r="F847" s="6" t="s">
        <v>20</v>
      </c>
      <c r="G847" s="5">
        <v>25</v>
      </c>
      <c r="H847" s="8">
        <v>44524</v>
      </c>
      <c r="I847" s="6" t="s">
        <v>49</v>
      </c>
      <c r="J847" s="6" t="s">
        <v>22</v>
      </c>
    </row>
    <row r="848" spans="1:10" x14ac:dyDescent="0.3">
      <c r="A848" s="6" t="s">
        <v>892</v>
      </c>
      <c r="B848" s="6" t="s">
        <v>11</v>
      </c>
      <c r="C848" s="7">
        <v>23</v>
      </c>
      <c r="D848" s="5" t="s">
        <v>32</v>
      </c>
      <c r="E848" s="6" t="s">
        <v>13</v>
      </c>
      <c r="F848" s="6" t="s">
        <v>25</v>
      </c>
      <c r="G848" s="5">
        <v>15</v>
      </c>
      <c r="H848" s="8">
        <v>44820</v>
      </c>
      <c r="I848" s="6" t="s">
        <v>39</v>
      </c>
      <c r="J848" s="6" t="s">
        <v>16</v>
      </c>
    </row>
    <row r="849" spans="1:10" x14ac:dyDescent="0.3">
      <c r="A849" s="6" t="s">
        <v>893</v>
      </c>
      <c r="B849" s="6" t="s">
        <v>61</v>
      </c>
      <c r="C849" s="7">
        <v>18</v>
      </c>
      <c r="D849" s="5" t="s">
        <v>32</v>
      </c>
      <c r="E849" s="6" t="s">
        <v>13</v>
      </c>
      <c r="F849" s="6" t="s">
        <v>25</v>
      </c>
      <c r="G849" s="5">
        <v>23</v>
      </c>
      <c r="H849" s="8">
        <v>44598</v>
      </c>
      <c r="I849" s="6" t="s">
        <v>26</v>
      </c>
      <c r="J849" s="6" t="s">
        <v>22</v>
      </c>
    </row>
    <row r="850" spans="1:10" x14ac:dyDescent="0.3">
      <c r="A850" s="6" t="s">
        <v>894</v>
      </c>
      <c r="B850" s="6" t="s">
        <v>31</v>
      </c>
      <c r="C850" s="7">
        <v>42</v>
      </c>
      <c r="D850" s="5" t="s">
        <v>12</v>
      </c>
      <c r="E850" s="6" t="s">
        <v>13</v>
      </c>
      <c r="F850" s="6" t="s">
        <v>38</v>
      </c>
      <c r="G850" s="5">
        <v>23</v>
      </c>
      <c r="H850" s="8">
        <v>44579</v>
      </c>
      <c r="I850" s="6" t="s">
        <v>34</v>
      </c>
      <c r="J850" s="6" t="s">
        <v>27</v>
      </c>
    </row>
    <row r="851" spans="1:10" x14ac:dyDescent="0.3">
      <c r="A851" s="6" t="s">
        <v>895</v>
      </c>
      <c r="B851" s="6" t="s">
        <v>31</v>
      </c>
      <c r="C851" s="7">
        <v>36</v>
      </c>
      <c r="D851" s="5" t="s">
        <v>12</v>
      </c>
      <c r="E851" s="6" t="s">
        <v>13</v>
      </c>
      <c r="F851" s="6" t="s">
        <v>14</v>
      </c>
      <c r="G851" s="5">
        <v>59</v>
      </c>
      <c r="H851" s="8">
        <v>43509</v>
      </c>
      <c r="I851" s="6" t="s">
        <v>26</v>
      </c>
      <c r="J851" s="6" t="s">
        <v>27</v>
      </c>
    </row>
    <row r="852" spans="1:10" x14ac:dyDescent="0.3">
      <c r="A852" s="6" t="s">
        <v>896</v>
      </c>
      <c r="B852" s="6" t="s">
        <v>11</v>
      </c>
      <c r="C852" s="7">
        <v>26</v>
      </c>
      <c r="D852" s="5" t="s">
        <v>18</v>
      </c>
      <c r="E852" s="6" t="s">
        <v>13</v>
      </c>
      <c r="F852" s="6" t="s">
        <v>33</v>
      </c>
      <c r="G852" s="5">
        <v>37</v>
      </c>
      <c r="H852" s="8">
        <v>44160</v>
      </c>
      <c r="I852" s="6" t="s">
        <v>39</v>
      </c>
      <c r="J852" s="6" t="s">
        <v>27</v>
      </c>
    </row>
    <row r="853" spans="1:10" x14ac:dyDescent="0.3">
      <c r="A853" s="6" t="s">
        <v>897</v>
      </c>
      <c r="B853" s="6" t="s">
        <v>24</v>
      </c>
      <c r="C853" s="7">
        <v>25</v>
      </c>
      <c r="D853" s="5" t="s">
        <v>18</v>
      </c>
      <c r="E853" s="6" t="s">
        <v>13</v>
      </c>
      <c r="F853" s="6" t="s">
        <v>64</v>
      </c>
      <c r="G853" s="5">
        <v>8</v>
      </c>
      <c r="H853" s="8">
        <v>45050</v>
      </c>
      <c r="I853" s="6" t="s">
        <v>21</v>
      </c>
      <c r="J853" s="6" t="s">
        <v>27</v>
      </c>
    </row>
    <row r="854" spans="1:10" x14ac:dyDescent="0.3">
      <c r="A854" s="6" t="s">
        <v>898</v>
      </c>
      <c r="B854" s="6" t="s">
        <v>42</v>
      </c>
      <c r="C854" s="7">
        <v>39</v>
      </c>
      <c r="D854" s="5" t="s">
        <v>12</v>
      </c>
      <c r="E854" s="6" t="s">
        <v>105</v>
      </c>
      <c r="F854" s="6" t="s">
        <v>20</v>
      </c>
      <c r="G854" s="5">
        <v>60</v>
      </c>
      <c r="H854" s="8">
        <v>43470</v>
      </c>
      <c r="I854" s="6" t="s">
        <v>15</v>
      </c>
      <c r="J854" s="6" t="s">
        <v>27</v>
      </c>
    </row>
    <row r="855" spans="1:10" x14ac:dyDescent="0.3">
      <c r="A855" s="6" t="s">
        <v>899</v>
      </c>
      <c r="B855" s="6" t="s">
        <v>11</v>
      </c>
      <c r="C855" s="7">
        <v>19</v>
      </c>
      <c r="D855" s="5" t="s">
        <v>32</v>
      </c>
      <c r="E855" s="6" t="s">
        <v>13</v>
      </c>
      <c r="F855" s="6" t="s">
        <v>33</v>
      </c>
      <c r="G855" s="5">
        <v>40</v>
      </c>
      <c r="H855" s="8">
        <v>44073</v>
      </c>
      <c r="I855" s="6" t="s">
        <v>49</v>
      </c>
      <c r="J855" s="6" t="s">
        <v>27</v>
      </c>
    </row>
    <row r="856" spans="1:10" x14ac:dyDescent="0.3">
      <c r="A856" s="6" t="s">
        <v>900</v>
      </c>
      <c r="B856" s="6" t="s">
        <v>31</v>
      </c>
      <c r="C856" s="7">
        <v>32</v>
      </c>
      <c r="D856" s="5" t="s">
        <v>18</v>
      </c>
      <c r="E856" s="6" t="s">
        <v>19</v>
      </c>
      <c r="F856" s="6" t="s">
        <v>38</v>
      </c>
      <c r="G856" s="5">
        <v>48</v>
      </c>
      <c r="H856" s="8">
        <v>43843</v>
      </c>
      <c r="I856" s="6" t="s">
        <v>39</v>
      </c>
      <c r="J856" s="6" t="s">
        <v>27</v>
      </c>
    </row>
    <row r="857" spans="1:10" x14ac:dyDescent="0.3">
      <c r="A857" s="6" t="s">
        <v>901</v>
      </c>
      <c r="B857" s="6" t="s">
        <v>42</v>
      </c>
      <c r="C857" s="7">
        <v>23</v>
      </c>
      <c r="D857" s="5" t="s">
        <v>32</v>
      </c>
      <c r="E857" s="6" t="s">
        <v>13</v>
      </c>
      <c r="F857" s="6" t="s">
        <v>56</v>
      </c>
      <c r="G857" s="5">
        <v>49</v>
      </c>
      <c r="H857" s="8">
        <v>43793</v>
      </c>
      <c r="I857" s="6" t="s">
        <v>62</v>
      </c>
      <c r="J857" s="6" t="s">
        <v>22</v>
      </c>
    </row>
    <row r="858" spans="1:10" x14ac:dyDescent="0.3">
      <c r="A858" s="6" t="s">
        <v>902</v>
      </c>
      <c r="B858" s="6" t="s">
        <v>11</v>
      </c>
      <c r="C858" s="7">
        <v>34</v>
      </c>
      <c r="D858" s="5" t="s">
        <v>18</v>
      </c>
      <c r="E858" s="6" t="s">
        <v>13</v>
      </c>
      <c r="F858" s="6" t="s">
        <v>56</v>
      </c>
      <c r="G858" s="5">
        <v>33</v>
      </c>
      <c r="H858" s="8">
        <v>44286</v>
      </c>
      <c r="I858" s="6" t="s">
        <v>39</v>
      </c>
      <c r="J858" s="6" t="s">
        <v>16</v>
      </c>
    </row>
    <row r="859" spans="1:10" x14ac:dyDescent="0.3">
      <c r="A859" s="6" t="s">
        <v>903</v>
      </c>
      <c r="B859" s="6" t="s">
        <v>61</v>
      </c>
      <c r="C859" s="7">
        <v>24</v>
      </c>
      <c r="D859" s="5" t="s">
        <v>32</v>
      </c>
      <c r="E859" s="6" t="s">
        <v>105</v>
      </c>
      <c r="F859" s="6" t="s">
        <v>20</v>
      </c>
      <c r="G859" s="5">
        <v>46</v>
      </c>
      <c r="H859" s="8">
        <v>43907</v>
      </c>
      <c r="I859" s="6" t="s">
        <v>26</v>
      </c>
      <c r="J859" s="6" t="s">
        <v>27</v>
      </c>
    </row>
    <row r="860" spans="1:10" x14ac:dyDescent="0.3">
      <c r="A860" s="6" t="s">
        <v>904</v>
      </c>
      <c r="B860" s="6" t="s">
        <v>24</v>
      </c>
      <c r="C860" s="7">
        <v>29</v>
      </c>
      <c r="D860" s="5" t="s">
        <v>18</v>
      </c>
      <c r="E860" s="6" t="s">
        <v>13</v>
      </c>
      <c r="F860" s="6" t="s">
        <v>88</v>
      </c>
      <c r="G860" s="5">
        <v>4</v>
      </c>
      <c r="H860" s="8">
        <v>45154</v>
      </c>
      <c r="I860" s="6" t="s">
        <v>34</v>
      </c>
      <c r="J860" s="6" t="s">
        <v>27</v>
      </c>
    </row>
    <row r="861" spans="1:10" x14ac:dyDescent="0.3">
      <c r="A861" s="6" t="s">
        <v>905</v>
      </c>
      <c r="B861" s="6" t="s">
        <v>31</v>
      </c>
      <c r="C861" s="7">
        <v>23</v>
      </c>
      <c r="D861" s="5" t="s">
        <v>32</v>
      </c>
      <c r="E861" s="6" t="s">
        <v>13</v>
      </c>
      <c r="F861" s="6" t="s">
        <v>36</v>
      </c>
      <c r="G861" s="5">
        <v>50</v>
      </c>
      <c r="H861" s="8">
        <v>43770</v>
      </c>
      <c r="I861" s="6" t="s">
        <v>29</v>
      </c>
      <c r="J861" s="6" t="s">
        <v>27</v>
      </c>
    </row>
    <row r="862" spans="1:10" x14ac:dyDescent="0.3">
      <c r="A862" s="6" t="s">
        <v>906</v>
      </c>
      <c r="B862" s="6" t="s">
        <v>31</v>
      </c>
      <c r="C862" s="7">
        <v>34</v>
      </c>
      <c r="D862" s="5" t="s">
        <v>18</v>
      </c>
      <c r="E862" s="6" t="s">
        <v>13</v>
      </c>
      <c r="F862" s="6" t="s">
        <v>64</v>
      </c>
      <c r="G862" s="5">
        <v>18</v>
      </c>
      <c r="H862" s="8">
        <v>44746</v>
      </c>
      <c r="I862" s="6" t="s">
        <v>26</v>
      </c>
      <c r="J862" s="6" t="s">
        <v>16</v>
      </c>
    </row>
    <row r="863" spans="1:10" x14ac:dyDescent="0.3">
      <c r="A863" s="6" t="s">
        <v>907</v>
      </c>
      <c r="B863" s="6" t="s">
        <v>61</v>
      </c>
      <c r="C863" s="7">
        <v>33</v>
      </c>
      <c r="D863" s="5" t="s">
        <v>18</v>
      </c>
      <c r="E863" s="6" t="s">
        <v>13</v>
      </c>
      <c r="F863" s="6" t="s">
        <v>56</v>
      </c>
      <c r="G863" s="5">
        <v>7</v>
      </c>
      <c r="H863" s="8">
        <v>45067</v>
      </c>
      <c r="I863" s="6" t="s">
        <v>39</v>
      </c>
      <c r="J863" s="6" t="s">
        <v>16</v>
      </c>
    </row>
    <row r="864" spans="1:10" x14ac:dyDescent="0.3">
      <c r="A864" s="6" t="s">
        <v>908</v>
      </c>
      <c r="B864" s="6" t="s">
        <v>31</v>
      </c>
      <c r="C864" s="7">
        <v>24</v>
      </c>
      <c r="D864" s="5" t="s">
        <v>32</v>
      </c>
      <c r="E864" s="6" t="s">
        <v>19</v>
      </c>
      <c r="F864" s="6" t="s">
        <v>54</v>
      </c>
      <c r="G864" s="5">
        <v>37</v>
      </c>
      <c r="H864" s="8">
        <v>44166</v>
      </c>
      <c r="I864" s="6" t="s">
        <v>15</v>
      </c>
      <c r="J864" s="6" t="s">
        <v>65</v>
      </c>
    </row>
    <row r="865" spans="1:10" x14ac:dyDescent="0.3">
      <c r="A865" s="6" t="s">
        <v>909</v>
      </c>
      <c r="B865" s="6" t="s">
        <v>31</v>
      </c>
      <c r="C865" s="7">
        <v>29</v>
      </c>
      <c r="D865" s="5" t="s">
        <v>18</v>
      </c>
      <c r="E865" s="6" t="s">
        <v>19</v>
      </c>
      <c r="F865" s="6" t="s">
        <v>25</v>
      </c>
      <c r="G865" s="5">
        <v>43</v>
      </c>
      <c r="H865" s="8">
        <v>43988</v>
      </c>
      <c r="I865" s="6" t="s">
        <v>47</v>
      </c>
      <c r="J865" s="6" t="s">
        <v>65</v>
      </c>
    </row>
    <row r="866" spans="1:10" x14ac:dyDescent="0.3">
      <c r="A866" s="6" t="s">
        <v>910</v>
      </c>
      <c r="B866" s="6" t="s">
        <v>61</v>
      </c>
      <c r="C866" s="7">
        <v>31</v>
      </c>
      <c r="D866" s="5" t="s">
        <v>18</v>
      </c>
      <c r="E866" s="6" t="s">
        <v>13</v>
      </c>
      <c r="F866" s="6" t="s">
        <v>88</v>
      </c>
      <c r="G866" s="5">
        <v>11</v>
      </c>
      <c r="H866" s="8">
        <v>44945</v>
      </c>
      <c r="I866" s="6" t="s">
        <v>34</v>
      </c>
      <c r="J866" s="6" t="s">
        <v>65</v>
      </c>
    </row>
    <row r="867" spans="1:10" x14ac:dyDescent="0.3">
      <c r="A867" s="6" t="s">
        <v>911</v>
      </c>
      <c r="B867" s="6" t="s">
        <v>61</v>
      </c>
      <c r="C867" s="7">
        <v>35</v>
      </c>
      <c r="D867" s="5" t="s">
        <v>12</v>
      </c>
      <c r="E867" s="6" t="s">
        <v>13</v>
      </c>
      <c r="F867" s="6" t="s">
        <v>64</v>
      </c>
      <c r="G867" s="5">
        <v>3</v>
      </c>
      <c r="H867" s="8">
        <v>45177</v>
      </c>
      <c r="I867" s="6" t="s">
        <v>34</v>
      </c>
      <c r="J867" s="6" t="s">
        <v>16</v>
      </c>
    </row>
    <row r="868" spans="1:10" x14ac:dyDescent="0.3">
      <c r="A868" s="6" t="s">
        <v>912</v>
      </c>
      <c r="B868" s="6" t="s">
        <v>24</v>
      </c>
      <c r="C868" s="7">
        <v>40</v>
      </c>
      <c r="D868" s="5" t="s">
        <v>12</v>
      </c>
      <c r="E868" s="6" t="s">
        <v>19</v>
      </c>
      <c r="F868" s="6" t="s">
        <v>88</v>
      </c>
      <c r="G868" s="5">
        <v>48</v>
      </c>
      <c r="H868" s="8">
        <v>43824</v>
      </c>
      <c r="I868" s="6" t="s">
        <v>62</v>
      </c>
      <c r="J868" s="6" t="s">
        <v>27</v>
      </c>
    </row>
    <row r="869" spans="1:10" x14ac:dyDescent="0.3">
      <c r="A869" s="6" t="s">
        <v>913</v>
      </c>
      <c r="B869" s="6" t="s">
        <v>31</v>
      </c>
      <c r="C869" s="7">
        <v>51</v>
      </c>
      <c r="D869" s="5" t="s">
        <v>46</v>
      </c>
      <c r="E869" s="6" t="s">
        <v>13</v>
      </c>
      <c r="F869" s="6" t="s">
        <v>38</v>
      </c>
      <c r="G869" s="5">
        <v>22</v>
      </c>
      <c r="H869" s="8">
        <v>44604</v>
      </c>
      <c r="I869" s="6" t="s">
        <v>62</v>
      </c>
      <c r="J869" s="6" t="s">
        <v>27</v>
      </c>
    </row>
    <row r="870" spans="1:10" x14ac:dyDescent="0.3">
      <c r="A870" s="6" t="s">
        <v>914</v>
      </c>
      <c r="B870" s="6" t="s">
        <v>24</v>
      </c>
      <c r="C870" s="7">
        <v>33</v>
      </c>
      <c r="D870" s="5" t="s">
        <v>18</v>
      </c>
      <c r="E870" s="6" t="s">
        <v>19</v>
      </c>
      <c r="F870" s="6" t="s">
        <v>88</v>
      </c>
      <c r="G870" s="5">
        <v>38</v>
      </c>
      <c r="H870" s="8">
        <v>44151</v>
      </c>
      <c r="I870" s="6" t="s">
        <v>39</v>
      </c>
      <c r="J870" s="6" t="s">
        <v>27</v>
      </c>
    </row>
    <row r="871" spans="1:10" x14ac:dyDescent="0.3">
      <c r="A871" s="6" t="s">
        <v>915</v>
      </c>
      <c r="B871" s="6" t="s">
        <v>11</v>
      </c>
      <c r="C871" s="7">
        <v>30</v>
      </c>
      <c r="D871" s="5" t="s">
        <v>18</v>
      </c>
      <c r="E871" s="6" t="s">
        <v>19</v>
      </c>
      <c r="F871" s="6" t="s">
        <v>54</v>
      </c>
      <c r="G871" s="5">
        <v>35</v>
      </c>
      <c r="H871" s="8">
        <v>44221</v>
      </c>
      <c r="I871" s="6" t="s">
        <v>34</v>
      </c>
      <c r="J871" s="6" t="s">
        <v>22</v>
      </c>
    </row>
    <row r="872" spans="1:10" x14ac:dyDescent="0.3">
      <c r="A872" s="6" t="s">
        <v>916</v>
      </c>
      <c r="B872" s="6" t="s">
        <v>11</v>
      </c>
      <c r="C872" s="7">
        <v>37</v>
      </c>
      <c r="D872" s="5" t="s">
        <v>12</v>
      </c>
      <c r="E872" s="6" t="s">
        <v>13</v>
      </c>
      <c r="F872" s="6" t="s">
        <v>64</v>
      </c>
      <c r="G872" s="5">
        <v>15</v>
      </c>
      <c r="H872" s="8">
        <v>44841</v>
      </c>
      <c r="I872" s="6" t="s">
        <v>29</v>
      </c>
      <c r="J872" s="6" t="s">
        <v>65</v>
      </c>
    </row>
    <row r="873" spans="1:10" x14ac:dyDescent="0.3">
      <c r="A873" s="6" t="s">
        <v>917</v>
      </c>
      <c r="B873" s="6" t="s">
        <v>31</v>
      </c>
      <c r="C873" s="7">
        <v>43</v>
      </c>
      <c r="D873" s="5" t="s">
        <v>12</v>
      </c>
      <c r="E873" s="6" t="s">
        <v>13</v>
      </c>
      <c r="F873" s="6" t="s">
        <v>20</v>
      </c>
      <c r="G873" s="5">
        <v>43</v>
      </c>
      <c r="H873" s="8">
        <v>43989</v>
      </c>
      <c r="I873" s="6" t="s">
        <v>21</v>
      </c>
      <c r="J873" s="6" t="s">
        <v>22</v>
      </c>
    </row>
    <row r="874" spans="1:10" x14ac:dyDescent="0.3">
      <c r="A874" s="6" t="s">
        <v>918</v>
      </c>
      <c r="B874" s="6" t="s">
        <v>24</v>
      </c>
      <c r="C874" s="7">
        <v>33</v>
      </c>
      <c r="D874" s="5" t="s">
        <v>18</v>
      </c>
      <c r="E874" s="6" t="s">
        <v>19</v>
      </c>
      <c r="F874" s="6" t="s">
        <v>20</v>
      </c>
      <c r="G874" s="5">
        <v>56</v>
      </c>
      <c r="H874" s="8">
        <v>43590</v>
      </c>
      <c r="I874" s="6" t="s">
        <v>26</v>
      </c>
      <c r="J874" s="6" t="s">
        <v>16</v>
      </c>
    </row>
    <row r="875" spans="1:10" x14ac:dyDescent="0.3">
      <c r="A875" s="6" t="s">
        <v>919</v>
      </c>
      <c r="B875" s="6" t="s">
        <v>42</v>
      </c>
      <c r="C875" s="7">
        <v>37</v>
      </c>
      <c r="D875" s="5" t="s">
        <v>12</v>
      </c>
      <c r="E875" s="6" t="s">
        <v>13</v>
      </c>
      <c r="F875" s="6" t="s">
        <v>33</v>
      </c>
      <c r="G875" s="5">
        <v>23</v>
      </c>
      <c r="H875" s="8">
        <v>44592</v>
      </c>
      <c r="I875" s="6" t="s">
        <v>39</v>
      </c>
      <c r="J875" s="6" t="s">
        <v>65</v>
      </c>
    </row>
    <row r="876" spans="1:10" x14ac:dyDescent="0.3">
      <c r="A876" s="6" t="s">
        <v>920</v>
      </c>
      <c r="B876" s="6" t="s">
        <v>24</v>
      </c>
      <c r="C876" s="7">
        <v>20</v>
      </c>
      <c r="D876" s="5" t="s">
        <v>32</v>
      </c>
      <c r="E876" s="6" t="s">
        <v>19</v>
      </c>
      <c r="F876" s="6" t="s">
        <v>20</v>
      </c>
      <c r="G876" s="5">
        <v>6</v>
      </c>
      <c r="H876" s="8">
        <v>45085</v>
      </c>
      <c r="I876" s="6" t="s">
        <v>62</v>
      </c>
      <c r="J876" s="6" t="s">
        <v>22</v>
      </c>
    </row>
    <row r="877" spans="1:10" x14ac:dyDescent="0.3">
      <c r="A877" s="6" t="s">
        <v>921</v>
      </c>
      <c r="B877" s="6" t="s">
        <v>42</v>
      </c>
      <c r="C877" s="7">
        <v>18</v>
      </c>
      <c r="D877" s="5" t="s">
        <v>32</v>
      </c>
      <c r="E877" s="6" t="s">
        <v>13</v>
      </c>
      <c r="F877" s="6" t="s">
        <v>88</v>
      </c>
      <c r="G877" s="5">
        <v>26</v>
      </c>
      <c r="H877" s="8">
        <v>44503</v>
      </c>
      <c r="I877" s="6" t="s">
        <v>26</v>
      </c>
      <c r="J877" s="6" t="s">
        <v>22</v>
      </c>
    </row>
    <row r="878" spans="1:10" x14ac:dyDescent="0.3">
      <c r="A878" s="6" t="s">
        <v>922</v>
      </c>
      <c r="B878" s="6" t="s">
        <v>31</v>
      </c>
      <c r="C878" s="7">
        <v>27</v>
      </c>
      <c r="D878" s="5" t="s">
        <v>18</v>
      </c>
      <c r="E878" s="6" t="s">
        <v>19</v>
      </c>
      <c r="F878" s="6" t="s">
        <v>14</v>
      </c>
      <c r="G878" s="5">
        <v>12</v>
      </c>
      <c r="H878" s="8">
        <v>44903</v>
      </c>
      <c r="I878" s="6" t="s">
        <v>34</v>
      </c>
      <c r="J878" s="6" t="s">
        <v>27</v>
      </c>
    </row>
    <row r="879" spans="1:10" x14ac:dyDescent="0.3">
      <c r="A879" s="6" t="s">
        <v>923</v>
      </c>
      <c r="B879" s="6" t="s">
        <v>24</v>
      </c>
      <c r="C879" s="7">
        <v>18</v>
      </c>
      <c r="D879" s="5" t="s">
        <v>32</v>
      </c>
      <c r="E879" s="6" t="s">
        <v>19</v>
      </c>
      <c r="F879" s="6" t="s">
        <v>38</v>
      </c>
      <c r="G879" s="5">
        <v>58</v>
      </c>
      <c r="H879" s="8">
        <v>43535</v>
      </c>
      <c r="I879" s="6" t="s">
        <v>15</v>
      </c>
      <c r="J879" s="6" t="s">
        <v>27</v>
      </c>
    </row>
    <row r="880" spans="1:10" x14ac:dyDescent="0.3">
      <c r="A880" s="6" t="s">
        <v>924</v>
      </c>
      <c r="B880" s="6" t="s">
        <v>31</v>
      </c>
      <c r="C880" s="7">
        <v>33</v>
      </c>
      <c r="D880" s="5" t="s">
        <v>18</v>
      </c>
      <c r="E880" s="6" t="s">
        <v>19</v>
      </c>
      <c r="F880" s="6" t="s">
        <v>56</v>
      </c>
      <c r="G880" s="5">
        <v>3</v>
      </c>
      <c r="H880" s="8">
        <v>45184</v>
      </c>
      <c r="I880" s="6" t="s">
        <v>39</v>
      </c>
      <c r="J880" s="6" t="s">
        <v>65</v>
      </c>
    </row>
    <row r="881" spans="1:10" x14ac:dyDescent="0.3">
      <c r="A881" s="6" t="s">
        <v>925</v>
      </c>
      <c r="B881" s="6" t="s">
        <v>11</v>
      </c>
      <c r="C881" s="7">
        <v>37</v>
      </c>
      <c r="D881" s="5" t="s">
        <v>12</v>
      </c>
      <c r="E881" s="6" t="s">
        <v>13</v>
      </c>
      <c r="F881" s="6" t="s">
        <v>36</v>
      </c>
      <c r="G881" s="5">
        <v>40</v>
      </c>
      <c r="H881" s="8">
        <v>44092</v>
      </c>
      <c r="I881" s="6" t="s">
        <v>49</v>
      </c>
      <c r="J881" s="6" t="s">
        <v>16</v>
      </c>
    </row>
    <row r="882" spans="1:10" x14ac:dyDescent="0.3">
      <c r="A882" s="6" t="s">
        <v>926</v>
      </c>
      <c r="B882" s="6" t="s">
        <v>24</v>
      </c>
      <c r="C882" s="7">
        <v>31</v>
      </c>
      <c r="D882" s="5" t="s">
        <v>18</v>
      </c>
      <c r="E882" s="6" t="s">
        <v>19</v>
      </c>
      <c r="F882" s="6" t="s">
        <v>20</v>
      </c>
      <c r="G882" s="5">
        <v>10</v>
      </c>
      <c r="H882" s="8">
        <v>44967</v>
      </c>
      <c r="I882" s="6" t="s">
        <v>21</v>
      </c>
      <c r="J882" s="6" t="s">
        <v>27</v>
      </c>
    </row>
    <row r="883" spans="1:10" x14ac:dyDescent="0.3">
      <c r="A883" s="6" t="s">
        <v>927</v>
      </c>
      <c r="B883" s="6" t="s">
        <v>42</v>
      </c>
      <c r="C883" s="7">
        <v>18</v>
      </c>
      <c r="D883" s="5" t="s">
        <v>32</v>
      </c>
      <c r="E883" s="6" t="s">
        <v>19</v>
      </c>
      <c r="F883" s="6" t="s">
        <v>64</v>
      </c>
      <c r="G883" s="5">
        <v>9</v>
      </c>
      <c r="H883" s="8">
        <v>45006</v>
      </c>
      <c r="I883" s="6" t="s">
        <v>34</v>
      </c>
      <c r="J883" s="6" t="s">
        <v>16</v>
      </c>
    </row>
    <row r="884" spans="1:10" x14ac:dyDescent="0.3">
      <c r="A884" s="6" t="s">
        <v>928</v>
      </c>
      <c r="B884" s="6" t="s">
        <v>11</v>
      </c>
      <c r="C884" s="7">
        <v>36</v>
      </c>
      <c r="D884" s="5" t="s">
        <v>12</v>
      </c>
      <c r="E884" s="6" t="s">
        <v>13</v>
      </c>
      <c r="F884" s="6" t="s">
        <v>20</v>
      </c>
      <c r="G884" s="5">
        <v>49</v>
      </c>
      <c r="H884" s="8">
        <v>43803</v>
      </c>
      <c r="I884" s="6" t="s">
        <v>15</v>
      </c>
      <c r="J884" s="6" t="s">
        <v>27</v>
      </c>
    </row>
    <row r="885" spans="1:10" x14ac:dyDescent="0.3">
      <c r="A885" s="6" t="s">
        <v>929</v>
      </c>
      <c r="B885" s="6" t="s">
        <v>24</v>
      </c>
      <c r="C885" s="7">
        <v>20</v>
      </c>
      <c r="D885" s="5" t="s">
        <v>32</v>
      </c>
      <c r="E885" s="6" t="s">
        <v>19</v>
      </c>
      <c r="F885" s="6" t="s">
        <v>36</v>
      </c>
      <c r="G885" s="5">
        <v>21</v>
      </c>
      <c r="H885" s="8">
        <v>44647</v>
      </c>
      <c r="I885" s="6" t="s">
        <v>49</v>
      </c>
      <c r="J885" s="6" t="s">
        <v>16</v>
      </c>
    </row>
    <row r="886" spans="1:10" x14ac:dyDescent="0.3">
      <c r="A886" s="6" t="s">
        <v>930</v>
      </c>
      <c r="B886" s="6" t="s">
        <v>11</v>
      </c>
      <c r="C886" s="7">
        <v>34</v>
      </c>
      <c r="D886" s="5" t="s">
        <v>18</v>
      </c>
      <c r="E886" s="6" t="s">
        <v>13</v>
      </c>
      <c r="F886" s="6" t="s">
        <v>88</v>
      </c>
      <c r="G886" s="5">
        <v>53</v>
      </c>
      <c r="H886" s="8">
        <v>43687</v>
      </c>
      <c r="I886" s="6" t="s">
        <v>39</v>
      </c>
      <c r="J886" s="6" t="s">
        <v>27</v>
      </c>
    </row>
    <row r="887" spans="1:10" x14ac:dyDescent="0.3">
      <c r="A887" s="6" t="s">
        <v>931</v>
      </c>
      <c r="B887" s="6" t="s">
        <v>42</v>
      </c>
      <c r="C887" s="7">
        <v>24</v>
      </c>
      <c r="D887" s="5" t="s">
        <v>32</v>
      </c>
      <c r="E887" s="6" t="s">
        <v>19</v>
      </c>
      <c r="F887" s="6" t="s">
        <v>25</v>
      </c>
      <c r="G887" s="5">
        <v>47</v>
      </c>
      <c r="H887" s="8">
        <v>43878</v>
      </c>
      <c r="I887" s="6" t="s">
        <v>29</v>
      </c>
      <c r="J887" s="6" t="s">
        <v>22</v>
      </c>
    </row>
    <row r="888" spans="1:10" x14ac:dyDescent="0.3">
      <c r="A888" s="6" t="s">
        <v>932</v>
      </c>
      <c r="B888" s="6" t="s">
        <v>61</v>
      </c>
      <c r="C888" s="7">
        <v>26</v>
      </c>
      <c r="D888" s="5" t="s">
        <v>18</v>
      </c>
      <c r="E888" s="6" t="s">
        <v>13</v>
      </c>
      <c r="F888" s="6" t="s">
        <v>38</v>
      </c>
      <c r="G888" s="5">
        <v>25</v>
      </c>
      <c r="H888" s="8">
        <v>44519</v>
      </c>
      <c r="I888" s="6" t="s">
        <v>34</v>
      </c>
      <c r="J888" s="6" t="s">
        <v>27</v>
      </c>
    </row>
    <row r="889" spans="1:10" x14ac:dyDescent="0.3">
      <c r="A889" s="6" t="s">
        <v>933</v>
      </c>
      <c r="B889" s="6" t="s">
        <v>61</v>
      </c>
      <c r="C889" s="7">
        <v>38</v>
      </c>
      <c r="D889" s="5" t="s">
        <v>12</v>
      </c>
      <c r="E889" s="6" t="s">
        <v>13</v>
      </c>
      <c r="F889" s="6" t="s">
        <v>33</v>
      </c>
      <c r="G889" s="5">
        <v>38</v>
      </c>
      <c r="H889" s="8">
        <v>44131</v>
      </c>
      <c r="I889" s="6" t="s">
        <v>26</v>
      </c>
      <c r="J889" s="6" t="s">
        <v>22</v>
      </c>
    </row>
    <row r="890" spans="1:10" x14ac:dyDescent="0.3">
      <c r="A890" s="6" t="s">
        <v>934</v>
      </c>
      <c r="B890" s="6" t="s">
        <v>24</v>
      </c>
      <c r="C890" s="7">
        <v>36</v>
      </c>
      <c r="D890" s="5" t="s">
        <v>12</v>
      </c>
      <c r="E890" s="6" t="s">
        <v>13</v>
      </c>
      <c r="F890" s="6" t="s">
        <v>25</v>
      </c>
      <c r="G890" s="5">
        <v>41</v>
      </c>
      <c r="H890" s="8">
        <v>44062</v>
      </c>
      <c r="I890" s="6" t="s">
        <v>34</v>
      </c>
      <c r="J890" s="6" t="s">
        <v>65</v>
      </c>
    </row>
    <row r="891" spans="1:10" x14ac:dyDescent="0.3">
      <c r="A891" s="6" t="s">
        <v>935</v>
      </c>
      <c r="B891" s="6" t="s">
        <v>31</v>
      </c>
      <c r="C891" s="7">
        <v>41</v>
      </c>
      <c r="D891" s="5" t="s">
        <v>12</v>
      </c>
      <c r="E891" s="6" t="s">
        <v>19</v>
      </c>
      <c r="F891" s="6" t="s">
        <v>64</v>
      </c>
      <c r="G891" s="5">
        <v>11</v>
      </c>
      <c r="H891" s="8">
        <v>44956</v>
      </c>
      <c r="I891" s="6" t="s">
        <v>29</v>
      </c>
      <c r="J891" s="6" t="s">
        <v>65</v>
      </c>
    </row>
    <row r="892" spans="1:10" x14ac:dyDescent="0.3">
      <c r="A892" s="6" t="s">
        <v>936</v>
      </c>
      <c r="B892" s="6" t="s">
        <v>11</v>
      </c>
      <c r="C892" s="7">
        <v>29</v>
      </c>
      <c r="D892" s="5" t="s">
        <v>18</v>
      </c>
      <c r="E892" s="6" t="s">
        <v>19</v>
      </c>
      <c r="F892" s="6" t="s">
        <v>54</v>
      </c>
      <c r="G892" s="5">
        <v>25</v>
      </c>
      <c r="H892" s="8">
        <v>44515</v>
      </c>
      <c r="I892" s="6" t="s">
        <v>21</v>
      </c>
      <c r="J892" s="6" t="s">
        <v>16</v>
      </c>
    </row>
    <row r="893" spans="1:10" x14ac:dyDescent="0.3">
      <c r="A893" s="6" t="s">
        <v>937</v>
      </c>
      <c r="B893" s="6" t="s">
        <v>61</v>
      </c>
      <c r="C893" s="7">
        <v>25</v>
      </c>
      <c r="D893" s="5" t="s">
        <v>18</v>
      </c>
      <c r="E893" s="6" t="s">
        <v>13</v>
      </c>
      <c r="F893" s="6" t="s">
        <v>14</v>
      </c>
      <c r="G893" s="5">
        <v>52</v>
      </c>
      <c r="H893" s="8">
        <v>43727</v>
      </c>
      <c r="I893" s="6" t="s">
        <v>26</v>
      </c>
      <c r="J893" s="6" t="s">
        <v>22</v>
      </c>
    </row>
    <row r="894" spans="1:10" x14ac:dyDescent="0.3">
      <c r="A894" s="6" t="s">
        <v>938</v>
      </c>
      <c r="B894" s="6" t="s">
        <v>24</v>
      </c>
      <c r="C894" s="7">
        <v>28</v>
      </c>
      <c r="D894" s="5" t="s">
        <v>18</v>
      </c>
      <c r="E894" s="6" t="s">
        <v>13</v>
      </c>
      <c r="F894" s="6" t="s">
        <v>14</v>
      </c>
      <c r="G894" s="5">
        <v>48</v>
      </c>
      <c r="H894" s="8">
        <v>43835</v>
      </c>
      <c r="I894" s="6" t="s">
        <v>49</v>
      </c>
      <c r="J894" s="6" t="s">
        <v>27</v>
      </c>
    </row>
    <row r="895" spans="1:10" x14ac:dyDescent="0.3">
      <c r="A895" s="6" t="s">
        <v>939</v>
      </c>
      <c r="B895" s="6" t="s">
        <v>31</v>
      </c>
      <c r="C895" s="7">
        <v>34</v>
      </c>
      <c r="D895" s="5" t="s">
        <v>18</v>
      </c>
      <c r="E895" s="6" t="s">
        <v>19</v>
      </c>
      <c r="F895" s="6" t="s">
        <v>38</v>
      </c>
      <c r="G895" s="5">
        <v>55</v>
      </c>
      <c r="H895" s="8">
        <v>43613</v>
      </c>
      <c r="I895" s="6" t="s">
        <v>34</v>
      </c>
      <c r="J895" s="6" t="s">
        <v>22</v>
      </c>
    </row>
    <row r="896" spans="1:10" x14ac:dyDescent="0.3">
      <c r="A896" s="6" t="s">
        <v>940</v>
      </c>
      <c r="B896" s="6" t="s">
        <v>42</v>
      </c>
      <c r="C896" s="7">
        <v>33</v>
      </c>
      <c r="D896" s="5" t="s">
        <v>18</v>
      </c>
      <c r="E896" s="6" t="s">
        <v>19</v>
      </c>
      <c r="F896" s="6" t="s">
        <v>25</v>
      </c>
      <c r="G896" s="5">
        <v>50</v>
      </c>
      <c r="H896" s="8">
        <v>43782</v>
      </c>
      <c r="I896" s="6" t="s">
        <v>47</v>
      </c>
      <c r="J896" s="6" t="s">
        <v>22</v>
      </c>
    </row>
    <row r="897" spans="1:10" x14ac:dyDescent="0.3">
      <c r="A897" s="6" t="s">
        <v>941</v>
      </c>
      <c r="B897" s="6" t="s">
        <v>11</v>
      </c>
      <c r="C897" s="7">
        <v>51</v>
      </c>
      <c r="D897" s="5" t="s">
        <v>46</v>
      </c>
      <c r="E897" s="6" t="s">
        <v>13</v>
      </c>
      <c r="F897" s="6" t="s">
        <v>54</v>
      </c>
      <c r="G897" s="5">
        <v>14</v>
      </c>
      <c r="H897" s="8">
        <v>44854</v>
      </c>
      <c r="I897" s="6" t="s">
        <v>29</v>
      </c>
      <c r="J897" s="6" t="s">
        <v>16</v>
      </c>
    </row>
    <row r="898" spans="1:10" x14ac:dyDescent="0.3">
      <c r="A898" s="6" t="s">
        <v>942</v>
      </c>
      <c r="B898" s="6" t="s">
        <v>42</v>
      </c>
      <c r="C898" s="7">
        <v>37</v>
      </c>
      <c r="D898" s="5" t="s">
        <v>12</v>
      </c>
      <c r="E898" s="6" t="s">
        <v>19</v>
      </c>
      <c r="F898" s="6" t="s">
        <v>36</v>
      </c>
      <c r="G898" s="5">
        <v>42</v>
      </c>
      <c r="H898" s="8">
        <v>44023</v>
      </c>
      <c r="I898" s="6" t="s">
        <v>39</v>
      </c>
      <c r="J898" s="6" t="s">
        <v>27</v>
      </c>
    </row>
    <row r="899" spans="1:10" x14ac:dyDescent="0.3">
      <c r="A899" s="6" t="s">
        <v>943</v>
      </c>
      <c r="B899" s="6" t="s">
        <v>11</v>
      </c>
      <c r="C899" s="7">
        <v>26</v>
      </c>
      <c r="D899" s="5" t="s">
        <v>18</v>
      </c>
      <c r="E899" s="6" t="s">
        <v>105</v>
      </c>
      <c r="F899" s="6" t="s">
        <v>38</v>
      </c>
      <c r="G899" s="5">
        <v>48</v>
      </c>
      <c r="H899" s="8">
        <v>43823</v>
      </c>
      <c r="I899" s="6" t="s">
        <v>29</v>
      </c>
      <c r="J899" s="6" t="s">
        <v>16</v>
      </c>
    </row>
    <row r="900" spans="1:10" x14ac:dyDescent="0.3">
      <c r="A900" s="6" t="s">
        <v>944</v>
      </c>
      <c r="B900" s="6" t="s">
        <v>24</v>
      </c>
      <c r="C900" s="7">
        <v>43</v>
      </c>
      <c r="D900" s="5" t="s">
        <v>12</v>
      </c>
      <c r="E900" s="6" t="s">
        <v>19</v>
      </c>
      <c r="F900" s="6" t="s">
        <v>20</v>
      </c>
      <c r="G900" s="5">
        <v>37</v>
      </c>
      <c r="H900" s="8">
        <v>44176</v>
      </c>
      <c r="I900" s="6" t="s">
        <v>47</v>
      </c>
      <c r="J900" s="6" t="s">
        <v>22</v>
      </c>
    </row>
    <row r="901" spans="1:10" x14ac:dyDescent="0.3">
      <c r="A901" s="6" t="s">
        <v>945</v>
      </c>
      <c r="B901" s="6" t="s">
        <v>24</v>
      </c>
      <c r="C901" s="7">
        <v>19</v>
      </c>
      <c r="D901" s="5" t="s">
        <v>32</v>
      </c>
      <c r="E901" s="6" t="s">
        <v>19</v>
      </c>
      <c r="F901" s="6" t="s">
        <v>36</v>
      </c>
      <c r="G901" s="5">
        <v>1</v>
      </c>
      <c r="H901" s="8">
        <v>45238</v>
      </c>
      <c r="I901" s="6" t="s">
        <v>29</v>
      </c>
      <c r="J901" s="6" t="s">
        <v>27</v>
      </c>
    </row>
    <row r="902" spans="1:10" x14ac:dyDescent="0.3">
      <c r="A902" s="6" t="s">
        <v>946</v>
      </c>
      <c r="B902" s="6" t="s">
        <v>11</v>
      </c>
      <c r="C902" s="7">
        <v>45</v>
      </c>
      <c r="D902" s="5" t="s">
        <v>46</v>
      </c>
      <c r="E902" s="6" t="s">
        <v>13</v>
      </c>
      <c r="F902" s="6" t="s">
        <v>36</v>
      </c>
      <c r="G902" s="5">
        <v>21</v>
      </c>
      <c r="H902" s="8">
        <v>44648</v>
      </c>
      <c r="I902" s="6" t="s">
        <v>26</v>
      </c>
      <c r="J902" s="6" t="s">
        <v>27</v>
      </c>
    </row>
    <row r="903" spans="1:10" x14ac:dyDescent="0.3">
      <c r="A903" s="6" t="s">
        <v>947</v>
      </c>
      <c r="B903" s="6" t="s">
        <v>61</v>
      </c>
      <c r="C903" s="7">
        <v>31</v>
      </c>
      <c r="D903" s="5" t="s">
        <v>18</v>
      </c>
      <c r="E903" s="6" t="s">
        <v>13</v>
      </c>
      <c r="F903" s="6" t="s">
        <v>36</v>
      </c>
      <c r="G903" s="5">
        <v>31</v>
      </c>
      <c r="H903" s="8">
        <v>44336</v>
      </c>
      <c r="I903" s="6" t="s">
        <v>39</v>
      </c>
      <c r="J903" s="6" t="s">
        <v>16</v>
      </c>
    </row>
    <row r="904" spans="1:10" x14ac:dyDescent="0.3">
      <c r="A904" s="6" t="s">
        <v>948</v>
      </c>
      <c r="B904" s="6" t="s">
        <v>11</v>
      </c>
      <c r="C904" s="7">
        <v>18</v>
      </c>
      <c r="D904" s="5" t="s">
        <v>32</v>
      </c>
      <c r="E904" s="6" t="s">
        <v>13</v>
      </c>
      <c r="F904" s="6" t="s">
        <v>88</v>
      </c>
      <c r="G904" s="5">
        <v>13</v>
      </c>
      <c r="H904" s="8">
        <v>44886</v>
      </c>
      <c r="I904" s="6" t="s">
        <v>15</v>
      </c>
      <c r="J904" s="6" t="s">
        <v>16</v>
      </c>
    </row>
    <row r="905" spans="1:10" x14ac:dyDescent="0.3">
      <c r="A905" s="6" t="s">
        <v>949</v>
      </c>
      <c r="B905" s="6" t="s">
        <v>11</v>
      </c>
      <c r="C905" s="7">
        <v>33</v>
      </c>
      <c r="D905" s="5" t="s">
        <v>18</v>
      </c>
      <c r="E905" s="6" t="s">
        <v>13</v>
      </c>
      <c r="F905" s="6" t="s">
        <v>64</v>
      </c>
      <c r="G905" s="5">
        <v>59</v>
      </c>
      <c r="H905" s="8">
        <v>43518</v>
      </c>
      <c r="I905" s="6" t="s">
        <v>39</v>
      </c>
      <c r="J905" s="6" t="s">
        <v>27</v>
      </c>
    </row>
    <row r="906" spans="1:10" x14ac:dyDescent="0.3">
      <c r="A906" s="6" t="s">
        <v>950</v>
      </c>
      <c r="B906" s="6" t="s">
        <v>42</v>
      </c>
      <c r="C906" s="7">
        <v>35</v>
      </c>
      <c r="D906" s="5" t="s">
        <v>12</v>
      </c>
      <c r="E906" s="6" t="s">
        <v>13</v>
      </c>
      <c r="F906" s="6" t="s">
        <v>25</v>
      </c>
      <c r="G906" s="5">
        <v>22</v>
      </c>
      <c r="H906" s="8">
        <v>44632</v>
      </c>
      <c r="I906" s="6" t="s">
        <v>39</v>
      </c>
      <c r="J906" s="6" t="s">
        <v>27</v>
      </c>
    </row>
    <row r="907" spans="1:10" x14ac:dyDescent="0.3">
      <c r="A907" s="6" t="s">
        <v>951</v>
      </c>
      <c r="B907" s="6" t="s">
        <v>24</v>
      </c>
      <c r="C907" s="7">
        <v>40</v>
      </c>
      <c r="D907" s="5" t="s">
        <v>12</v>
      </c>
      <c r="E907" s="6" t="s">
        <v>105</v>
      </c>
      <c r="F907" s="6" t="s">
        <v>38</v>
      </c>
      <c r="G907" s="5">
        <v>2</v>
      </c>
      <c r="H907" s="8">
        <v>45226</v>
      </c>
      <c r="I907" s="6" t="s">
        <v>26</v>
      </c>
      <c r="J907" s="6" t="s">
        <v>27</v>
      </c>
    </row>
    <row r="908" spans="1:10" x14ac:dyDescent="0.3">
      <c r="A908" s="6" t="s">
        <v>952</v>
      </c>
      <c r="B908" s="6" t="s">
        <v>24</v>
      </c>
      <c r="C908" s="7">
        <v>26</v>
      </c>
      <c r="D908" s="5" t="s">
        <v>18</v>
      </c>
      <c r="E908" s="6" t="s">
        <v>13</v>
      </c>
      <c r="F908" s="6" t="s">
        <v>54</v>
      </c>
      <c r="G908" s="5">
        <v>22</v>
      </c>
      <c r="H908" s="8">
        <v>44603</v>
      </c>
      <c r="I908" s="6" t="s">
        <v>15</v>
      </c>
      <c r="J908" s="6" t="s">
        <v>22</v>
      </c>
    </row>
    <row r="909" spans="1:10" x14ac:dyDescent="0.3">
      <c r="A909" s="6" t="s">
        <v>953</v>
      </c>
      <c r="B909" s="6" t="s">
        <v>11</v>
      </c>
      <c r="C909" s="7">
        <v>31</v>
      </c>
      <c r="D909" s="5" t="s">
        <v>18</v>
      </c>
      <c r="E909" s="6" t="s">
        <v>13</v>
      </c>
      <c r="F909" s="6" t="s">
        <v>36</v>
      </c>
      <c r="G909" s="5">
        <v>32</v>
      </c>
      <c r="H909" s="8">
        <v>44315</v>
      </c>
      <c r="I909" s="6" t="s">
        <v>21</v>
      </c>
      <c r="J909" s="6" t="s">
        <v>16</v>
      </c>
    </row>
    <row r="910" spans="1:10" x14ac:dyDescent="0.3">
      <c r="A910" s="6" t="s">
        <v>954</v>
      </c>
      <c r="B910" s="6" t="s">
        <v>11</v>
      </c>
      <c r="C910" s="7">
        <v>33</v>
      </c>
      <c r="D910" s="5" t="s">
        <v>18</v>
      </c>
      <c r="E910" s="6" t="s">
        <v>19</v>
      </c>
      <c r="F910" s="6" t="s">
        <v>14</v>
      </c>
      <c r="G910" s="5">
        <v>22</v>
      </c>
      <c r="H910" s="8">
        <v>44607</v>
      </c>
      <c r="I910" s="6" t="s">
        <v>26</v>
      </c>
      <c r="J910" s="6" t="s">
        <v>65</v>
      </c>
    </row>
    <row r="911" spans="1:10" x14ac:dyDescent="0.3">
      <c r="A911" s="6" t="s">
        <v>955</v>
      </c>
      <c r="B911" s="6" t="s">
        <v>24</v>
      </c>
      <c r="C911" s="7">
        <v>18</v>
      </c>
      <c r="D911" s="5" t="s">
        <v>32</v>
      </c>
      <c r="E911" s="6" t="s">
        <v>19</v>
      </c>
      <c r="F911" s="6" t="s">
        <v>20</v>
      </c>
      <c r="G911" s="5">
        <v>54</v>
      </c>
      <c r="H911" s="8">
        <v>43643</v>
      </c>
      <c r="I911" s="6" t="s">
        <v>49</v>
      </c>
      <c r="J911" s="6" t="s">
        <v>27</v>
      </c>
    </row>
    <row r="912" spans="1:10" x14ac:dyDescent="0.3">
      <c r="A912" s="6" t="s">
        <v>956</v>
      </c>
      <c r="B912" s="6" t="s">
        <v>31</v>
      </c>
      <c r="C912" s="7">
        <v>31</v>
      </c>
      <c r="D912" s="5" t="s">
        <v>18</v>
      </c>
      <c r="E912" s="6" t="s">
        <v>19</v>
      </c>
      <c r="F912" s="6" t="s">
        <v>33</v>
      </c>
      <c r="G912" s="5">
        <v>11</v>
      </c>
      <c r="H912" s="8">
        <v>44941</v>
      </c>
      <c r="I912" s="6" t="s">
        <v>26</v>
      </c>
      <c r="J912" s="6" t="s">
        <v>22</v>
      </c>
    </row>
    <row r="913" spans="1:10" x14ac:dyDescent="0.3">
      <c r="A913" s="6" t="s">
        <v>957</v>
      </c>
      <c r="B913" s="6" t="s">
        <v>24</v>
      </c>
      <c r="C913" s="7">
        <v>30</v>
      </c>
      <c r="D913" s="5" t="s">
        <v>18</v>
      </c>
      <c r="E913" s="6" t="s">
        <v>13</v>
      </c>
      <c r="F913" s="6" t="s">
        <v>54</v>
      </c>
      <c r="G913" s="5">
        <v>22</v>
      </c>
      <c r="H913" s="8">
        <v>44617</v>
      </c>
      <c r="I913" s="6" t="s">
        <v>49</v>
      </c>
      <c r="J913" s="6" t="s">
        <v>27</v>
      </c>
    </row>
    <row r="914" spans="1:10" x14ac:dyDescent="0.3">
      <c r="A914" s="6" t="s">
        <v>958</v>
      </c>
      <c r="B914" s="6" t="s">
        <v>31</v>
      </c>
      <c r="C914" s="7">
        <v>38</v>
      </c>
      <c r="D914" s="5" t="s">
        <v>12</v>
      </c>
      <c r="E914" s="6" t="s">
        <v>19</v>
      </c>
      <c r="F914" s="6" t="s">
        <v>54</v>
      </c>
      <c r="G914" s="5">
        <v>34</v>
      </c>
      <c r="H914" s="8">
        <v>44245</v>
      </c>
      <c r="I914" s="6" t="s">
        <v>29</v>
      </c>
      <c r="J914" s="6" t="s">
        <v>65</v>
      </c>
    </row>
    <row r="915" spans="1:10" x14ac:dyDescent="0.3">
      <c r="A915" s="6" t="s">
        <v>959</v>
      </c>
      <c r="B915" s="6" t="s">
        <v>42</v>
      </c>
      <c r="C915" s="7">
        <v>34</v>
      </c>
      <c r="D915" s="5" t="s">
        <v>18</v>
      </c>
      <c r="E915" s="6" t="s">
        <v>13</v>
      </c>
      <c r="F915" s="6" t="s">
        <v>33</v>
      </c>
      <c r="G915" s="5">
        <v>5</v>
      </c>
      <c r="H915" s="8">
        <v>45135</v>
      </c>
      <c r="I915" s="6" t="s">
        <v>62</v>
      </c>
      <c r="J915" s="6" t="s">
        <v>27</v>
      </c>
    </row>
    <row r="916" spans="1:10" x14ac:dyDescent="0.3">
      <c r="A916" s="6" t="s">
        <v>960</v>
      </c>
      <c r="B916" s="6" t="s">
        <v>31</v>
      </c>
      <c r="C916" s="7">
        <v>36</v>
      </c>
      <c r="D916" s="5" t="s">
        <v>12</v>
      </c>
      <c r="E916" s="6" t="s">
        <v>19</v>
      </c>
      <c r="F916" s="6" t="s">
        <v>33</v>
      </c>
      <c r="G916" s="5">
        <v>2</v>
      </c>
      <c r="H916" s="8">
        <v>45213</v>
      </c>
      <c r="I916" s="6" t="s">
        <v>47</v>
      </c>
      <c r="J916" s="6" t="s">
        <v>27</v>
      </c>
    </row>
    <row r="917" spans="1:10" x14ac:dyDescent="0.3">
      <c r="A917" s="6" t="s">
        <v>961</v>
      </c>
      <c r="B917" s="6" t="s">
        <v>11</v>
      </c>
      <c r="C917" s="7">
        <v>20</v>
      </c>
      <c r="D917" s="5" t="s">
        <v>32</v>
      </c>
      <c r="E917" s="6" t="s">
        <v>13</v>
      </c>
      <c r="F917" s="6" t="s">
        <v>14</v>
      </c>
      <c r="G917" s="5">
        <v>34</v>
      </c>
      <c r="H917" s="8">
        <v>44254</v>
      </c>
      <c r="I917" s="6" t="s">
        <v>47</v>
      </c>
      <c r="J917" s="6" t="s">
        <v>22</v>
      </c>
    </row>
    <row r="918" spans="1:10" x14ac:dyDescent="0.3">
      <c r="A918" s="6" t="s">
        <v>962</v>
      </c>
      <c r="B918" s="6" t="s">
        <v>24</v>
      </c>
      <c r="C918" s="7">
        <v>18</v>
      </c>
      <c r="D918" s="5" t="s">
        <v>32</v>
      </c>
      <c r="E918" s="6" t="s">
        <v>19</v>
      </c>
      <c r="F918" s="6" t="s">
        <v>64</v>
      </c>
      <c r="G918" s="5">
        <v>15</v>
      </c>
      <c r="H918" s="8">
        <v>44827</v>
      </c>
      <c r="I918" s="6" t="s">
        <v>39</v>
      </c>
      <c r="J918" s="6" t="s">
        <v>27</v>
      </c>
    </row>
    <row r="919" spans="1:10" x14ac:dyDescent="0.3">
      <c r="A919" s="6" t="s">
        <v>963</v>
      </c>
      <c r="B919" s="6" t="s">
        <v>31</v>
      </c>
      <c r="C919" s="7">
        <v>47</v>
      </c>
      <c r="D919" s="5" t="s">
        <v>46</v>
      </c>
      <c r="E919" s="6" t="s">
        <v>19</v>
      </c>
      <c r="F919" s="6" t="s">
        <v>64</v>
      </c>
      <c r="G919" s="5">
        <v>9</v>
      </c>
      <c r="H919" s="8">
        <v>45018</v>
      </c>
      <c r="I919" s="6" t="s">
        <v>21</v>
      </c>
      <c r="J919" s="6" t="s">
        <v>27</v>
      </c>
    </row>
    <row r="920" spans="1:10" x14ac:dyDescent="0.3">
      <c r="A920" s="6" t="s">
        <v>964</v>
      </c>
      <c r="B920" s="6" t="s">
        <v>42</v>
      </c>
      <c r="C920" s="7">
        <v>41</v>
      </c>
      <c r="D920" s="5" t="s">
        <v>12</v>
      </c>
      <c r="E920" s="6" t="s">
        <v>13</v>
      </c>
      <c r="F920" s="6" t="s">
        <v>88</v>
      </c>
      <c r="G920" s="5">
        <v>51</v>
      </c>
      <c r="H920" s="8">
        <v>43756</v>
      </c>
      <c r="I920" s="6" t="s">
        <v>21</v>
      </c>
      <c r="J920" s="6" t="s">
        <v>22</v>
      </c>
    </row>
    <row r="921" spans="1:10" x14ac:dyDescent="0.3">
      <c r="A921" s="6" t="s">
        <v>965</v>
      </c>
      <c r="B921" s="6" t="s">
        <v>24</v>
      </c>
      <c r="C921" s="7">
        <v>18</v>
      </c>
      <c r="D921" s="5" t="s">
        <v>32</v>
      </c>
      <c r="E921" s="6" t="s">
        <v>13</v>
      </c>
      <c r="F921" s="6" t="s">
        <v>20</v>
      </c>
      <c r="G921" s="5">
        <v>57</v>
      </c>
      <c r="H921" s="8">
        <v>43564</v>
      </c>
      <c r="I921" s="6" t="s">
        <v>39</v>
      </c>
      <c r="J921" s="6" t="s">
        <v>22</v>
      </c>
    </row>
    <row r="922" spans="1:10" x14ac:dyDescent="0.3">
      <c r="A922" s="6" t="s">
        <v>966</v>
      </c>
      <c r="B922" s="6" t="s">
        <v>11</v>
      </c>
      <c r="C922" s="7">
        <v>27</v>
      </c>
      <c r="D922" s="5" t="s">
        <v>18</v>
      </c>
      <c r="E922" s="6" t="s">
        <v>19</v>
      </c>
      <c r="F922" s="6" t="s">
        <v>20</v>
      </c>
      <c r="G922" s="5">
        <v>6</v>
      </c>
      <c r="H922" s="8">
        <v>45103</v>
      </c>
      <c r="I922" s="6" t="s">
        <v>29</v>
      </c>
      <c r="J922" s="6" t="s">
        <v>22</v>
      </c>
    </row>
    <row r="923" spans="1:10" x14ac:dyDescent="0.3">
      <c r="A923" s="6" t="s">
        <v>967</v>
      </c>
      <c r="B923" s="6" t="s">
        <v>31</v>
      </c>
      <c r="C923" s="7">
        <v>34</v>
      </c>
      <c r="D923" s="5" t="s">
        <v>18</v>
      </c>
      <c r="E923" s="6" t="s">
        <v>13</v>
      </c>
      <c r="F923" s="6" t="s">
        <v>20</v>
      </c>
      <c r="G923" s="5">
        <v>29</v>
      </c>
      <c r="H923" s="8">
        <v>44396</v>
      </c>
      <c r="I923" s="6" t="s">
        <v>34</v>
      </c>
      <c r="J923" s="6" t="s">
        <v>16</v>
      </c>
    </row>
    <row r="924" spans="1:10" x14ac:dyDescent="0.3">
      <c r="A924" s="6" t="s">
        <v>968</v>
      </c>
      <c r="B924" s="6" t="s">
        <v>61</v>
      </c>
      <c r="C924" s="7">
        <v>24</v>
      </c>
      <c r="D924" s="5" t="s">
        <v>32</v>
      </c>
      <c r="E924" s="6" t="s">
        <v>13</v>
      </c>
      <c r="F924" s="6" t="s">
        <v>25</v>
      </c>
      <c r="G924" s="5">
        <v>33</v>
      </c>
      <c r="H924" s="8">
        <v>44287</v>
      </c>
      <c r="I924" s="6" t="s">
        <v>39</v>
      </c>
      <c r="J924" s="6" t="s">
        <v>16</v>
      </c>
    </row>
    <row r="925" spans="1:10" x14ac:dyDescent="0.3">
      <c r="A925" s="6" t="s">
        <v>969</v>
      </c>
      <c r="B925" s="6" t="s">
        <v>31</v>
      </c>
      <c r="C925" s="7">
        <v>33</v>
      </c>
      <c r="D925" s="5" t="s">
        <v>18</v>
      </c>
      <c r="E925" s="6" t="s">
        <v>13</v>
      </c>
      <c r="F925" s="6" t="s">
        <v>64</v>
      </c>
      <c r="G925" s="5">
        <v>3</v>
      </c>
      <c r="H925" s="8">
        <v>45201</v>
      </c>
      <c r="I925" s="6" t="s">
        <v>47</v>
      </c>
      <c r="J925" s="6" t="s">
        <v>27</v>
      </c>
    </row>
    <row r="926" spans="1:10" x14ac:dyDescent="0.3">
      <c r="A926" s="6" t="s">
        <v>970</v>
      </c>
      <c r="B926" s="6" t="s">
        <v>11</v>
      </c>
      <c r="C926" s="7">
        <v>18</v>
      </c>
      <c r="D926" s="5" t="s">
        <v>32</v>
      </c>
      <c r="E926" s="6" t="s">
        <v>13</v>
      </c>
      <c r="F926" s="6" t="s">
        <v>14</v>
      </c>
      <c r="G926" s="5">
        <v>2</v>
      </c>
      <c r="H926" s="8">
        <v>45213</v>
      </c>
      <c r="I926" s="6" t="s">
        <v>21</v>
      </c>
      <c r="J926" s="6" t="s">
        <v>65</v>
      </c>
    </row>
    <row r="927" spans="1:10" x14ac:dyDescent="0.3">
      <c r="A927" s="6" t="s">
        <v>971</v>
      </c>
      <c r="B927" s="6" t="s">
        <v>24</v>
      </c>
      <c r="C927" s="7">
        <v>34</v>
      </c>
      <c r="D927" s="5" t="s">
        <v>18</v>
      </c>
      <c r="E927" s="6" t="s">
        <v>13</v>
      </c>
      <c r="F927" s="6" t="s">
        <v>25</v>
      </c>
      <c r="G927" s="5">
        <v>20</v>
      </c>
      <c r="H927" s="8">
        <v>44676</v>
      </c>
      <c r="I927" s="6" t="s">
        <v>34</v>
      </c>
      <c r="J927" s="6" t="s">
        <v>16</v>
      </c>
    </row>
    <row r="928" spans="1:10" x14ac:dyDescent="0.3">
      <c r="A928" s="6" t="s">
        <v>972</v>
      </c>
      <c r="B928" s="6" t="s">
        <v>24</v>
      </c>
      <c r="C928" s="7">
        <v>33</v>
      </c>
      <c r="D928" s="5" t="s">
        <v>18</v>
      </c>
      <c r="E928" s="6" t="s">
        <v>19</v>
      </c>
      <c r="F928" s="6" t="s">
        <v>56</v>
      </c>
      <c r="G928" s="5">
        <v>32</v>
      </c>
      <c r="H928" s="8">
        <v>44305</v>
      </c>
      <c r="I928" s="6" t="s">
        <v>34</v>
      </c>
      <c r="J928" s="6" t="s">
        <v>22</v>
      </c>
    </row>
    <row r="929" spans="1:10" x14ac:dyDescent="0.3">
      <c r="A929" s="6" t="s">
        <v>973</v>
      </c>
      <c r="B929" s="6" t="s">
        <v>11</v>
      </c>
      <c r="C929" s="7">
        <v>29</v>
      </c>
      <c r="D929" s="5" t="s">
        <v>18</v>
      </c>
      <c r="E929" s="6" t="s">
        <v>13</v>
      </c>
      <c r="F929" s="6" t="s">
        <v>33</v>
      </c>
      <c r="G929" s="5">
        <v>59</v>
      </c>
      <c r="H929" s="8">
        <v>43498</v>
      </c>
      <c r="I929" s="6" t="s">
        <v>39</v>
      </c>
      <c r="J929" s="6" t="s">
        <v>22</v>
      </c>
    </row>
    <row r="930" spans="1:10" x14ac:dyDescent="0.3">
      <c r="A930" s="6" t="s">
        <v>974</v>
      </c>
      <c r="B930" s="6" t="s">
        <v>42</v>
      </c>
      <c r="C930" s="7">
        <v>32</v>
      </c>
      <c r="D930" s="5" t="s">
        <v>18</v>
      </c>
      <c r="E930" s="6" t="s">
        <v>19</v>
      </c>
      <c r="F930" s="6" t="s">
        <v>64</v>
      </c>
      <c r="G930" s="5">
        <v>6</v>
      </c>
      <c r="H930" s="8">
        <v>45095</v>
      </c>
      <c r="I930" s="6" t="s">
        <v>49</v>
      </c>
      <c r="J930" s="6" t="s">
        <v>22</v>
      </c>
    </row>
    <row r="931" spans="1:10" x14ac:dyDescent="0.3">
      <c r="A931" s="6" t="s">
        <v>975</v>
      </c>
      <c r="B931" s="6" t="s">
        <v>11</v>
      </c>
      <c r="C931" s="7">
        <v>51</v>
      </c>
      <c r="D931" s="5" t="s">
        <v>46</v>
      </c>
      <c r="E931" s="6" t="s">
        <v>13</v>
      </c>
      <c r="F931" s="6" t="s">
        <v>38</v>
      </c>
      <c r="G931" s="5">
        <v>23</v>
      </c>
      <c r="H931" s="8">
        <v>44596</v>
      </c>
      <c r="I931" s="6" t="s">
        <v>34</v>
      </c>
      <c r="J931" s="6" t="s">
        <v>27</v>
      </c>
    </row>
    <row r="932" spans="1:10" x14ac:dyDescent="0.3">
      <c r="A932" s="6" t="s">
        <v>976</v>
      </c>
      <c r="B932" s="6" t="s">
        <v>11</v>
      </c>
      <c r="C932" s="7">
        <v>30</v>
      </c>
      <c r="D932" s="5" t="s">
        <v>18</v>
      </c>
      <c r="E932" s="6" t="s">
        <v>19</v>
      </c>
      <c r="F932" s="6" t="s">
        <v>25</v>
      </c>
      <c r="G932" s="5">
        <v>55</v>
      </c>
      <c r="H932" s="8">
        <v>43637</v>
      </c>
      <c r="I932" s="6" t="s">
        <v>62</v>
      </c>
      <c r="J932" s="6" t="s">
        <v>22</v>
      </c>
    </row>
    <row r="933" spans="1:10" x14ac:dyDescent="0.3">
      <c r="A933" s="6" t="s">
        <v>977</v>
      </c>
      <c r="B933" s="6" t="s">
        <v>42</v>
      </c>
      <c r="C933" s="7">
        <v>28</v>
      </c>
      <c r="D933" s="5" t="s">
        <v>18</v>
      </c>
      <c r="E933" s="6" t="s">
        <v>13</v>
      </c>
      <c r="F933" s="6" t="s">
        <v>25</v>
      </c>
      <c r="G933" s="5">
        <v>21</v>
      </c>
      <c r="H933" s="8">
        <v>44657</v>
      </c>
      <c r="I933" s="6" t="s">
        <v>29</v>
      </c>
      <c r="J933" s="6" t="s">
        <v>16</v>
      </c>
    </row>
    <row r="934" spans="1:10" x14ac:dyDescent="0.3">
      <c r="A934" s="6" t="s">
        <v>978</v>
      </c>
      <c r="B934" s="6" t="s">
        <v>24</v>
      </c>
      <c r="C934" s="7">
        <v>30</v>
      </c>
      <c r="D934" s="5" t="s">
        <v>18</v>
      </c>
      <c r="E934" s="6" t="s">
        <v>13</v>
      </c>
      <c r="F934" s="6" t="s">
        <v>14</v>
      </c>
      <c r="G934" s="5">
        <v>30</v>
      </c>
      <c r="H934" s="8">
        <v>44385</v>
      </c>
      <c r="I934" s="6" t="s">
        <v>26</v>
      </c>
      <c r="J934" s="6" t="s">
        <v>27</v>
      </c>
    </row>
    <row r="935" spans="1:10" x14ac:dyDescent="0.3">
      <c r="A935" s="6" t="s">
        <v>979</v>
      </c>
      <c r="B935" s="6" t="s">
        <v>11</v>
      </c>
      <c r="C935" s="7">
        <v>35</v>
      </c>
      <c r="D935" s="5" t="s">
        <v>12</v>
      </c>
      <c r="E935" s="6" t="s">
        <v>13</v>
      </c>
      <c r="F935" s="6" t="s">
        <v>88</v>
      </c>
      <c r="G935" s="5">
        <v>43</v>
      </c>
      <c r="H935" s="8">
        <v>43992</v>
      </c>
      <c r="I935" s="6" t="s">
        <v>34</v>
      </c>
      <c r="J935" s="6" t="s">
        <v>65</v>
      </c>
    </row>
    <row r="936" spans="1:10" x14ac:dyDescent="0.3">
      <c r="A936" s="6" t="s">
        <v>980</v>
      </c>
      <c r="B936" s="6" t="s">
        <v>11</v>
      </c>
      <c r="C936" s="7">
        <v>28</v>
      </c>
      <c r="D936" s="5" t="s">
        <v>18</v>
      </c>
      <c r="E936" s="6" t="s">
        <v>19</v>
      </c>
      <c r="F936" s="6" t="s">
        <v>38</v>
      </c>
      <c r="G936" s="5">
        <v>32</v>
      </c>
      <c r="H936" s="8">
        <v>44331</v>
      </c>
      <c r="I936" s="6" t="s">
        <v>49</v>
      </c>
      <c r="J936" s="6" t="s">
        <v>22</v>
      </c>
    </row>
    <row r="937" spans="1:10" x14ac:dyDescent="0.3">
      <c r="A937" s="6" t="s">
        <v>981</v>
      </c>
      <c r="B937" s="6" t="s">
        <v>42</v>
      </c>
      <c r="C937" s="7">
        <v>18</v>
      </c>
      <c r="D937" s="5" t="s">
        <v>32</v>
      </c>
      <c r="E937" s="6" t="s">
        <v>19</v>
      </c>
      <c r="F937" s="6" t="s">
        <v>33</v>
      </c>
      <c r="G937" s="5">
        <v>31</v>
      </c>
      <c r="H937" s="8">
        <v>44352</v>
      </c>
      <c r="I937" s="6" t="s">
        <v>29</v>
      </c>
      <c r="J937" s="6" t="s">
        <v>27</v>
      </c>
    </row>
    <row r="938" spans="1:10" x14ac:dyDescent="0.3">
      <c r="A938" s="6" t="s">
        <v>982</v>
      </c>
      <c r="B938" s="6" t="s">
        <v>31</v>
      </c>
      <c r="C938" s="7">
        <v>31</v>
      </c>
      <c r="D938" s="5" t="s">
        <v>18</v>
      </c>
      <c r="E938" s="6" t="s">
        <v>13</v>
      </c>
      <c r="F938" s="6" t="s">
        <v>54</v>
      </c>
      <c r="G938" s="5">
        <v>3</v>
      </c>
      <c r="H938" s="8">
        <v>45181</v>
      </c>
      <c r="I938" s="6" t="s">
        <v>21</v>
      </c>
      <c r="J938" s="6" t="s">
        <v>27</v>
      </c>
    </row>
    <row r="939" spans="1:10" x14ac:dyDescent="0.3">
      <c r="A939" s="6" t="s">
        <v>983</v>
      </c>
      <c r="B939" s="6" t="s">
        <v>61</v>
      </c>
      <c r="C939" s="7">
        <v>30</v>
      </c>
      <c r="D939" s="5" t="s">
        <v>18</v>
      </c>
      <c r="E939" s="6" t="s">
        <v>19</v>
      </c>
      <c r="F939" s="6" t="s">
        <v>25</v>
      </c>
      <c r="G939" s="5">
        <v>21</v>
      </c>
      <c r="H939" s="8">
        <v>44643</v>
      </c>
      <c r="I939" s="6" t="s">
        <v>39</v>
      </c>
      <c r="J939" s="6" t="s">
        <v>16</v>
      </c>
    </row>
    <row r="940" spans="1:10" x14ac:dyDescent="0.3">
      <c r="A940" s="6" t="s">
        <v>984</v>
      </c>
      <c r="B940" s="6" t="s">
        <v>61</v>
      </c>
      <c r="C940" s="7">
        <v>24</v>
      </c>
      <c r="D940" s="5" t="s">
        <v>32</v>
      </c>
      <c r="E940" s="6" t="s">
        <v>19</v>
      </c>
      <c r="F940" s="6" t="s">
        <v>36</v>
      </c>
      <c r="G940" s="5">
        <v>34</v>
      </c>
      <c r="H940" s="8">
        <v>44246</v>
      </c>
      <c r="I940" s="6" t="s">
        <v>34</v>
      </c>
      <c r="J940" s="6" t="s">
        <v>22</v>
      </c>
    </row>
    <row r="941" spans="1:10" x14ac:dyDescent="0.3">
      <c r="A941" s="6" t="s">
        <v>985</v>
      </c>
      <c r="B941" s="6" t="s">
        <v>24</v>
      </c>
      <c r="C941" s="7">
        <v>45</v>
      </c>
      <c r="D941" s="5" t="s">
        <v>46</v>
      </c>
      <c r="E941" s="6" t="s">
        <v>13</v>
      </c>
      <c r="F941" s="6" t="s">
        <v>14</v>
      </c>
      <c r="G941" s="5">
        <v>46</v>
      </c>
      <c r="H941" s="8">
        <v>43901</v>
      </c>
      <c r="I941" s="6" t="s">
        <v>34</v>
      </c>
      <c r="J941" s="6" t="s">
        <v>27</v>
      </c>
    </row>
    <row r="942" spans="1:10" x14ac:dyDescent="0.3">
      <c r="A942" s="6" t="s">
        <v>986</v>
      </c>
      <c r="B942" s="6" t="s">
        <v>61</v>
      </c>
      <c r="C942" s="7">
        <v>36</v>
      </c>
      <c r="D942" s="5" t="s">
        <v>12</v>
      </c>
      <c r="E942" s="6" t="s">
        <v>13</v>
      </c>
      <c r="F942" s="6" t="s">
        <v>14</v>
      </c>
      <c r="G942" s="5">
        <v>33</v>
      </c>
      <c r="H942" s="8">
        <v>44284</v>
      </c>
      <c r="I942" s="6" t="s">
        <v>29</v>
      </c>
      <c r="J942" s="6" t="s">
        <v>65</v>
      </c>
    </row>
    <row r="943" spans="1:10" x14ac:dyDescent="0.3">
      <c r="A943" s="6" t="s">
        <v>987</v>
      </c>
      <c r="B943" s="6" t="s">
        <v>42</v>
      </c>
      <c r="C943" s="7">
        <v>35</v>
      </c>
      <c r="D943" s="5" t="s">
        <v>12</v>
      </c>
      <c r="E943" s="6" t="s">
        <v>13</v>
      </c>
      <c r="F943" s="6" t="s">
        <v>14</v>
      </c>
      <c r="G943" s="5">
        <v>40</v>
      </c>
      <c r="H943" s="8">
        <v>44063</v>
      </c>
      <c r="I943" s="6" t="s">
        <v>62</v>
      </c>
      <c r="J943" s="6" t="s">
        <v>16</v>
      </c>
    </row>
    <row r="944" spans="1:10" x14ac:dyDescent="0.3">
      <c r="A944" s="6" t="s">
        <v>988</v>
      </c>
      <c r="B944" s="6" t="s">
        <v>31</v>
      </c>
      <c r="C944" s="7">
        <v>37</v>
      </c>
      <c r="D944" s="5" t="s">
        <v>12</v>
      </c>
      <c r="E944" s="6" t="s">
        <v>19</v>
      </c>
      <c r="F944" s="6" t="s">
        <v>33</v>
      </c>
      <c r="G944" s="5">
        <v>59</v>
      </c>
      <c r="H944" s="8">
        <v>43504</v>
      </c>
      <c r="I944" s="6" t="s">
        <v>29</v>
      </c>
      <c r="J944" s="6" t="s">
        <v>16</v>
      </c>
    </row>
    <row r="945" spans="1:10" x14ac:dyDescent="0.3">
      <c r="A945" s="6" t="s">
        <v>989</v>
      </c>
      <c r="B945" s="6" t="s">
        <v>42</v>
      </c>
      <c r="C945" s="7">
        <v>25</v>
      </c>
      <c r="D945" s="5" t="s">
        <v>18</v>
      </c>
      <c r="E945" s="6" t="s">
        <v>13</v>
      </c>
      <c r="F945" s="6" t="s">
        <v>20</v>
      </c>
      <c r="G945" s="5">
        <v>57</v>
      </c>
      <c r="H945" s="8">
        <v>43567</v>
      </c>
      <c r="I945" s="6" t="s">
        <v>21</v>
      </c>
      <c r="J945" s="6" t="s">
        <v>27</v>
      </c>
    </row>
    <row r="946" spans="1:10" x14ac:dyDescent="0.3">
      <c r="A946" s="6" t="s">
        <v>990</v>
      </c>
      <c r="B946" s="6" t="s">
        <v>11</v>
      </c>
      <c r="C946" s="7">
        <v>20</v>
      </c>
      <c r="D946" s="5" t="s">
        <v>32</v>
      </c>
      <c r="E946" s="6" t="s">
        <v>13</v>
      </c>
      <c r="F946" s="6" t="s">
        <v>88</v>
      </c>
      <c r="G946" s="5">
        <v>54</v>
      </c>
      <c r="H946" s="8">
        <v>43644</v>
      </c>
      <c r="I946" s="6" t="s">
        <v>62</v>
      </c>
      <c r="J946" s="6" t="s">
        <v>22</v>
      </c>
    </row>
    <row r="947" spans="1:10" x14ac:dyDescent="0.3">
      <c r="A947" s="6" t="s">
        <v>991</v>
      </c>
      <c r="B947" s="6" t="s">
        <v>31</v>
      </c>
      <c r="C947" s="7">
        <v>18</v>
      </c>
      <c r="D947" s="5" t="s">
        <v>32</v>
      </c>
      <c r="E947" s="6" t="s">
        <v>19</v>
      </c>
      <c r="F947" s="6" t="s">
        <v>54</v>
      </c>
      <c r="G947" s="5">
        <v>53</v>
      </c>
      <c r="H947" s="8">
        <v>43680</v>
      </c>
      <c r="I947" s="6" t="s">
        <v>47</v>
      </c>
      <c r="J947" s="6" t="s">
        <v>27</v>
      </c>
    </row>
    <row r="948" spans="1:10" x14ac:dyDescent="0.3">
      <c r="A948" s="6" t="s">
        <v>992</v>
      </c>
      <c r="B948" s="6" t="s">
        <v>24</v>
      </c>
      <c r="C948" s="7">
        <v>18</v>
      </c>
      <c r="D948" s="5" t="s">
        <v>32</v>
      </c>
      <c r="E948" s="6" t="s">
        <v>13</v>
      </c>
      <c r="F948" s="6" t="s">
        <v>88</v>
      </c>
      <c r="G948" s="5">
        <v>48</v>
      </c>
      <c r="H948" s="8">
        <v>43839</v>
      </c>
      <c r="I948" s="6" t="s">
        <v>62</v>
      </c>
      <c r="J948" s="6" t="s">
        <v>65</v>
      </c>
    </row>
    <row r="949" spans="1:10" x14ac:dyDescent="0.3">
      <c r="A949" s="6" t="s">
        <v>993</v>
      </c>
      <c r="B949" s="6" t="s">
        <v>31</v>
      </c>
      <c r="C949" s="7">
        <v>41</v>
      </c>
      <c r="D949" s="5" t="s">
        <v>12</v>
      </c>
      <c r="E949" s="6" t="s">
        <v>19</v>
      </c>
      <c r="F949" s="6" t="s">
        <v>14</v>
      </c>
      <c r="G949" s="5">
        <v>60</v>
      </c>
      <c r="H949" s="8">
        <v>43471</v>
      </c>
      <c r="I949" s="6" t="s">
        <v>21</v>
      </c>
      <c r="J949" s="6" t="s">
        <v>27</v>
      </c>
    </row>
    <row r="950" spans="1:10" x14ac:dyDescent="0.3">
      <c r="A950" s="6" t="s">
        <v>994</v>
      </c>
      <c r="B950" s="6" t="s">
        <v>31</v>
      </c>
      <c r="C950" s="7">
        <v>45</v>
      </c>
      <c r="D950" s="5" t="s">
        <v>46</v>
      </c>
      <c r="E950" s="6" t="s">
        <v>19</v>
      </c>
      <c r="F950" s="6" t="s">
        <v>20</v>
      </c>
      <c r="G950" s="5">
        <v>53</v>
      </c>
      <c r="H950" s="8">
        <v>43689</v>
      </c>
      <c r="I950" s="6" t="s">
        <v>39</v>
      </c>
      <c r="J950" s="6" t="s">
        <v>22</v>
      </c>
    </row>
    <row r="951" spans="1:10" x14ac:dyDescent="0.3">
      <c r="A951" s="6" t="s">
        <v>995</v>
      </c>
      <c r="B951" s="6" t="s">
        <v>11</v>
      </c>
      <c r="C951" s="7">
        <v>39</v>
      </c>
      <c r="D951" s="5" t="s">
        <v>12</v>
      </c>
      <c r="E951" s="6" t="s">
        <v>19</v>
      </c>
      <c r="F951" s="6" t="s">
        <v>20</v>
      </c>
      <c r="G951" s="5">
        <v>15</v>
      </c>
      <c r="H951" s="8">
        <v>44841</v>
      </c>
      <c r="I951" s="6" t="s">
        <v>34</v>
      </c>
      <c r="J951" s="6" t="s">
        <v>16</v>
      </c>
    </row>
    <row r="952" spans="1:10" x14ac:dyDescent="0.3">
      <c r="A952" s="6" t="s">
        <v>996</v>
      </c>
      <c r="B952" s="6" t="s">
        <v>31</v>
      </c>
      <c r="C952" s="7">
        <v>28</v>
      </c>
      <c r="D952" s="5" t="s">
        <v>18</v>
      </c>
      <c r="E952" s="6" t="s">
        <v>13</v>
      </c>
      <c r="F952" s="6" t="s">
        <v>64</v>
      </c>
      <c r="G952" s="5">
        <v>56</v>
      </c>
      <c r="H952" s="8">
        <v>43597</v>
      </c>
      <c r="I952" s="6" t="s">
        <v>62</v>
      </c>
      <c r="J952" s="6" t="s">
        <v>65</v>
      </c>
    </row>
    <row r="953" spans="1:10" x14ac:dyDescent="0.3">
      <c r="A953" s="6" t="s">
        <v>997</v>
      </c>
      <c r="B953" s="6" t="s">
        <v>31</v>
      </c>
      <c r="C953" s="7">
        <v>24</v>
      </c>
      <c r="D953" s="5" t="s">
        <v>32</v>
      </c>
      <c r="E953" s="6" t="s">
        <v>13</v>
      </c>
      <c r="F953" s="6" t="s">
        <v>64</v>
      </c>
      <c r="G953" s="5">
        <v>43</v>
      </c>
      <c r="H953" s="8">
        <v>43976</v>
      </c>
      <c r="I953" s="6" t="s">
        <v>26</v>
      </c>
      <c r="J953" s="6" t="s">
        <v>27</v>
      </c>
    </row>
    <row r="954" spans="1:10" x14ac:dyDescent="0.3">
      <c r="A954" s="6" t="s">
        <v>998</v>
      </c>
      <c r="B954" s="6" t="s">
        <v>31</v>
      </c>
      <c r="C954" s="7">
        <v>36</v>
      </c>
      <c r="D954" s="5" t="s">
        <v>12</v>
      </c>
      <c r="E954" s="6" t="s">
        <v>13</v>
      </c>
      <c r="F954" s="6" t="s">
        <v>64</v>
      </c>
      <c r="G954" s="5">
        <v>14</v>
      </c>
      <c r="H954" s="8">
        <v>44843</v>
      </c>
      <c r="I954" s="6" t="s">
        <v>47</v>
      </c>
      <c r="J954" s="6" t="s">
        <v>22</v>
      </c>
    </row>
    <row r="955" spans="1:10" x14ac:dyDescent="0.3">
      <c r="A955" s="6" t="s">
        <v>999</v>
      </c>
      <c r="B955" s="6" t="s">
        <v>42</v>
      </c>
      <c r="C955" s="7">
        <v>37</v>
      </c>
      <c r="D955" s="5" t="s">
        <v>12</v>
      </c>
      <c r="E955" s="6" t="s">
        <v>19</v>
      </c>
      <c r="F955" s="6" t="s">
        <v>56</v>
      </c>
      <c r="G955" s="5">
        <v>58</v>
      </c>
      <c r="H955" s="8">
        <v>43541</v>
      </c>
      <c r="I955" s="6" t="s">
        <v>15</v>
      </c>
      <c r="J955" s="6" t="s">
        <v>16</v>
      </c>
    </row>
    <row r="956" spans="1:10" x14ac:dyDescent="0.3">
      <c r="A956" s="6" t="s">
        <v>1000</v>
      </c>
      <c r="B956" s="6" t="s">
        <v>11</v>
      </c>
      <c r="C956" s="7">
        <v>33</v>
      </c>
      <c r="D956" s="5" t="s">
        <v>18</v>
      </c>
      <c r="E956" s="6" t="s">
        <v>19</v>
      </c>
      <c r="F956" s="6" t="s">
        <v>14</v>
      </c>
      <c r="G956" s="5">
        <v>56</v>
      </c>
      <c r="H956" s="8">
        <v>43605</v>
      </c>
      <c r="I956" s="6" t="s">
        <v>26</v>
      </c>
      <c r="J956" s="6" t="s">
        <v>16</v>
      </c>
    </row>
    <row r="957" spans="1:10" x14ac:dyDescent="0.3">
      <c r="A957" s="6" t="s">
        <v>1001</v>
      </c>
      <c r="B957" s="6" t="s">
        <v>24</v>
      </c>
      <c r="C957" s="7">
        <v>18</v>
      </c>
      <c r="D957" s="5" t="s">
        <v>32</v>
      </c>
      <c r="E957" s="6" t="s">
        <v>19</v>
      </c>
      <c r="F957" s="6" t="s">
        <v>64</v>
      </c>
      <c r="G957" s="5">
        <v>31</v>
      </c>
      <c r="H957" s="8">
        <v>44349</v>
      </c>
      <c r="I957" s="6" t="s">
        <v>15</v>
      </c>
      <c r="J957" s="6" t="s">
        <v>16</v>
      </c>
    </row>
    <row r="958" spans="1:10" x14ac:dyDescent="0.3">
      <c r="A958" s="6" t="s">
        <v>1002</v>
      </c>
      <c r="B958" s="6" t="s">
        <v>31</v>
      </c>
      <c r="C958" s="7">
        <v>28</v>
      </c>
      <c r="D958" s="5" t="s">
        <v>18</v>
      </c>
      <c r="E958" s="6" t="s">
        <v>19</v>
      </c>
      <c r="F958" s="6" t="s">
        <v>64</v>
      </c>
      <c r="G958" s="5">
        <v>54</v>
      </c>
      <c r="H958" s="8">
        <v>43645</v>
      </c>
      <c r="I958" s="6" t="s">
        <v>62</v>
      </c>
      <c r="J958" s="6" t="s">
        <v>27</v>
      </c>
    </row>
    <row r="959" spans="1:10" x14ac:dyDescent="0.3">
      <c r="A959" s="6" t="s">
        <v>1003</v>
      </c>
      <c r="B959" s="6" t="s">
        <v>24</v>
      </c>
      <c r="C959" s="7">
        <v>18</v>
      </c>
      <c r="D959" s="5" t="s">
        <v>32</v>
      </c>
      <c r="E959" s="6" t="s">
        <v>19</v>
      </c>
      <c r="F959" s="6" t="s">
        <v>20</v>
      </c>
      <c r="G959" s="5">
        <v>15</v>
      </c>
      <c r="H959" s="8">
        <v>44816</v>
      </c>
      <c r="I959" s="6" t="s">
        <v>34</v>
      </c>
      <c r="J959" s="6" t="s">
        <v>27</v>
      </c>
    </row>
    <row r="960" spans="1:10" x14ac:dyDescent="0.3">
      <c r="A960" s="6" t="s">
        <v>1004</v>
      </c>
      <c r="B960" s="6" t="s">
        <v>31</v>
      </c>
      <c r="C960" s="7">
        <v>29</v>
      </c>
      <c r="D960" s="5" t="s">
        <v>18</v>
      </c>
      <c r="E960" s="6" t="s">
        <v>19</v>
      </c>
      <c r="F960" s="6" t="s">
        <v>25</v>
      </c>
      <c r="G960" s="5">
        <v>27</v>
      </c>
      <c r="H960" s="8">
        <v>44466</v>
      </c>
      <c r="I960" s="6" t="s">
        <v>34</v>
      </c>
      <c r="J960" s="6" t="s">
        <v>27</v>
      </c>
    </row>
    <row r="961" spans="1:10" x14ac:dyDescent="0.3">
      <c r="A961" s="6" t="s">
        <v>1005</v>
      </c>
      <c r="B961" s="6" t="s">
        <v>24</v>
      </c>
      <c r="C961" s="7">
        <v>30</v>
      </c>
      <c r="D961" s="5" t="s">
        <v>18</v>
      </c>
      <c r="E961" s="6" t="s">
        <v>13</v>
      </c>
      <c r="F961" s="6" t="s">
        <v>88</v>
      </c>
      <c r="G961" s="5">
        <v>45</v>
      </c>
      <c r="H961" s="8">
        <v>43942</v>
      </c>
      <c r="I961" s="6" t="s">
        <v>62</v>
      </c>
      <c r="J961" s="6" t="s">
        <v>27</v>
      </c>
    </row>
    <row r="962" spans="1:10" x14ac:dyDescent="0.3">
      <c r="A962" s="6" t="s">
        <v>1006</v>
      </c>
      <c r="B962" s="6" t="s">
        <v>11</v>
      </c>
      <c r="C962" s="7">
        <v>53</v>
      </c>
      <c r="D962" s="5" t="s">
        <v>46</v>
      </c>
      <c r="E962" s="6" t="s">
        <v>13</v>
      </c>
      <c r="F962" s="6" t="s">
        <v>33</v>
      </c>
      <c r="G962" s="5">
        <v>18</v>
      </c>
      <c r="H962" s="8">
        <v>44740</v>
      </c>
      <c r="I962" s="6" t="s">
        <v>26</v>
      </c>
      <c r="J962" s="6" t="s">
        <v>16</v>
      </c>
    </row>
    <row r="963" spans="1:10" x14ac:dyDescent="0.3">
      <c r="A963" s="6" t="s">
        <v>1007</v>
      </c>
      <c r="B963" s="6" t="s">
        <v>11</v>
      </c>
      <c r="C963" s="7">
        <v>22</v>
      </c>
      <c r="D963" s="5" t="s">
        <v>32</v>
      </c>
      <c r="E963" s="6" t="s">
        <v>19</v>
      </c>
      <c r="F963" s="6" t="s">
        <v>54</v>
      </c>
      <c r="G963" s="5">
        <v>20</v>
      </c>
      <c r="H963" s="8">
        <v>44672</v>
      </c>
      <c r="I963" s="6" t="s">
        <v>62</v>
      </c>
      <c r="J963" s="6" t="s">
        <v>27</v>
      </c>
    </row>
    <row r="964" spans="1:10" x14ac:dyDescent="0.3">
      <c r="A964" s="6" t="s">
        <v>1008</v>
      </c>
      <c r="B964" s="6" t="s">
        <v>31</v>
      </c>
      <c r="C964" s="7">
        <v>21</v>
      </c>
      <c r="D964" s="5" t="s">
        <v>32</v>
      </c>
      <c r="E964" s="6" t="s">
        <v>13</v>
      </c>
      <c r="F964" s="6" t="s">
        <v>36</v>
      </c>
      <c r="G964" s="5">
        <v>38</v>
      </c>
      <c r="H964" s="8">
        <v>44129</v>
      </c>
      <c r="I964" s="6" t="s">
        <v>34</v>
      </c>
      <c r="J964" s="6" t="s">
        <v>22</v>
      </c>
    </row>
    <row r="965" spans="1:10" x14ac:dyDescent="0.3">
      <c r="A965" s="6" t="s">
        <v>1009</v>
      </c>
      <c r="B965" s="6" t="s">
        <v>31</v>
      </c>
      <c r="C965" s="7">
        <v>34</v>
      </c>
      <c r="D965" s="5" t="s">
        <v>18</v>
      </c>
      <c r="E965" s="6" t="s">
        <v>13</v>
      </c>
      <c r="F965" s="6" t="s">
        <v>25</v>
      </c>
      <c r="G965" s="5">
        <v>33</v>
      </c>
      <c r="H965" s="8">
        <v>44302</v>
      </c>
      <c r="I965" s="6" t="s">
        <v>39</v>
      </c>
      <c r="J965" s="6" t="s">
        <v>22</v>
      </c>
    </row>
    <row r="966" spans="1:10" x14ac:dyDescent="0.3">
      <c r="A966" s="6" t="s">
        <v>1010</v>
      </c>
      <c r="B966" s="6" t="s">
        <v>42</v>
      </c>
      <c r="C966" s="7">
        <v>25</v>
      </c>
      <c r="D966" s="5" t="s">
        <v>18</v>
      </c>
      <c r="E966" s="6" t="s">
        <v>13</v>
      </c>
      <c r="F966" s="6" t="s">
        <v>64</v>
      </c>
      <c r="G966" s="5">
        <v>10</v>
      </c>
      <c r="H966" s="8">
        <v>44984</v>
      </c>
      <c r="I966" s="6" t="s">
        <v>47</v>
      </c>
      <c r="J966" s="6" t="s">
        <v>16</v>
      </c>
    </row>
    <row r="967" spans="1:10" x14ac:dyDescent="0.3">
      <c r="A967" s="6" t="s">
        <v>1011</v>
      </c>
      <c r="B967" s="6" t="s">
        <v>42</v>
      </c>
      <c r="C967" s="7">
        <v>24</v>
      </c>
      <c r="D967" s="5" t="s">
        <v>32</v>
      </c>
      <c r="E967" s="6" t="s">
        <v>19</v>
      </c>
      <c r="F967" s="6" t="s">
        <v>64</v>
      </c>
      <c r="G967" s="5">
        <v>52</v>
      </c>
      <c r="H967" s="8">
        <v>43723</v>
      </c>
      <c r="I967" s="6" t="s">
        <v>21</v>
      </c>
      <c r="J967" s="6" t="s">
        <v>27</v>
      </c>
    </row>
    <row r="968" spans="1:10" x14ac:dyDescent="0.3">
      <c r="A968" s="6" t="s">
        <v>1012</v>
      </c>
      <c r="B968" s="6" t="s">
        <v>61</v>
      </c>
      <c r="C968" s="7">
        <v>39</v>
      </c>
      <c r="D968" s="5" t="s">
        <v>12</v>
      </c>
      <c r="E968" s="6" t="s">
        <v>13</v>
      </c>
      <c r="F968" s="6" t="s">
        <v>14</v>
      </c>
      <c r="G968" s="5">
        <v>26</v>
      </c>
      <c r="H968" s="8">
        <v>44497</v>
      </c>
      <c r="I968" s="6" t="s">
        <v>47</v>
      </c>
      <c r="J968" s="6" t="s">
        <v>27</v>
      </c>
    </row>
    <row r="969" spans="1:10" x14ac:dyDescent="0.3">
      <c r="A969" s="6" t="s">
        <v>1013</v>
      </c>
      <c r="B969" s="6" t="s">
        <v>24</v>
      </c>
      <c r="C969" s="7">
        <v>28</v>
      </c>
      <c r="D969" s="5" t="s">
        <v>18</v>
      </c>
      <c r="E969" s="6" t="s">
        <v>13</v>
      </c>
      <c r="F969" s="6" t="s">
        <v>25</v>
      </c>
      <c r="G969" s="5">
        <v>16</v>
      </c>
      <c r="H969" s="8">
        <v>44797</v>
      </c>
      <c r="I969" s="6" t="s">
        <v>26</v>
      </c>
      <c r="J969" s="6" t="s">
        <v>16</v>
      </c>
    </row>
    <row r="970" spans="1:10" x14ac:dyDescent="0.3">
      <c r="A970" s="6" t="s">
        <v>1014</v>
      </c>
      <c r="B970" s="6" t="s">
        <v>31</v>
      </c>
      <c r="C970" s="7">
        <v>35</v>
      </c>
      <c r="D970" s="5" t="s">
        <v>12</v>
      </c>
      <c r="E970" s="6" t="s">
        <v>13</v>
      </c>
      <c r="F970" s="6" t="s">
        <v>56</v>
      </c>
      <c r="G970" s="5">
        <v>32</v>
      </c>
      <c r="H970" s="8">
        <v>44310</v>
      </c>
      <c r="I970" s="6" t="s">
        <v>49</v>
      </c>
      <c r="J970" s="6" t="s">
        <v>22</v>
      </c>
    </row>
    <row r="971" spans="1:10" x14ac:dyDescent="0.3">
      <c r="A971" s="6" t="s">
        <v>1015</v>
      </c>
      <c r="B971" s="6" t="s">
        <v>24</v>
      </c>
      <c r="C971" s="7">
        <v>22</v>
      </c>
      <c r="D971" s="5" t="s">
        <v>32</v>
      </c>
      <c r="E971" s="6" t="s">
        <v>13</v>
      </c>
      <c r="F971" s="6" t="s">
        <v>33</v>
      </c>
      <c r="G971" s="5">
        <v>12</v>
      </c>
      <c r="H971" s="8">
        <v>44923</v>
      </c>
      <c r="I971" s="6" t="s">
        <v>47</v>
      </c>
      <c r="J971" s="6" t="s">
        <v>65</v>
      </c>
    </row>
    <row r="972" spans="1:10" x14ac:dyDescent="0.3">
      <c r="A972" s="6" t="s">
        <v>1016</v>
      </c>
      <c r="B972" s="6" t="s">
        <v>11</v>
      </c>
      <c r="C972" s="7">
        <v>51</v>
      </c>
      <c r="D972" s="5" t="s">
        <v>46</v>
      </c>
      <c r="E972" s="6" t="s">
        <v>13</v>
      </c>
      <c r="F972" s="6" t="s">
        <v>56</v>
      </c>
      <c r="G972" s="5">
        <v>20</v>
      </c>
      <c r="H972" s="8">
        <v>44679</v>
      </c>
      <c r="I972" s="6" t="s">
        <v>34</v>
      </c>
      <c r="J972" s="6" t="s">
        <v>16</v>
      </c>
    </row>
    <row r="973" spans="1:10" x14ac:dyDescent="0.3">
      <c r="A973" s="6" t="s">
        <v>1017</v>
      </c>
      <c r="B973" s="6" t="s">
        <v>24</v>
      </c>
      <c r="C973" s="7">
        <v>50</v>
      </c>
      <c r="D973" s="5" t="s">
        <v>46</v>
      </c>
      <c r="E973" s="6" t="s">
        <v>105</v>
      </c>
      <c r="F973" s="6" t="s">
        <v>54</v>
      </c>
      <c r="G973" s="5">
        <v>57</v>
      </c>
      <c r="H973" s="8">
        <v>43573</v>
      </c>
      <c r="I973" s="6" t="s">
        <v>49</v>
      </c>
      <c r="J973" s="6" t="s">
        <v>27</v>
      </c>
    </row>
    <row r="974" spans="1:10" x14ac:dyDescent="0.3">
      <c r="A974" s="6" t="s">
        <v>1018</v>
      </c>
      <c r="B974" s="6" t="s">
        <v>31</v>
      </c>
      <c r="C974" s="7">
        <v>31</v>
      </c>
      <c r="D974" s="5" t="s">
        <v>18</v>
      </c>
      <c r="E974" s="6" t="s">
        <v>13</v>
      </c>
      <c r="F974" s="6" t="s">
        <v>54</v>
      </c>
      <c r="G974" s="5">
        <v>14</v>
      </c>
      <c r="H974" s="8">
        <v>44864</v>
      </c>
      <c r="I974" s="6" t="s">
        <v>49</v>
      </c>
      <c r="J974" s="6" t="s">
        <v>27</v>
      </c>
    </row>
    <row r="975" spans="1:10" x14ac:dyDescent="0.3">
      <c r="A975" s="6" t="s">
        <v>1019</v>
      </c>
      <c r="B975" s="6" t="s">
        <v>31</v>
      </c>
      <c r="C975" s="7">
        <v>32</v>
      </c>
      <c r="D975" s="5" t="s">
        <v>18</v>
      </c>
      <c r="E975" s="6" t="s">
        <v>13</v>
      </c>
      <c r="F975" s="6" t="s">
        <v>38</v>
      </c>
      <c r="G975" s="5">
        <v>15</v>
      </c>
      <c r="H975" s="8">
        <v>44814</v>
      </c>
      <c r="I975" s="6" t="s">
        <v>26</v>
      </c>
      <c r="J975" s="6" t="s">
        <v>65</v>
      </c>
    </row>
    <row r="976" spans="1:10" x14ac:dyDescent="0.3">
      <c r="A976" s="6" t="s">
        <v>1020</v>
      </c>
      <c r="B976" s="6" t="s">
        <v>61</v>
      </c>
      <c r="C976" s="7">
        <v>29</v>
      </c>
      <c r="D976" s="5" t="s">
        <v>18</v>
      </c>
      <c r="E976" s="6" t="s">
        <v>13</v>
      </c>
      <c r="F976" s="6" t="s">
        <v>33</v>
      </c>
      <c r="G976" s="5">
        <v>38</v>
      </c>
      <c r="H976" s="8">
        <v>44140</v>
      </c>
      <c r="I976" s="6" t="s">
        <v>34</v>
      </c>
      <c r="J976" s="6" t="s">
        <v>27</v>
      </c>
    </row>
    <row r="977" spans="1:10" x14ac:dyDescent="0.3">
      <c r="A977" s="6" t="s">
        <v>1021</v>
      </c>
      <c r="B977" s="6" t="s">
        <v>42</v>
      </c>
      <c r="C977" s="7">
        <v>35</v>
      </c>
      <c r="D977" s="5" t="s">
        <v>12</v>
      </c>
      <c r="E977" s="6" t="s">
        <v>13</v>
      </c>
      <c r="F977" s="6" t="s">
        <v>14</v>
      </c>
      <c r="G977" s="5">
        <v>23</v>
      </c>
      <c r="H977" s="8">
        <v>44590</v>
      </c>
      <c r="I977" s="6" t="s">
        <v>62</v>
      </c>
      <c r="J977" s="6" t="s">
        <v>27</v>
      </c>
    </row>
    <row r="978" spans="1:10" x14ac:dyDescent="0.3">
      <c r="A978" s="6" t="s">
        <v>1022</v>
      </c>
      <c r="B978" s="6" t="s">
        <v>61</v>
      </c>
      <c r="C978" s="7">
        <v>29</v>
      </c>
      <c r="D978" s="5" t="s">
        <v>18</v>
      </c>
      <c r="E978" s="6" t="s">
        <v>13</v>
      </c>
      <c r="F978" s="6" t="s">
        <v>54</v>
      </c>
      <c r="G978" s="5">
        <v>7</v>
      </c>
      <c r="H978" s="8">
        <v>45061</v>
      </c>
      <c r="I978" s="6" t="s">
        <v>62</v>
      </c>
      <c r="J978" s="6" t="s">
        <v>27</v>
      </c>
    </row>
    <row r="979" spans="1:10" x14ac:dyDescent="0.3">
      <c r="A979" s="6" t="s">
        <v>1023</v>
      </c>
      <c r="B979" s="6" t="s">
        <v>24</v>
      </c>
      <c r="C979" s="7">
        <v>42</v>
      </c>
      <c r="D979" s="5" t="s">
        <v>12</v>
      </c>
      <c r="E979" s="6" t="s">
        <v>19</v>
      </c>
      <c r="F979" s="6" t="s">
        <v>64</v>
      </c>
      <c r="G979" s="5">
        <v>28</v>
      </c>
      <c r="H979" s="8">
        <v>44431</v>
      </c>
      <c r="I979" s="6" t="s">
        <v>49</v>
      </c>
      <c r="J979" s="6" t="s">
        <v>16</v>
      </c>
    </row>
    <row r="980" spans="1:10" x14ac:dyDescent="0.3">
      <c r="A980" s="6" t="s">
        <v>1024</v>
      </c>
      <c r="B980" s="6" t="s">
        <v>24</v>
      </c>
      <c r="C980" s="7">
        <v>18</v>
      </c>
      <c r="D980" s="5" t="s">
        <v>32</v>
      </c>
      <c r="E980" s="6" t="s">
        <v>13</v>
      </c>
      <c r="F980" s="6" t="s">
        <v>20</v>
      </c>
      <c r="G980" s="5">
        <v>42</v>
      </c>
      <c r="H980" s="8">
        <v>44012</v>
      </c>
      <c r="I980" s="6" t="s">
        <v>39</v>
      </c>
      <c r="J980" s="6" t="s">
        <v>27</v>
      </c>
    </row>
    <row r="981" spans="1:10" x14ac:dyDescent="0.3">
      <c r="A981" s="6" t="s">
        <v>1025</v>
      </c>
      <c r="B981" s="6" t="s">
        <v>61</v>
      </c>
      <c r="C981" s="7">
        <v>18</v>
      </c>
      <c r="D981" s="5" t="s">
        <v>32</v>
      </c>
      <c r="E981" s="6" t="s">
        <v>19</v>
      </c>
      <c r="F981" s="6" t="s">
        <v>54</v>
      </c>
      <c r="G981" s="5">
        <v>4</v>
      </c>
      <c r="H981" s="8">
        <v>45157</v>
      </c>
      <c r="I981" s="6" t="s">
        <v>47</v>
      </c>
      <c r="J981" s="6" t="s">
        <v>27</v>
      </c>
    </row>
    <row r="982" spans="1:10" x14ac:dyDescent="0.3">
      <c r="A982" s="6" t="s">
        <v>1026</v>
      </c>
      <c r="B982" s="6" t="s">
        <v>24</v>
      </c>
      <c r="C982" s="7">
        <v>35</v>
      </c>
      <c r="D982" s="5" t="s">
        <v>12</v>
      </c>
      <c r="E982" s="6" t="s">
        <v>13</v>
      </c>
      <c r="F982" s="6" t="s">
        <v>88</v>
      </c>
      <c r="G982" s="5">
        <v>6</v>
      </c>
      <c r="H982" s="8">
        <v>45094</v>
      </c>
      <c r="I982" s="6" t="s">
        <v>47</v>
      </c>
      <c r="J982" s="6" t="s">
        <v>27</v>
      </c>
    </row>
    <row r="983" spans="1:10" x14ac:dyDescent="0.3">
      <c r="A983" s="6" t="s">
        <v>1027</v>
      </c>
      <c r="B983" s="6" t="s">
        <v>31</v>
      </c>
      <c r="C983" s="7">
        <v>39</v>
      </c>
      <c r="D983" s="5" t="s">
        <v>12</v>
      </c>
      <c r="E983" s="6" t="s">
        <v>19</v>
      </c>
      <c r="F983" s="6" t="s">
        <v>54</v>
      </c>
      <c r="G983" s="5">
        <v>5</v>
      </c>
      <c r="H983" s="8">
        <v>45129</v>
      </c>
      <c r="I983" s="6" t="s">
        <v>26</v>
      </c>
      <c r="J983" s="6" t="s">
        <v>27</v>
      </c>
    </row>
    <row r="984" spans="1:10" x14ac:dyDescent="0.3">
      <c r="A984" s="6" t="s">
        <v>1028</v>
      </c>
      <c r="B984" s="6" t="s">
        <v>11</v>
      </c>
      <c r="C984" s="7">
        <v>24</v>
      </c>
      <c r="D984" s="5" t="s">
        <v>32</v>
      </c>
      <c r="E984" s="6" t="s">
        <v>19</v>
      </c>
      <c r="F984" s="6" t="s">
        <v>56</v>
      </c>
      <c r="G984" s="5">
        <v>35</v>
      </c>
      <c r="H984" s="8">
        <v>44220</v>
      </c>
      <c r="I984" s="6" t="s">
        <v>21</v>
      </c>
      <c r="J984" s="6" t="s">
        <v>16</v>
      </c>
    </row>
    <row r="985" spans="1:10" x14ac:dyDescent="0.3">
      <c r="A985" s="6" t="s">
        <v>1029</v>
      </c>
      <c r="B985" s="6" t="s">
        <v>11</v>
      </c>
      <c r="C985" s="7">
        <v>24</v>
      </c>
      <c r="D985" s="5" t="s">
        <v>32</v>
      </c>
      <c r="E985" s="6" t="s">
        <v>13</v>
      </c>
      <c r="F985" s="6" t="s">
        <v>25</v>
      </c>
      <c r="G985" s="5">
        <v>41</v>
      </c>
      <c r="H985" s="8">
        <v>44059</v>
      </c>
      <c r="I985" s="6" t="s">
        <v>29</v>
      </c>
      <c r="J985" s="6" t="s">
        <v>16</v>
      </c>
    </row>
    <row r="986" spans="1:10" x14ac:dyDescent="0.3">
      <c r="A986" s="6" t="s">
        <v>1030</v>
      </c>
      <c r="B986" s="6" t="s">
        <v>31</v>
      </c>
      <c r="C986" s="7">
        <v>34</v>
      </c>
      <c r="D986" s="5" t="s">
        <v>18</v>
      </c>
      <c r="E986" s="6" t="s">
        <v>19</v>
      </c>
      <c r="F986" s="6" t="s">
        <v>33</v>
      </c>
      <c r="G986" s="5">
        <v>50</v>
      </c>
      <c r="H986" s="8">
        <v>43769</v>
      </c>
      <c r="I986" s="6" t="s">
        <v>21</v>
      </c>
      <c r="J986" s="6" t="s">
        <v>65</v>
      </c>
    </row>
    <row r="987" spans="1:10" x14ac:dyDescent="0.3">
      <c r="A987" s="6" t="s">
        <v>1031</v>
      </c>
      <c r="B987" s="6" t="s">
        <v>24</v>
      </c>
      <c r="C987" s="7">
        <v>39</v>
      </c>
      <c r="D987" s="5" t="s">
        <v>12</v>
      </c>
      <c r="E987" s="6" t="s">
        <v>19</v>
      </c>
      <c r="F987" s="6" t="s">
        <v>36</v>
      </c>
      <c r="G987" s="5">
        <v>45</v>
      </c>
      <c r="H987" s="8">
        <v>43914</v>
      </c>
      <c r="I987" s="6" t="s">
        <v>49</v>
      </c>
      <c r="J987" s="6" t="s">
        <v>22</v>
      </c>
    </row>
    <row r="988" spans="1:10" x14ac:dyDescent="0.3">
      <c r="A988" s="6" t="s">
        <v>1032</v>
      </c>
      <c r="B988" s="6" t="s">
        <v>31</v>
      </c>
      <c r="C988" s="7">
        <v>31</v>
      </c>
      <c r="D988" s="5" t="s">
        <v>18</v>
      </c>
      <c r="E988" s="6" t="s">
        <v>19</v>
      </c>
      <c r="F988" s="6" t="s">
        <v>54</v>
      </c>
      <c r="G988" s="5">
        <v>18</v>
      </c>
      <c r="H988" s="8">
        <v>44749</v>
      </c>
      <c r="I988" s="6" t="s">
        <v>49</v>
      </c>
      <c r="J988" s="6" t="s">
        <v>16</v>
      </c>
    </row>
    <row r="989" spans="1:10" x14ac:dyDescent="0.3">
      <c r="A989" s="6" t="s">
        <v>1033</v>
      </c>
      <c r="B989" s="6" t="s">
        <v>24</v>
      </c>
      <c r="C989" s="7">
        <v>23</v>
      </c>
      <c r="D989" s="5" t="s">
        <v>32</v>
      </c>
      <c r="E989" s="6" t="s">
        <v>19</v>
      </c>
      <c r="F989" s="6" t="s">
        <v>56</v>
      </c>
      <c r="G989" s="5">
        <v>49</v>
      </c>
      <c r="H989" s="8">
        <v>43806</v>
      </c>
      <c r="I989" s="6" t="s">
        <v>34</v>
      </c>
      <c r="J989" s="6" t="s">
        <v>22</v>
      </c>
    </row>
    <row r="990" spans="1:10" x14ac:dyDescent="0.3">
      <c r="A990" s="6" t="s">
        <v>1034</v>
      </c>
      <c r="B990" s="6" t="s">
        <v>11</v>
      </c>
      <c r="C990" s="7">
        <v>18</v>
      </c>
      <c r="D990" s="5" t="s">
        <v>32</v>
      </c>
      <c r="E990" s="6" t="s">
        <v>13</v>
      </c>
      <c r="F990" s="6" t="s">
        <v>64</v>
      </c>
      <c r="G990" s="5">
        <v>37</v>
      </c>
      <c r="H990" s="8">
        <v>44180</v>
      </c>
      <c r="I990" s="6" t="s">
        <v>15</v>
      </c>
      <c r="J990" s="6" t="s">
        <v>27</v>
      </c>
    </row>
    <row r="991" spans="1:10" x14ac:dyDescent="0.3">
      <c r="A991" s="6" t="s">
        <v>1035</v>
      </c>
      <c r="B991" s="6" t="s">
        <v>31</v>
      </c>
      <c r="C991" s="7">
        <v>36</v>
      </c>
      <c r="D991" s="5" t="s">
        <v>12</v>
      </c>
      <c r="E991" s="6" t="s">
        <v>19</v>
      </c>
      <c r="F991" s="6" t="s">
        <v>38</v>
      </c>
      <c r="G991" s="5">
        <v>33</v>
      </c>
      <c r="H991" s="8">
        <v>44291</v>
      </c>
      <c r="I991" s="6" t="s">
        <v>49</v>
      </c>
      <c r="J991" s="6" t="s">
        <v>65</v>
      </c>
    </row>
    <row r="992" spans="1:10" x14ac:dyDescent="0.3">
      <c r="A992" s="6" t="s">
        <v>1036</v>
      </c>
      <c r="B992" s="6" t="s">
        <v>42</v>
      </c>
      <c r="C992" s="7">
        <v>18</v>
      </c>
      <c r="D992" s="5" t="s">
        <v>32</v>
      </c>
      <c r="E992" s="6" t="s">
        <v>19</v>
      </c>
      <c r="F992" s="6" t="s">
        <v>88</v>
      </c>
      <c r="G992" s="5">
        <v>18</v>
      </c>
      <c r="H992" s="8">
        <v>44742</v>
      </c>
      <c r="I992" s="6" t="s">
        <v>49</v>
      </c>
      <c r="J992" s="6" t="s">
        <v>16</v>
      </c>
    </row>
    <row r="993" spans="1:10" x14ac:dyDescent="0.3">
      <c r="A993" s="6" t="s">
        <v>1037</v>
      </c>
      <c r="B993" s="6" t="s">
        <v>11</v>
      </c>
      <c r="C993" s="7">
        <v>27</v>
      </c>
      <c r="D993" s="5" t="s">
        <v>18</v>
      </c>
      <c r="E993" s="6" t="s">
        <v>19</v>
      </c>
      <c r="F993" s="6" t="s">
        <v>64</v>
      </c>
      <c r="G993" s="5">
        <v>2</v>
      </c>
      <c r="H993" s="8">
        <v>45229</v>
      </c>
      <c r="I993" s="6" t="s">
        <v>62</v>
      </c>
      <c r="J993" s="6" t="s">
        <v>22</v>
      </c>
    </row>
    <row r="994" spans="1:10" x14ac:dyDescent="0.3">
      <c r="A994" s="6" t="s">
        <v>1038</v>
      </c>
      <c r="B994" s="6" t="s">
        <v>24</v>
      </c>
      <c r="C994" s="7">
        <v>18</v>
      </c>
      <c r="D994" s="5" t="s">
        <v>32</v>
      </c>
      <c r="E994" s="6" t="s">
        <v>13</v>
      </c>
      <c r="F994" s="6" t="s">
        <v>20</v>
      </c>
      <c r="G994" s="5">
        <v>27</v>
      </c>
      <c r="H994" s="8">
        <v>44466</v>
      </c>
      <c r="I994" s="6" t="s">
        <v>62</v>
      </c>
      <c r="J994" s="6" t="s">
        <v>22</v>
      </c>
    </row>
    <row r="995" spans="1:10" x14ac:dyDescent="0.3">
      <c r="A995" s="6" t="s">
        <v>1039</v>
      </c>
      <c r="B995" s="6" t="s">
        <v>11</v>
      </c>
      <c r="C995" s="7">
        <v>38</v>
      </c>
      <c r="D995" s="5" t="s">
        <v>12</v>
      </c>
      <c r="E995" s="6" t="s">
        <v>13</v>
      </c>
      <c r="F995" s="6" t="s">
        <v>14</v>
      </c>
      <c r="G995" s="5">
        <v>46</v>
      </c>
      <c r="H995" s="8">
        <v>43887</v>
      </c>
      <c r="I995" s="6" t="s">
        <v>21</v>
      </c>
      <c r="J995" s="6" t="s">
        <v>27</v>
      </c>
    </row>
    <row r="996" spans="1:10" x14ac:dyDescent="0.3">
      <c r="A996" s="6" t="s">
        <v>1040</v>
      </c>
      <c r="B996" s="6" t="s">
        <v>31</v>
      </c>
      <c r="C996" s="7">
        <v>44</v>
      </c>
      <c r="D996" s="5" t="s">
        <v>12</v>
      </c>
      <c r="E996" s="6" t="s">
        <v>13</v>
      </c>
      <c r="F996" s="6" t="s">
        <v>38</v>
      </c>
      <c r="G996" s="5">
        <v>59</v>
      </c>
      <c r="H996" s="8">
        <v>43515</v>
      </c>
      <c r="I996" s="6" t="s">
        <v>47</v>
      </c>
      <c r="J996" s="6" t="s">
        <v>65</v>
      </c>
    </row>
    <row r="997" spans="1:10" x14ac:dyDescent="0.3">
      <c r="A997" s="6" t="s">
        <v>1041</v>
      </c>
      <c r="B997" s="6" t="s">
        <v>11</v>
      </c>
      <c r="C997" s="7">
        <v>29</v>
      </c>
      <c r="D997" s="5" t="s">
        <v>18</v>
      </c>
      <c r="E997" s="6" t="s">
        <v>19</v>
      </c>
      <c r="F997" s="6" t="s">
        <v>36</v>
      </c>
      <c r="G997" s="5">
        <v>46</v>
      </c>
      <c r="H997" s="8">
        <v>43894</v>
      </c>
      <c r="I997" s="6" t="s">
        <v>21</v>
      </c>
      <c r="J997" s="6" t="s">
        <v>22</v>
      </c>
    </row>
    <row r="998" spans="1:10" x14ac:dyDescent="0.3">
      <c r="A998" s="6" t="s">
        <v>1042</v>
      </c>
      <c r="B998" s="6" t="s">
        <v>61</v>
      </c>
      <c r="C998" s="7">
        <v>26</v>
      </c>
      <c r="D998" s="5" t="s">
        <v>18</v>
      </c>
      <c r="E998" s="6" t="s">
        <v>19</v>
      </c>
      <c r="F998" s="6" t="s">
        <v>38</v>
      </c>
      <c r="G998" s="5">
        <v>12</v>
      </c>
      <c r="H998" s="8">
        <v>44930</v>
      </c>
      <c r="I998" s="6" t="s">
        <v>39</v>
      </c>
      <c r="J998" s="6" t="s">
        <v>27</v>
      </c>
    </row>
    <row r="999" spans="1:10" x14ac:dyDescent="0.3">
      <c r="A999" s="6" t="s">
        <v>1043</v>
      </c>
      <c r="B999" s="6" t="s">
        <v>24</v>
      </c>
      <c r="C999" s="7">
        <v>25</v>
      </c>
      <c r="D999" s="5" t="s">
        <v>18</v>
      </c>
      <c r="E999" s="6" t="s">
        <v>19</v>
      </c>
      <c r="F999" s="6" t="s">
        <v>64</v>
      </c>
      <c r="G999" s="5">
        <v>15</v>
      </c>
      <c r="H999" s="8">
        <v>44828</v>
      </c>
      <c r="I999" s="6" t="s">
        <v>39</v>
      </c>
      <c r="J999" s="6" t="s">
        <v>16</v>
      </c>
    </row>
    <row r="1000" spans="1:10" x14ac:dyDescent="0.3">
      <c r="A1000" s="6" t="s">
        <v>1044</v>
      </c>
      <c r="B1000" s="6" t="s">
        <v>11</v>
      </c>
      <c r="C1000" s="7">
        <v>27</v>
      </c>
      <c r="D1000" s="5" t="s">
        <v>18</v>
      </c>
      <c r="E1000" s="6" t="s">
        <v>13</v>
      </c>
      <c r="F1000" s="6" t="s">
        <v>56</v>
      </c>
      <c r="G1000" s="5">
        <v>44</v>
      </c>
      <c r="H1000" s="8">
        <v>43947</v>
      </c>
      <c r="I1000" s="6" t="s">
        <v>34</v>
      </c>
      <c r="J1000" s="6" t="s">
        <v>16</v>
      </c>
    </row>
    <row r="1001" spans="1:10" x14ac:dyDescent="0.3">
      <c r="A1001" s="6" t="s">
        <v>1045</v>
      </c>
      <c r="B1001" s="6" t="s">
        <v>61</v>
      </c>
      <c r="C1001" s="7">
        <v>18</v>
      </c>
      <c r="D1001" s="5" t="s">
        <v>32</v>
      </c>
      <c r="E1001" s="6" t="s">
        <v>19</v>
      </c>
      <c r="F1001" s="6" t="s">
        <v>38</v>
      </c>
      <c r="G1001" s="5">
        <v>10</v>
      </c>
      <c r="H1001" s="8">
        <v>44988</v>
      </c>
      <c r="I1001" s="6" t="s">
        <v>29</v>
      </c>
      <c r="J1001" s="6" t="s">
        <v>27</v>
      </c>
    </row>
  </sheetData>
  <dataValidations count="1">
    <dataValidation type="list" allowBlank="1" showInputMessage="1" showErrorMessage="1" sqref="L7 L3 L22" xr:uid="{BA1344EE-472B-4A24-9946-41B7B879BEAC}">
      <formula1>$A:$A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355C2-24CA-4518-BAA4-6DC234A37A6D}">
  <dimension ref="A2:F89"/>
  <sheetViews>
    <sheetView zoomScale="27" zoomScaleNormal="100" workbookViewId="0">
      <selection activeCell="C12" sqref="C12"/>
    </sheetView>
  </sheetViews>
  <sheetFormatPr defaultRowHeight="14.4" x14ac:dyDescent="0.3"/>
  <cols>
    <col min="1" max="1" width="27.21875" bestFit="1" customWidth="1"/>
    <col min="2" max="2" width="34.21875" bestFit="1" customWidth="1"/>
    <col min="3" max="3" width="12" bestFit="1" customWidth="1"/>
    <col min="4" max="4" width="14.88671875" bestFit="1" customWidth="1"/>
    <col min="5" max="5" width="15.33203125" bestFit="1" customWidth="1"/>
    <col min="6" max="7" width="20.21875" bestFit="1" customWidth="1"/>
    <col min="8" max="8" width="7.33203125" bestFit="1" customWidth="1"/>
    <col min="9" max="9" width="8.5546875" bestFit="1" customWidth="1"/>
    <col min="10" max="10" width="8.109375" bestFit="1" customWidth="1"/>
    <col min="11" max="11" width="5.33203125" bestFit="1" customWidth="1"/>
    <col min="12" max="12" width="10.77734375" bestFit="1" customWidth="1"/>
    <col min="13" max="13" width="10.6640625" bestFit="1" customWidth="1"/>
    <col min="14" max="16" width="5.6640625" bestFit="1" customWidth="1"/>
    <col min="17" max="17" width="13.44140625" bestFit="1" customWidth="1"/>
    <col min="18" max="18" width="10.6640625" bestFit="1" customWidth="1"/>
    <col min="19" max="21" width="5.6640625" bestFit="1" customWidth="1"/>
    <col min="22" max="22" width="4" bestFit="1" customWidth="1"/>
    <col min="23" max="23" width="13.44140625" bestFit="1" customWidth="1"/>
    <col min="24" max="24" width="10.77734375" bestFit="1" customWidth="1"/>
  </cols>
  <sheetData>
    <row r="2" spans="1:2" x14ac:dyDescent="0.3">
      <c r="A2" s="17" t="s">
        <v>1054</v>
      </c>
      <c r="B2" s="17"/>
    </row>
    <row r="3" spans="1:2" x14ac:dyDescent="0.3">
      <c r="A3" s="15" t="s">
        <v>1049</v>
      </c>
      <c r="B3" t="s">
        <v>1051</v>
      </c>
    </row>
    <row r="4" spans="1:2" x14ac:dyDescent="0.3">
      <c r="A4" s="16" t="s">
        <v>24</v>
      </c>
      <c r="B4">
        <v>252</v>
      </c>
    </row>
    <row r="5" spans="1:2" x14ac:dyDescent="0.3">
      <c r="A5" s="16" t="s">
        <v>11</v>
      </c>
      <c r="B5">
        <v>237</v>
      </c>
    </row>
    <row r="6" spans="1:2" x14ac:dyDescent="0.3">
      <c r="A6" s="16" t="s">
        <v>31</v>
      </c>
      <c r="B6">
        <v>267</v>
      </c>
    </row>
    <row r="7" spans="1:2" x14ac:dyDescent="0.3">
      <c r="A7" s="16" t="s">
        <v>42</v>
      </c>
      <c r="B7">
        <v>131</v>
      </c>
    </row>
    <row r="8" spans="1:2" x14ac:dyDescent="0.3">
      <c r="A8" s="16" t="s">
        <v>61</v>
      </c>
      <c r="B8">
        <v>113</v>
      </c>
    </row>
    <row r="9" spans="1:2" x14ac:dyDescent="0.3">
      <c r="A9" s="16" t="s">
        <v>1050</v>
      </c>
      <c r="B9">
        <v>1000</v>
      </c>
    </row>
    <row r="21" spans="1:2" x14ac:dyDescent="0.3">
      <c r="A21" s="15" t="s">
        <v>1049</v>
      </c>
      <c r="B21" t="s">
        <v>1051</v>
      </c>
    </row>
    <row r="22" spans="1:2" x14ac:dyDescent="0.3">
      <c r="A22" s="16" t="s">
        <v>32</v>
      </c>
      <c r="B22">
        <v>250</v>
      </c>
    </row>
    <row r="23" spans="1:2" x14ac:dyDescent="0.3">
      <c r="A23" s="16" t="s">
        <v>18</v>
      </c>
      <c r="B23">
        <v>390</v>
      </c>
    </row>
    <row r="24" spans="1:2" x14ac:dyDescent="0.3">
      <c r="A24" s="16" t="s">
        <v>12</v>
      </c>
      <c r="B24">
        <v>278</v>
      </c>
    </row>
    <row r="25" spans="1:2" x14ac:dyDescent="0.3">
      <c r="A25" s="16" t="s">
        <v>46</v>
      </c>
      <c r="B25">
        <v>79</v>
      </c>
    </row>
    <row r="26" spans="1:2" x14ac:dyDescent="0.3">
      <c r="A26" s="16" t="s">
        <v>201</v>
      </c>
      <c r="B26">
        <v>3</v>
      </c>
    </row>
    <row r="27" spans="1:2" x14ac:dyDescent="0.3">
      <c r="A27" s="16" t="s">
        <v>1050</v>
      </c>
      <c r="B27">
        <v>1000</v>
      </c>
    </row>
    <row r="33" spans="1:6" x14ac:dyDescent="0.3">
      <c r="A33" s="15" t="s">
        <v>1051</v>
      </c>
      <c r="B33" s="15" t="s">
        <v>1053</v>
      </c>
    </row>
    <row r="34" spans="1:6" x14ac:dyDescent="0.3">
      <c r="A34" s="15" t="s">
        <v>1049</v>
      </c>
      <c r="B34" t="s">
        <v>16</v>
      </c>
      <c r="C34" t="s">
        <v>65</v>
      </c>
      <c r="D34" t="s">
        <v>22</v>
      </c>
      <c r="E34" t="s">
        <v>27</v>
      </c>
      <c r="F34" t="s">
        <v>1050</v>
      </c>
    </row>
    <row r="35" spans="1:6" x14ac:dyDescent="0.3">
      <c r="A35" s="16" t="s">
        <v>24</v>
      </c>
      <c r="B35">
        <v>79</v>
      </c>
      <c r="C35">
        <v>22</v>
      </c>
      <c r="D35">
        <v>60</v>
      </c>
      <c r="E35">
        <v>91</v>
      </c>
      <c r="F35">
        <v>252</v>
      </c>
    </row>
    <row r="36" spans="1:6" x14ac:dyDescent="0.3">
      <c r="A36" s="16" t="s">
        <v>11</v>
      </c>
      <c r="B36">
        <v>69</v>
      </c>
      <c r="C36">
        <v>19</v>
      </c>
      <c r="D36">
        <v>71</v>
      </c>
      <c r="E36">
        <v>78</v>
      </c>
      <c r="F36">
        <v>237</v>
      </c>
    </row>
    <row r="37" spans="1:6" x14ac:dyDescent="0.3">
      <c r="A37" s="16" t="s">
        <v>31</v>
      </c>
      <c r="B37">
        <v>74</v>
      </c>
      <c r="C37">
        <v>30</v>
      </c>
      <c r="D37">
        <v>68</v>
      </c>
      <c r="E37">
        <v>95</v>
      </c>
      <c r="F37">
        <v>267</v>
      </c>
    </row>
    <row r="38" spans="1:6" x14ac:dyDescent="0.3">
      <c r="A38" s="16" t="s">
        <v>42</v>
      </c>
      <c r="B38">
        <v>41</v>
      </c>
      <c r="C38">
        <v>14</v>
      </c>
      <c r="D38">
        <v>32</v>
      </c>
      <c r="E38">
        <v>44</v>
      </c>
      <c r="F38">
        <v>131</v>
      </c>
    </row>
    <row r="39" spans="1:6" x14ac:dyDescent="0.3">
      <c r="A39" s="16" t="s">
        <v>61</v>
      </c>
      <c r="B39">
        <v>32</v>
      </c>
      <c r="C39">
        <v>12</v>
      </c>
      <c r="D39">
        <v>24</v>
      </c>
      <c r="E39">
        <v>45</v>
      </c>
      <c r="F39">
        <v>113</v>
      </c>
    </row>
    <row r="40" spans="1:6" x14ac:dyDescent="0.3">
      <c r="A40" s="16" t="s">
        <v>1050</v>
      </c>
      <c r="B40">
        <v>295</v>
      </c>
      <c r="C40">
        <v>97</v>
      </c>
      <c r="D40">
        <v>255</v>
      </c>
      <c r="E40">
        <v>353</v>
      </c>
      <c r="F40">
        <v>1000</v>
      </c>
    </row>
    <row r="50" spans="1:2" x14ac:dyDescent="0.3">
      <c r="A50" s="15" t="s">
        <v>1049</v>
      </c>
      <c r="B50" t="s">
        <v>1052</v>
      </c>
    </row>
    <row r="51" spans="1:2" x14ac:dyDescent="0.3">
      <c r="A51" s="16" t="s">
        <v>24</v>
      </c>
      <c r="B51">
        <v>31.670634920634921</v>
      </c>
    </row>
    <row r="52" spans="1:2" x14ac:dyDescent="0.3">
      <c r="A52" s="16" t="s">
        <v>11</v>
      </c>
      <c r="B52">
        <v>32.025316455696199</v>
      </c>
    </row>
    <row r="53" spans="1:2" x14ac:dyDescent="0.3">
      <c r="A53" s="16" t="s">
        <v>31</v>
      </c>
      <c r="B53">
        <v>30.464419475655429</v>
      </c>
    </row>
    <row r="54" spans="1:2" x14ac:dyDescent="0.3">
      <c r="A54" s="16" t="s">
        <v>42</v>
      </c>
      <c r="B54">
        <v>30.31297709923664</v>
      </c>
    </row>
    <row r="55" spans="1:2" x14ac:dyDescent="0.3">
      <c r="A55" s="16" t="s">
        <v>61</v>
      </c>
      <c r="B55">
        <v>29.63716814159292</v>
      </c>
    </row>
    <row r="56" spans="1:2" x14ac:dyDescent="0.3">
      <c r="A56" s="16" t="s">
        <v>1050</v>
      </c>
      <c r="B56">
        <v>31.024999999999999</v>
      </c>
    </row>
    <row r="68" spans="1:2" x14ac:dyDescent="0.3">
      <c r="A68" s="15" t="s">
        <v>1049</v>
      </c>
      <c r="B68" t="s">
        <v>1051</v>
      </c>
    </row>
    <row r="69" spans="1:2" x14ac:dyDescent="0.3">
      <c r="A69" s="16" t="s">
        <v>36</v>
      </c>
      <c r="B69">
        <v>109</v>
      </c>
    </row>
    <row r="70" spans="1:2" x14ac:dyDescent="0.3">
      <c r="A70" s="16" t="s">
        <v>54</v>
      </c>
      <c r="B70">
        <v>114</v>
      </c>
    </row>
    <row r="71" spans="1:2" x14ac:dyDescent="0.3">
      <c r="A71" s="16" t="s">
        <v>20</v>
      </c>
      <c r="B71">
        <v>100</v>
      </c>
    </row>
    <row r="72" spans="1:2" x14ac:dyDescent="0.3">
      <c r="A72" s="16" t="s">
        <v>38</v>
      </c>
      <c r="B72">
        <v>113</v>
      </c>
    </row>
    <row r="73" spans="1:2" x14ac:dyDescent="0.3">
      <c r="A73" s="16" t="s">
        <v>56</v>
      </c>
      <c r="B73">
        <v>92</v>
      </c>
    </row>
    <row r="74" spans="1:2" x14ac:dyDescent="0.3">
      <c r="A74" s="16" t="s">
        <v>33</v>
      </c>
      <c r="B74">
        <v>83</v>
      </c>
    </row>
    <row r="75" spans="1:2" x14ac:dyDescent="0.3">
      <c r="A75" s="16" t="s">
        <v>14</v>
      </c>
      <c r="B75">
        <v>92</v>
      </c>
    </row>
    <row r="76" spans="1:2" x14ac:dyDescent="0.3">
      <c r="A76" s="16" t="s">
        <v>88</v>
      </c>
      <c r="B76">
        <v>107</v>
      </c>
    </row>
    <row r="77" spans="1:2" x14ac:dyDescent="0.3">
      <c r="A77" s="16" t="s">
        <v>25</v>
      </c>
      <c r="B77">
        <v>91</v>
      </c>
    </row>
    <row r="78" spans="1:2" x14ac:dyDescent="0.3">
      <c r="A78" s="16" t="s">
        <v>64</v>
      </c>
      <c r="B78">
        <v>99</v>
      </c>
    </row>
    <row r="79" spans="1:2" x14ac:dyDescent="0.3">
      <c r="A79" s="16" t="s">
        <v>1050</v>
      </c>
      <c r="B79">
        <v>1000</v>
      </c>
    </row>
    <row r="85" spans="1:2" x14ac:dyDescent="0.3">
      <c r="A85" s="15" t="s">
        <v>1049</v>
      </c>
      <c r="B85" t="s">
        <v>1051</v>
      </c>
    </row>
    <row r="86" spans="1:2" x14ac:dyDescent="0.3">
      <c r="A86" s="16" t="s">
        <v>19</v>
      </c>
      <c r="B86">
        <v>461</v>
      </c>
    </row>
    <row r="87" spans="1:2" x14ac:dyDescent="0.3">
      <c r="A87" s="16" t="s">
        <v>13</v>
      </c>
      <c r="B87">
        <v>511</v>
      </c>
    </row>
    <row r="88" spans="1:2" x14ac:dyDescent="0.3">
      <c r="A88" s="16" t="s">
        <v>105</v>
      </c>
      <c r="B88">
        <v>28</v>
      </c>
    </row>
    <row r="89" spans="1:2" x14ac:dyDescent="0.3">
      <c r="A89" s="16" t="s">
        <v>1050</v>
      </c>
      <c r="B89">
        <v>1000</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45A5-C8AF-4C28-BA47-404DB3F7940B}">
  <dimension ref="A3:I21"/>
  <sheetViews>
    <sheetView zoomScaleNormal="100" workbookViewId="0">
      <selection activeCell="L13" sqref="L13"/>
    </sheetView>
  </sheetViews>
  <sheetFormatPr defaultRowHeight="14.4" x14ac:dyDescent="0.3"/>
  <cols>
    <col min="1" max="1" width="12.6640625" bestFit="1" customWidth="1"/>
    <col min="2" max="2" width="18.88671875" bestFit="1" customWidth="1"/>
    <col min="3" max="3" width="18.44140625" bestFit="1" customWidth="1"/>
    <col min="4" max="4" width="14.44140625" bestFit="1" customWidth="1"/>
    <col min="5" max="5" width="18.33203125" bestFit="1" customWidth="1"/>
    <col min="6" max="6" width="15.5546875" bestFit="1" customWidth="1"/>
    <col min="7" max="7" width="15.5546875" customWidth="1"/>
    <col min="8" max="8" width="18.5546875" bestFit="1" customWidth="1"/>
    <col min="9" max="9" width="14.44140625" bestFit="1" customWidth="1"/>
    <col min="10" max="10" width="15.88671875" bestFit="1" customWidth="1"/>
    <col min="11" max="1003" width="10.44140625" bestFit="1" customWidth="1"/>
    <col min="1004" max="1004" width="28.77734375" bestFit="1" customWidth="1"/>
    <col min="1005" max="2003" width="10.44140625" bestFit="1" customWidth="1"/>
    <col min="2004" max="2004" width="23.6640625" bestFit="1" customWidth="1"/>
    <col min="2005" max="2005" width="33.6640625" bestFit="1" customWidth="1"/>
  </cols>
  <sheetData>
    <row r="3" spans="1:9" x14ac:dyDescent="0.3">
      <c r="A3" t="s">
        <v>1051</v>
      </c>
      <c r="B3" t="s">
        <v>1052</v>
      </c>
    </row>
    <row r="4" spans="1:9" x14ac:dyDescent="0.3">
      <c r="A4">
        <v>1000</v>
      </c>
      <c r="B4">
        <v>31.024999999999999</v>
      </c>
    </row>
    <row r="8" spans="1:9" x14ac:dyDescent="0.3">
      <c r="B8" t="s">
        <v>1051</v>
      </c>
    </row>
    <row r="9" spans="1:9" x14ac:dyDescent="0.3">
      <c r="A9" s="16" t="s">
        <v>31</v>
      </c>
      <c r="B9">
        <v>267</v>
      </c>
    </row>
    <row r="10" spans="1:9" x14ac:dyDescent="0.3">
      <c r="A10" s="16" t="s">
        <v>24</v>
      </c>
      <c r="B10">
        <v>252</v>
      </c>
    </row>
    <row r="11" spans="1:9" x14ac:dyDescent="0.3">
      <c r="A11" s="16" t="s">
        <v>11</v>
      </c>
      <c r="B11">
        <v>237</v>
      </c>
    </row>
    <row r="12" spans="1:9" x14ac:dyDescent="0.3">
      <c r="A12" s="16" t="s">
        <v>42</v>
      </c>
      <c r="B12">
        <v>131</v>
      </c>
    </row>
    <row r="13" spans="1:9" x14ac:dyDescent="0.3">
      <c r="A13" s="16" t="s">
        <v>61</v>
      </c>
      <c r="B13">
        <v>113</v>
      </c>
      <c r="D13" s="18" t="s">
        <v>1055</v>
      </c>
      <c r="E13" s="18" t="s">
        <v>1056</v>
      </c>
      <c r="F13" s="18" t="s">
        <v>1057</v>
      </c>
      <c r="G13" s="18" t="s">
        <v>1059</v>
      </c>
      <c r="H13" s="18" t="s">
        <v>1058</v>
      </c>
      <c r="I13" s="18" t="s">
        <v>1059</v>
      </c>
    </row>
    <row r="14" spans="1:9" x14ac:dyDescent="0.3">
      <c r="D14" s="5">
        <f>A4</f>
        <v>1000</v>
      </c>
      <c r="E14" s="5">
        <f>B4</f>
        <v>31.024999999999999</v>
      </c>
      <c r="F14" s="5" t="str">
        <f>INDEX(A8:A13,MATCH(MAX(B8:B13),B8:B13,0))</f>
        <v>Netflix</v>
      </c>
      <c r="G14" s="5">
        <f>MAX(B8:B12)</f>
        <v>267</v>
      </c>
      <c r="H14" s="5" t="str">
        <f>INDEX(A17:A21,MATCH(MAX(B17:B21),B17:B21,0))</f>
        <v>Standard</v>
      </c>
      <c r="I14" s="5">
        <f>MAX(B17:B21)</f>
        <v>353</v>
      </c>
    </row>
    <row r="17" spans="1:2" x14ac:dyDescent="0.3">
      <c r="A17" s="15" t="s">
        <v>1049</v>
      </c>
      <c r="B17" t="s">
        <v>1051</v>
      </c>
    </row>
    <row r="18" spans="1:2" x14ac:dyDescent="0.3">
      <c r="A18" s="16" t="s">
        <v>27</v>
      </c>
      <c r="B18">
        <v>353</v>
      </c>
    </row>
    <row r="19" spans="1:2" x14ac:dyDescent="0.3">
      <c r="A19" s="16" t="s">
        <v>16</v>
      </c>
      <c r="B19">
        <v>295</v>
      </c>
    </row>
    <row r="20" spans="1:2" x14ac:dyDescent="0.3">
      <c r="A20" s="16" t="s">
        <v>22</v>
      </c>
      <c r="B20">
        <v>255</v>
      </c>
    </row>
    <row r="21" spans="1:2" x14ac:dyDescent="0.3">
      <c r="A21" s="16" t="s">
        <v>65</v>
      </c>
      <c r="B21">
        <v>97</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B85A-26AA-4818-AE6F-9D4BB93902E8}">
  <dimension ref="A1"/>
  <sheetViews>
    <sheetView showGridLines="0" tabSelected="1" zoomScale="54" zoomScaleNormal="148" workbookViewId="0">
      <selection activeCell="T68" sqref="T6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lookup</vt:lpstr>
      <vt:lpstr>Pivot</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Aleena Anna Michael</dc:creator>
  <cp:lastModifiedBy>Aleena Anna Michael</cp:lastModifiedBy>
  <dcterms:created xsi:type="dcterms:W3CDTF">2026-08-17T06:59:57Z</dcterms:created>
  <dcterms:modified xsi:type="dcterms:W3CDTF">2026-09-03T04:57:47Z</dcterms:modified>
</cp:coreProperties>
</file>